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prosepan-my.sharepoint.com/personal/rtramarria_quintasa_cl/Documents/Escritorio/dashboard/"/>
    </mc:Choice>
  </mc:AlternateContent>
  <xr:revisionPtr revIDLastSave="27" documentId="8_{423BF29F-B7A5-474C-965D-BA4E388420CA}" xr6:coauthVersionLast="47" xr6:coauthVersionMax="47" xr10:uidLastSave="{1C4F4052-CC36-4AC5-A094-078365C3FD3E}"/>
  <bookViews>
    <workbookView xWindow="-108" yWindow="-108" windowWidth="23256" windowHeight="12576" activeTab="1" xr2:uid="{2F76CB42-7517-425E-A83E-4A13060DCE40}"/>
  </bookViews>
  <sheets>
    <sheet name="Hoja2" sheetId="2" r:id="rId1"/>
    <sheet name="Hoja1" sheetId="1" r:id="rId2"/>
    <sheet name="Hoja3" sheetId="6" r:id="rId3"/>
    <sheet name="Hoja4" sheetId="7" r:id="rId4"/>
  </sheets>
  <externalReferences>
    <externalReference r:id="rId5"/>
    <externalReference r:id="rId6"/>
    <externalReference r:id="rId7"/>
  </externalReferences>
  <definedNames>
    <definedName name="_xlnm._FilterDatabase" localSheetId="1" hidden="1">Hoja1!$A$1:$L$514</definedName>
    <definedName name="_xlnm._FilterDatabase" localSheetId="2" hidden="1">Hoja3!$A$1:$F$370</definedName>
  </definedNames>
  <calcPr calcId="191029"/>
  <pivotCaches>
    <pivotCache cacheId="60" r:id="rId8"/>
    <pivotCache cacheId="6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53" i="1" l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L449" i="1"/>
  <c r="L450" i="1"/>
  <c r="L451" i="1"/>
  <c r="L452" i="1"/>
  <c r="I452" i="1"/>
  <c r="K452" i="1" s="1"/>
  <c r="I451" i="1"/>
  <c r="K451" i="1" s="1"/>
  <c r="I450" i="1"/>
  <c r="K450" i="1" s="1"/>
  <c r="I449" i="1"/>
  <c r="K449" i="1" s="1"/>
  <c r="I448" i="1"/>
  <c r="I254" i="1"/>
  <c r="I255" i="1"/>
  <c r="I256" i="1"/>
  <c r="I257" i="1"/>
  <c r="I258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255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" i="1"/>
  <c r="K2" i="1" l="1"/>
  <c r="K274" i="1"/>
  <c r="K276" i="1"/>
  <c r="K282" i="1"/>
  <c r="K284" i="1"/>
  <c r="K287" i="1"/>
  <c r="K289" i="1"/>
  <c r="K290" i="1"/>
  <c r="K295" i="1"/>
  <c r="K298" i="1"/>
  <c r="K303" i="1"/>
  <c r="K305" i="1"/>
  <c r="K306" i="1"/>
  <c r="K308" i="1"/>
  <c r="K311" i="1"/>
  <c r="K314" i="1"/>
  <c r="K316" i="1"/>
  <c r="K319" i="1"/>
  <c r="K321" i="1"/>
  <c r="K322" i="1"/>
  <c r="K327" i="1"/>
  <c r="K330" i="1"/>
  <c r="K332" i="1"/>
  <c r="K335" i="1"/>
  <c r="K337" i="1"/>
  <c r="K338" i="1"/>
  <c r="K340" i="1"/>
  <c r="K343" i="1"/>
  <c r="K346" i="1"/>
  <c r="K351" i="1"/>
  <c r="K353" i="1"/>
  <c r="K354" i="1"/>
  <c r="K356" i="1"/>
  <c r="K359" i="1"/>
  <c r="K362" i="1"/>
  <c r="K364" i="1"/>
  <c r="K365" i="1"/>
  <c r="K367" i="1"/>
  <c r="K370" i="1"/>
  <c r="K375" i="1"/>
  <c r="K377" i="1"/>
  <c r="K378" i="1"/>
  <c r="K380" i="1"/>
  <c r="K381" i="1"/>
  <c r="K383" i="1"/>
  <c r="K386" i="1"/>
  <c r="K388" i="1"/>
  <c r="K389" i="1"/>
  <c r="K391" i="1"/>
  <c r="K394" i="1"/>
  <c r="K399" i="1"/>
  <c r="K401" i="1"/>
  <c r="K402" i="1"/>
  <c r="K403" i="1"/>
  <c r="K404" i="1"/>
  <c r="K405" i="1"/>
  <c r="K407" i="1"/>
  <c r="K409" i="1"/>
  <c r="K410" i="1"/>
  <c r="K415" i="1"/>
  <c r="K417" i="1"/>
  <c r="K418" i="1"/>
  <c r="K420" i="1"/>
  <c r="K421" i="1"/>
  <c r="K423" i="1"/>
  <c r="K426" i="1"/>
  <c r="K427" i="1"/>
  <c r="K428" i="1"/>
  <c r="K429" i="1"/>
  <c r="K431" i="1"/>
  <c r="K434" i="1"/>
  <c r="K435" i="1"/>
  <c r="K439" i="1"/>
  <c r="K441" i="1"/>
  <c r="K442" i="1"/>
  <c r="K443" i="1"/>
  <c r="K444" i="1"/>
  <c r="K445" i="1"/>
  <c r="K446" i="1"/>
  <c r="K447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2" i="1"/>
  <c r="J473" i="1"/>
  <c r="J474" i="1"/>
  <c r="J475" i="1"/>
  <c r="J476" i="1"/>
  <c r="J477" i="1"/>
  <c r="J478" i="1"/>
  <c r="J479" i="1"/>
  <c r="J480" i="1"/>
  <c r="J481" i="1"/>
  <c r="J483" i="1"/>
  <c r="J484" i="1"/>
  <c r="J485" i="1"/>
  <c r="J486" i="1"/>
  <c r="J487" i="1"/>
  <c r="J488" i="1"/>
  <c r="J489" i="1"/>
  <c r="J490" i="1"/>
  <c r="J491" i="1"/>
  <c r="J492" i="1"/>
  <c r="J493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256" i="1"/>
  <c r="J255" i="1"/>
  <c r="J254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5" i="1"/>
  <c r="K277" i="1"/>
  <c r="K278" i="1"/>
  <c r="K279" i="1"/>
  <c r="K280" i="1"/>
  <c r="K281" i="1"/>
  <c r="K283" i="1"/>
  <c r="K285" i="1"/>
  <c r="K286" i="1"/>
  <c r="K288" i="1"/>
  <c r="K291" i="1"/>
  <c r="K292" i="1"/>
  <c r="K293" i="1"/>
  <c r="K294" i="1"/>
  <c r="K296" i="1"/>
  <c r="K297" i="1"/>
  <c r="K299" i="1"/>
  <c r="K300" i="1"/>
  <c r="K301" i="1"/>
  <c r="K302" i="1"/>
  <c r="K304" i="1"/>
  <c r="K307" i="1"/>
  <c r="K309" i="1"/>
  <c r="K310" i="1"/>
  <c r="K312" i="1"/>
  <c r="K313" i="1"/>
  <c r="K315" i="1"/>
  <c r="K317" i="1"/>
  <c r="K318" i="1"/>
  <c r="K320" i="1"/>
  <c r="K323" i="1"/>
  <c r="K324" i="1"/>
  <c r="K325" i="1"/>
  <c r="K326" i="1"/>
  <c r="K328" i="1"/>
  <c r="K329" i="1"/>
  <c r="K331" i="1"/>
  <c r="K333" i="1"/>
  <c r="K334" i="1"/>
  <c r="K336" i="1"/>
  <c r="K339" i="1"/>
  <c r="K341" i="1"/>
  <c r="K342" i="1"/>
  <c r="K344" i="1"/>
  <c r="K345" i="1"/>
  <c r="K347" i="1"/>
  <c r="K348" i="1"/>
  <c r="K349" i="1"/>
  <c r="K350" i="1"/>
  <c r="K352" i="1"/>
  <c r="K355" i="1"/>
  <c r="K357" i="1"/>
  <c r="K358" i="1"/>
  <c r="K360" i="1"/>
  <c r="K361" i="1"/>
  <c r="K363" i="1"/>
  <c r="K366" i="1"/>
  <c r="K368" i="1"/>
  <c r="K369" i="1"/>
  <c r="K371" i="1"/>
  <c r="K372" i="1"/>
  <c r="K373" i="1"/>
  <c r="K374" i="1"/>
  <c r="K376" i="1"/>
  <c r="K379" i="1"/>
  <c r="K382" i="1"/>
  <c r="K384" i="1"/>
  <c r="K385" i="1"/>
  <c r="K387" i="1"/>
  <c r="K390" i="1"/>
  <c r="K392" i="1"/>
  <c r="K393" i="1"/>
  <c r="K395" i="1"/>
  <c r="K396" i="1"/>
  <c r="K397" i="1"/>
  <c r="K398" i="1"/>
  <c r="K400" i="1"/>
  <c r="K406" i="1"/>
  <c r="K408" i="1"/>
  <c r="K411" i="1"/>
  <c r="K412" i="1"/>
  <c r="K413" i="1"/>
  <c r="K414" i="1"/>
  <c r="K416" i="1"/>
  <c r="K419" i="1"/>
  <c r="K422" i="1"/>
  <c r="K424" i="1"/>
  <c r="K425" i="1"/>
  <c r="K430" i="1"/>
  <c r="K432" i="1"/>
  <c r="K433" i="1"/>
  <c r="K436" i="1"/>
  <c r="K437" i="1"/>
  <c r="K438" i="1"/>
  <c r="K440" i="1"/>
  <c r="K448" i="1"/>
  <c r="H255" i="1" l="1"/>
  <c r="H256" i="1"/>
  <c r="H257" i="1"/>
  <c r="H258" i="1"/>
  <c r="K11" i="1"/>
  <c r="K16" i="1"/>
  <c r="K21" i="1"/>
  <c r="K25" i="1"/>
  <c r="K31" i="1"/>
  <c r="K38" i="1"/>
  <c r="K44" i="1"/>
  <c r="K51" i="1"/>
  <c r="K63" i="1"/>
  <c r="K82" i="1"/>
  <c r="K83" i="1"/>
  <c r="K91" i="1"/>
  <c r="K116" i="1"/>
  <c r="K164" i="1"/>
  <c r="K205" i="1"/>
  <c r="K214" i="1"/>
  <c r="K228" i="1"/>
  <c r="K242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7" i="1"/>
  <c r="J258" i="1"/>
  <c r="J259" i="1"/>
  <c r="J260" i="1"/>
  <c r="J261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" i="1"/>
  <c r="F4" i="6" l="1"/>
  <c r="F5" i="6"/>
  <c r="F6" i="6"/>
  <c r="F9" i="6"/>
  <c r="F10" i="6"/>
  <c r="F11" i="6"/>
  <c r="F12" i="6"/>
  <c r="F13" i="6"/>
  <c r="F14" i="6"/>
  <c r="F15" i="6"/>
  <c r="F16" i="6"/>
  <c r="F17" i="6"/>
  <c r="F18" i="6"/>
  <c r="F19" i="6"/>
  <c r="F20" i="6"/>
  <c r="F24" i="6"/>
  <c r="F26" i="6"/>
  <c r="F27" i="6"/>
  <c r="F28" i="6"/>
  <c r="F29" i="6"/>
  <c r="F30" i="6"/>
  <c r="F33" i="6"/>
  <c r="F36" i="6"/>
  <c r="F41" i="6"/>
  <c r="F42" i="6"/>
  <c r="F43" i="6"/>
  <c r="F44" i="6"/>
  <c r="F45" i="6"/>
  <c r="F46" i="6"/>
  <c r="F48" i="6"/>
  <c r="F49" i="6"/>
  <c r="F51" i="6"/>
  <c r="F54" i="6"/>
  <c r="F55" i="6"/>
  <c r="F56" i="6"/>
  <c r="F57" i="6"/>
  <c r="F59" i="6"/>
  <c r="F60" i="6"/>
  <c r="F61" i="6"/>
  <c r="F62" i="6"/>
  <c r="F63" i="6"/>
  <c r="F64" i="6"/>
  <c r="F65" i="6"/>
  <c r="F67" i="6"/>
  <c r="F68" i="6"/>
  <c r="F69" i="6"/>
  <c r="F70" i="6"/>
  <c r="F72" i="6"/>
  <c r="F73" i="6"/>
  <c r="F77" i="6"/>
  <c r="F82" i="6"/>
  <c r="F100" i="6"/>
  <c r="F101" i="6"/>
  <c r="F102" i="6"/>
  <c r="F103" i="6"/>
  <c r="F104" i="6"/>
  <c r="F105" i="6"/>
  <c r="F106" i="6"/>
  <c r="F107" i="6"/>
  <c r="F108" i="6"/>
  <c r="F110" i="6"/>
  <c r="F116" i="6"/>
  <c r="F124" i="6"/>
  <c r="F126" i="6"/>
  <c r="F129" i="6"/>
  <c r="F132" i="6"/>
  <c r="F155" i="6"/>
  <c r="F156" i="6"/>
  <c r="F157" i="6"/>
  <c r="F159" i="6"/>
  <c r="F161" i="6"/>
  <c r="F162" i="6"/>
  <c r="F167" i="6"/>
  <c r="F168" i="6"/>
  <c r="F169" i="6"/>
  <c r="F170" i="6"/>
  <c r="F171" i="6"/>
  <c r="F180" i="6"/>
  <c r="F181" i="6"/>
  <c r="F182" i="6"/>
  <c r="F187" i="6"/>
  <c r="F188" i="6"/>
  <c r="F189" i="6"/>
  <c r="F190" i="6"/>
  <c r="F191" i="6"/>
  <c r="F194" i="6"/>
  <c r="F195" i="6"/>
  <c r="F197" i="6"/>
  <c r="F198" i="6"/>
  <c r="F200" i="6"/>
  <c r="F201" i="6"/>
  <c r="F202" i="6"/>
  <c r="F203" i="6"/>
  <c r="F205" i="6"/>
  <c r="F207" i="6"/>
  <c r="F208" i="6"/>
  <c r="F209" i="6"/>
  <c r="F211" i="6"/>
  <c r="F212" i="6"/>
  <c r="F214" i="6"/>
  <c r="F215" i="6"/>
  <c r="F217" i="6"/>
  <c r="F218" i="6"/>
  <c r="F219" i="6"/>
  <c r="F220" i="6"/>
  <c r="F222" i="6"/>
  <c r="F223" i="6"/>
  <c r="F225" i="6"/>
  <c r="F229" i="6"/>
  <c r="F230" i="6"/>
  <c r="F231" i="6"/>
  <c r="F232" i="6"/>
  <c r="F233" i="6"/>
  <c r="F234" i="6"/>
  <c r="F235" i="6"/>
  <c r="F236" i="6"/>
  <c r="F239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2" i="6"/>
  <c r="F293" i="6"/>
  <c r="F294" i="6"/>
  <c r="F295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9" i="6"/>
  <c r="F350" i="6"/>
  <c r="F351" i="6"/>
  <c r="F356" i="6"/>
  <c r="F357" i="6"/>
  <c r="F358" i="6"/>
  <c r="F364" i="6"/>
  <c r="D3" i="6"/>
  <c r="F3" i="6" s="1"/>
  <c r="D7" i="6"/>
  <c r="F7" i="6" s="1"/>
  <c r="D8" i="6"/>
  <c r="F8" i="6" s="1"/>
  <c r="D21" i="6"/>
  <c r="F21" i="6" s="1"/>
  <c r="D22" i="6"/>
  <c r="F22" i="6" s="1"/>
  <c r="D23" i="6"/>
  <c r="F23" i="6" s="1"/>
  <c r="D25" i="6"/>
  <c r="F25" i="6" s="1"/>
  <c r="D31" i="6"/>
  <c r="F31" i="6" s="1"/>
  <c r="D32" i="6"/>
  <c r="F32" i="6" s="1"/>
  <c r="D34" i="6"/>
  <c r="F34" i="6" s="1"/>
  <c r="D35" i="6"/>
  <c r="F35" i="6" s="1"/>
  <c r="D37" i="6"/>
  <c r="F37" i="6" s="1"/>
  <c r="D38" i="6"/>
  <c r="F38" i="6" s="1"/>
  <c r="D39" i="6"/>
  <c r="F39" i="6" s="1"/>
  <c r="D40" i="6"/>
  <c r="F40" i="6" s="1"/>
  <c r="D47" i="6"/>
  <c r="F47" i="6" s="1"/>
  <c r="D50" i="6"/>
  <c r="F50" i="6" s="1"/>
  <c r="D52" i="6"/>
  <c r="F52" i="6" s="1"/>
  <c r="D53" i="6"/>
  <c r="F53" i="6" s="1"/>
  <c r="D58" i="6"/>
  <c r="F58" i="6" s="1"/>
  <c r="D66" i="6"/>
  <c r="F66" i="6" s="1"/>
  <c r="D71" i="6"/>
  <c r="F71" i="6" s="1"/>
  <c r="D74" i="6"/>
  <c r="F74" i="6" s="1"/>
  <c r="D75" i="6"/>
  <c r="F75" i="6" s="1"/>
  <c r="D76" i="6"/>
  <c r="F76" i="6" s="1"/>
  <c r="D78" i="6"/>
  <c r="F78" i="6" s="1"/>
  <c r="D79" i="6"/>
  <c r="F79" i="6" s="1"/>
  <c r="D80" i="6"/>
  <c r="F80" i="6" s="1"/>
  <c r="D81" i="6"/>
  <c r="F81" i="6" s="1"/>
  <c r="D83" i="6"/>
  <c r="F83" i="6" s="1"/>
  <c r="D84" i="6"/>
  <c r="F84" i="6" s="1"/>
  <c r="D85" i="6"/>
  <c r="F85" i="6" s="1"/>
  <c r="D86" i="6"/>
  <c r="F86" i="6" s="1"/>
  <c r="D87" i="6"/>
  <c r="F87" i="6" s="1"/>
  <c r="D88" i="6"/>
  <c r="F88" i="6" s="1"/>
  <c r="D89" i="6"/>
  <c r="F89" i="6" s="1"/>
  <c r="D90" i="6"/>
  <c r="F90" i="6" s="1"/>
  <c r="D91" i="6"/>
  <c r="F91" i="6" s="1"/>
  <c r="D92" i="6"/>
  <c r="F92" i="6" s="1"/>
  <c r="D93" i="6"/>
  <c r="F93" i="6" s="1"/>
  <c r="D94" i="6"/>
  <c r="F94" i="6" s="1"/>
  <c r="D95" i="6"/>
  <c r="F95" i="6" s="1"/>
  <c r="D96" i="6"/>
  <c r="F96" i="6" s="1"/>
  <c r="D97" i="6"/>
  <c r="F97" i="6" s="1"/>
  <c r="D98" i="6"/>
  <c r="F98" i="6" s="1"/>
  <c r="D99" i="6"/>
  <c r="F99" i="6" s="1"/>
  <c r="D109" i="6"/>
  <c r="F109" i="6" s="1"/>
  <c r="D111" i="6"/>
  <c r="F111" i="6" s="1"/>
  <c r="D112" i="6"/>
  <c r="F112" i="6" s="1"/>
  <c r="D113" i="6"/>
  <c r="F113" i="6" s="1"/>
  <c r="D114" i="6"/>
  <c r="F114" i="6" s="1"/>
  <c r="D115" i="6"/>
  <c r="F115" i="6" s="1"/>
  <c r="D117" i="6"/>
  <c r="F117" i="6" s="1"/>
  <c r="D118" i="6"/>
  <c r="F118" i="6" s="1"/>
  <c r="D119" i="6"/>
  <c r="F119" i="6" s="1"/>
  <c r="D120" i="6"/>
  <c r="F120" i="6" s="1"/>
  <c r="D121" i="6"/>
  <c r="F121" i="6" s="1"/>
  <c r="D122" i="6"/>
  <c r="F122" i="6" s="1"/>
  <c r="D123" i="6"/>
  <c r="F123" i="6" s="1"/>
  <c r="D125" i="6"/>
  <c r="F125" i="6" s="1"/>
  <c r="D127" i="6"/>
  <c r="F127" i="6" s="1"/>
  <c r="D128" i="6"/>
  <c r="F128" i="6" s="1"/>
  <c r="D130" i="6"/>
  <c r="F130" i="6" s="1"/>
  <c r="D131" i="6"/>
  <c r="F131" i="6" s="1"/>
  <c r="D133" i="6"/>
  <c r="F133" i="6" s="1"/>
  <c r="D134" i="6"/>
  <c r="F134" i="6" s="1"/>
  <c r="D135" i="6"/>
  <c r="F135" i="6" s="1"/>
  <c r="D136" i="6"/>
  <c r="F136" i="6" s="1"/>
  <c r="D137" i="6"/>
  <c r="F137" i="6" s="1"/>
  <c r="D138" i="6"/>
  <c r="F138" i="6" s="1"/>
  <c r="D139" i="6"/>
  <c r="F139" i="6" s="1"/>
  <c r="D140" i="6"/>
  <c r="F140" i="6" s="1"/>
  <c r="D141" i="6"/>
  <c r="F141" i="6" s="1"/>
  <c r="D142" i="6"/>
  <c r="F142" i="6" s="1"/>
  <c r="D143" i="6"/>
  <c r="F143" i="6" s="1"/>
  <c r="D144" i="6"/>
  <c r="F144" i="6" s="1"/>
  <c r="D145" i="6"/>
  <c r="F145" i="6" s="1"/>
  <c r="D146" i="6"/>
  <c r="F146" i="6" s="1"/>
  <c r="D147" i="6"/>
  <c r="F147" i="6" s="1"/>
  <c r="D148" i="6"/>
  <c r="F148" i="6" s="1"/>
  <c r="D149" i="6"/>
  <c r="F149" i="6" s="1"/>
  <c r="D150" i="6"/>
  <c r="F150" i="6" s="1"/>
  <c r="D151" i="6"/>
  <c r="F151" i="6" s="1"/>
  <c r="D152" i="6"/>
  <c r="F152" i="6" s="1"/>
  <c r="D153" i="6"/>
  <c r="F153" i="6" s="1"/>
  <c r="D154" i="6"/>
  <c r="F154" i="6" s="1"/>
  <c r="D158" i="6"/>
  <c r="F158" i="6" s="1"/>
  <c r="D160" i="6"/>
  <c r="F160" i="6" s="1"/>
  <c r="D163" i="6"/>
  <c r="F163" i="6" s="1"/>
  <c r="D164" i="6"/>
  <c r="F164" i="6" s="1"/>
  <c r="D165" i="6"/>
  <c r="F165" i="6" s="1"/>
  <c r="D166" i="6"/>
  <c r="F166" i="6" s="1"/>
  <c r="D172" i="6"/>
  <c r="F172" i="6" s="1"/>
  <c r="D173" i="6"/>
  <c r="F173" i="6" s="1"/>
  <c r="D174" i="6"/>
  <c r="F174" i="6" s="1"/>
  <c r="D175" i="6"/>
  <c r="F175" i="6" s="1"/>
  <c r="D176" i="6"/>
  <c r="F176" i="6" s="1"/>
  <c r="D177" i="6"/>
  <c r="F177" i="6" s="1"/>
  <c r="D178" i="6"/>
  <c r="F178" i="6" s="1"/>
  <c r="D179" i="6"/>
  <c r="F179" i="6" s="1"/>
  <c r="D183" i="6"/>
  <c r="F183" i="6" s="1"/>
  <c r="D184" i="6"/>
  <c r="F184" i="6" s="1"/>
  <c r="D185" i="6"/>
  <c r="F185" i="6" s="1"/>
  <c r="D186" i="6"/>
  <c r="F186" i="6" s="1"/>
  <c r="D192" i="6"/>
  <c r="F192" i="6" s="1"/>
  <c r="D193" i="6"/>
  <c r="F193" i="6" s="1"/>
  <c r="D196" i="6"/>
  <c r="F196" i="6" s="1"/>
  <c r="D199" i="6"/>
  <c r="F199" i="6" s="1"/>
  <c r="D204" i="6"/>
  <c r="F204" i="6" s="1"/>
  <c r="D206" i="6"/>
  <c r="F206" i="6" s="1"/>
  <c r="D210" i="6"/>
  <c r="F210" i="6" s="1"/>
  <c r="D213" i="6"/>
  <c r="F213" i="6" s="1"/>
  <c r="D216" i="6"/>
  <c r="F216" i="6" s="1"/>
  <c r="D221" i="6"/>
  <c r="F221" i="6" s="1"/>
  <c r="D224" i="6"/>
  <c r="F224" i="6" s="1"/>
  <c r="D226" i="6"/>
  <c r="F226" i="6" s="1"/>
  <c r="D227" i="6"/>
  <c r="F227" i="6" s="1"/>
  <c r="D228" i="6"/>
  <c r="F228" i="6" s="1"/>
  <c r="D237" i="6"/>
  <c r="F237" i="6" s="1"/>
  <c r="D238" i="6"/>
  <c r="F238" i="6" s="1"/>
  <c r="D240" i="6"/>
  <c r="F240" i="6" s="1"/>
  <c r="F266" i="6"/>
  <c r="F291" i="6"/>
  <c r="F296" i="6"/>
  <c r="F348" i="6"/>
  <c r="D352" i="6"/>
  <c r="F352" i="6" s="1"/>
  <c r="D353" i="6"/>
  <c r="F353" i="6" s="1"/>
  <c r="D354" i="6"/>
  <c r="F354" i="6" s="1"/>
  <c r="D355" i="6"/>
  <c r="F355" i="6" s="1"/>
  <c r="D359" i="6"/>
  <c r="F359" i="6" s="1"/>
  <c r="D360" i="6"/>
  <c r="F360" i="6" s="1"/>
  <c r="D361" i="6"/>
  <c r="F361" i="6" s="1"/>
  <c r="D362" i="6"/>
  <c r="F362" i="6" s="1"/>
  <c r="D363" i="6"/>
  <c r="F363" i="6" s="1"/>
  <c r="D365" i="6"/>
  <c r="F365" i="6" s="1"/>
  <c r="D366" i="6"/>
  <c r="F366" i="6" s="1"/>
  <c r="D367" i="6"/>
  <c r="F367" i="6" s="1"/>
  <c r="D368" i="6"/>
  <c r="F368" i="6" s="1"/>
  <c r="D369" i="6"/>
  <c r="F369" i="6" s="1"/>
  <c r="D2" i="6"/>
  <c r="F2" i="6" s="1"/>
  <c r="E370" i="6"/>
  <c r="C370" i="6"/>
  <c r="D370" i="6" l="1"/>
  <c r="K40" i="1" l="1"/>
  <c r="K226" i="1" l="1"/>
  <c r="K217" i="1"/>
  <c r="K163" i="1"/>
  <c r="K43" i="1" l="1"/>
  <c r="K78" i="1" l="1"/>
  <c r="K215" i="1"/>
  <c r="K239" i="1"/>
  <c r="K10" i="1"/>
  <c r="K4" i="1"/>
  <c r="K236" i="1"/>
  <c r="K17" i="1"/>
  <c r="K36" i="1"/>
  <c r="K77" i="1"/>
  <c r="K213" i="1"/>
  <c r="K32" i="1"/>
  <c r="K216" i="1"/>
  <c r="K196" i="1" l="1"/>
  <c r="K198" i="1"/>
  <c r="K257" i="1"/>
  <c r="K190" i="1"/>
  <c r="K195" i="1" l="1"/>
  <c r="K73" i="1" l="1"/>
  <c r="K224" i="1" l="1"/>
  <c r="K172" i="1"/>
  <c r="K3" i="1" l="1"/>
  <c r="K27" i="1" l="1"/>
  <c r="K158" i="1" l="1"/>
  <c r="K252" i="1" l="1"/>
  <c r="K64" i="1" l="1"/>
  <c r="K34" i="1"/>
  <c r="K251" i="1"/>
  <c r="K250" i="1"/>
  <c r="K65" i="1" l="1"/>
  <c r="K171" i="1" l="1"/>
  <c r="K218" i="1"/>
  <c r="K35" i="1"/>
  <c r="K165" i="1"/>
  <c r="K30" i="1"/>
  <c r="K7" i="1"/>
  <c r="K188" i="1" l="1"/>
  <c r="K189" i="1"/>
  <c r="K234" i="1"/>
  <c r="K33" i="1"/>
  <c r="K229" i="1"/>
  <c r="K90" i="1" l="1"/>
  <c r="K96" i="1"/>
  <c r="K125" i="1"/>
  <c r="K153" i="1"/>
  <c r="K104" i="1"/>
  <c r="K89" i="1"/>
  <c r="K81" i="1"/>
  <c r="K124" i="1"/>
  <c r="K135" i="1"/>
  <c r="K132" i="1"/>
  <c r="K127" i="1"/>
  <c r="K140" i="1"/>
  <c r="K142" i="1"/>
  <c r="K84" i="1"/>
  <c r="K87" i="1"/>
  <c r="K92" i="1"/>
  <c r="K88" i="1"/>
  <c r="K80" i="1"/>
  <c r="K86" i="1"/>
  <c r="K98" i="1"/>
  <c r="K148" i="1"/>
  <c r="K150" i="1"/>
  <c r="K243" i="1"/>
  <c r="K244" i="1"/>
  <c r="K246" i="1"/>
  <c r="K241" i="1"/>
  <c r="K240" i="1"/>
  <c r="K245" i="1"/>
  <c r="K161" i="1"/>
  <c r="K162" i="1"/>
  <c r="K160" i="1"/>
  <c r="K28" i="1"/>
  <c r="K29" i="1"/>
  <c r="K253" i="1"/>
  <c r="K75" i="1"/>
  <c r="K76" i="1"/>
  <c r="K200" i="1"/>
  <c r="K199" i="1"/>
  <c r="K219" i="1"/>
  <c r="K220" i="1"/>
  <c r="K197" i="1"/>
  <c r="K159" i="1"/>
  <c r="K37" i="1"/>
  <c r="K258" i="1"/>
  <c r="K167" i="1"/>
  <c r="K168" i="1"/>
  <c r="K166" i="1"/>
  <c r="K5" i="1"/>
  <c r="K225" i="1"/>
  <c r="K185" i="1"/>
  <c r="K182" i="1"/>
  <c r="K249" i="1"/>
  <c r="K181" i="1"/>
  <c r="K248" i="1"/>
  <c r="K184" i="1"/>
  <c r="K170" i="1"/>
  <c r="K169" i="1"/>
  <c r="K256" i="1"/>
  <c r="K9" i="1"/>
  <c r="K204" i="1"/>
  <c r="K68" i="1"/>
  <c r="K183" i="1"/>
  <c r="K186" i="1"/>
  <c r="K72" i="1"/>
  <c r="K179" i="1"/>
  <c r="K247" i="1"/>
  <c r="K201" i="1"/>
  <c r="K8" i="1"/>
  <c r="K192" i="1"/>
  <c r="K193" i="1"/>
  <c r="K194" i="1"/>
  <c r="K232" i="1"/>
  <c r="K231" i="1"/>
  <c r="K74" i="1"/>
  <c r="K210" i="1"/>
  <c r="K212" i="1"/>
  <c r="K238" i="1"/>
  <c r="K211" i="1"/>
  <c r="K207" i="1"/>
  <c r="K206" i="1"/>
  <c r="K203" i="1"/>
  <c r="K227" i="1"/>
  <c r="K233" i="1"/>
  <c r="K230" i="1"/>
  <c r="K235" i="1"/>
  <c r="K55" i="1"/>
  <c r="K221" i="1"/>
  <c r="K15" i="1"/>
  <c r="K209" i="1"/>
  <c r="K208" i="1"/>
  <c r="K39" i="1"/>
  <c r="K237" i="1"/>
  <c r="K187" i="1"/>
  <c r="K14" i="1"/>
  <c r="K13" i="1"/>
  <c r="K20" i="1"/>
  <c r="K19" i="1"/>
  <c r="K18" i="1"/>
  <c r="K24" i="1"/>
  <c r="K23" i="1"/>
  <c r="K222" i="1"/>
  <c r="K174" i="1"/>
  <c r="K180" i="1"/>
  <c r="K191" i="1"/>
  <c r="K66" i="1"/>
  <c r="K70" i="1"/>
  <c r="K67" i="1"/>
  <c r="K69" i="1"/>
  <c r="K177" i="1"/>
  <c r="K178" i="1"/>
  <c r="K175" i="1"/>
  <c r="K173" i="1"/>
  <c r="K202" i="1"/>
  <c r="K255" i="1"/>
  <c r="K176" i="1"/>
  <c r="K223" i="1"/>
  <c r="K71" i="1"/>
  <c r="K22" i="1"/>
  <c r="K53" i="1"/>
  <c r="K49" i="1"/>
  <c r="K50" i="1"/>
  <c r="K54" i="1"/>
  <c r="K48" i="1"/>
  <c r="K52" i="1"/>
  <c r="K254" i="1"/>
  <c r="K45" i="1"/>
  <c r="K47" i="1"/>
  <c r="K46" i="1"/>
  <c r="K62" i="1"/>
  <c r="K57" i="1"/>
  <c r="K61" i="1"/>
  <c r="K59" i="1"/>
  <c r="K12" i="1"/>
  <c r="K26" i="1"/>
  <c r="K42" i="1"/>
  <c r="K41" i="1"/>
  <c r="K56" i="1"/>
  <c r="K58" i="1"/>
  <c r="K60" i="1"/>
  <c r="K6" i="1"/>
  <c r="K106" i="1"/>
  <c r="K105" i="1"/>
  <c r="K109" i="1"/>
  <c r="K111" i="1"/>
  <c r="K113" i="1"/>
  <c r="K112" i="1"/>
  <c r="K118" i="1"/>
  <c r="K120" i="1"/>
  <c r="K110" i="1"/>
  <c r="K108" i="1"/>
  <c r="K139" i="1"/>
  <c r="K137" i="1"/>
  <c r="K157" i="1"/>
  <c r="K107" i="1"/>
  <c r="K103" i="1"/>
  <c r="K85" i="1"/>
  <c r="K133" i="1"/>
  <c r="K130" i="1"/>
  <c r="K128" i="1"/>
  <c r="K143" i="1"/>
  <c r="K94" i="1"/>
  <c r="K126" i="1"/>
  <c r="K141" i="1"/>
  <c r="K117" i="1"/>
  <c r="K119" i="1"/>
  <c r="K121" i="1"/>
  <c r="K156" i="1"/>
  <c r="K144" i="1"/>
  <c r="K151" i="1"/>
  <c r="K152" i="1"/>
  <c r="K155" i="1"/>
  <c r="K102" i="1"/>
  <c r="K154" i="1"/>
  <c r="K145" i="1"/>
  <c r="K147" i="1"/>
  <c r="K100" i="1"/>
  <c r="K101" i="1"/>
  <c r="K131" i="1"/>
  <c r="K123" i="1"/>
  <c r="K134" i="1"/>
  <c r="K122" i="1"/>
  <c r="K95" i="1"/>
  <c r="K93" i="1"/>
  <c r="K149" i="1" l="1"/>
  <c r="K129" i="1"/>
  <c r="K97" i="1"/>
  <c r="K114" i="1"/>
  <c r="K115" i="1"/>
  <c r="K146" i="1"/>
  <c r="K99" i="1"/>
  <c r="K138" i="1"/>
  <c r="K136" i="1"/>
  <c r="K79" i="1"/>
</calcChain>
</file>

<file path=xl/sharedStrings.xml><?xml version="1.0" encoding="utf-8"?>
<sst xmlns="http://schemas.openxmlformats.org/spreadsheetml/2006/main" count="3996" uniqueCount="843">
  <si>
    <t>ALMENDRAS FILETEADAS EGC</t>
  </si>
  <si>
    <t>EN_MATPR</t>
  </si>
  <si>
    <t>E1-BMP Enea</t>
  </si>
  <si>
    <t>ALMENDRAS FILETEADAS TOSTADAS ALTO LA CRUZ</t>
  </si>
  <si>
    <t>AZUCAR FLOR 5KG MEL ALIMENTOS</t>
  </si>
  <si>
    <t>AZUCAR GRANULADA EGC</t>
  </si>
  <si>
    <t>BASE TORTA 15PP ALTA COEXPAN</t>
  </si>
  <si>
    <t>BELCOLADE AMARGO 55% PURATOS</t>
  </si>
  <si>
    <t>BIZCOCHO CARROT CAKE PAVESI</t>
  </si>
  <si>
    <t>BLISTER 7189 1 PASTEL DEANDES</t>
  </si>
  <si>
    <t>BOLSA PREPICADA BANDEJA  100*90 COLOR AZUL ASTRA</t>
  </si>
  <si>
    <t>BOLSA PREPICADA BANDEJA (22+60+22)104x90</t>
  </si>
  <si>
    <t>BRILLO FRIO RTU PURATOS</t>
  </si>
  <si>
    <t>CACAO AMARGO PURATOS</t>
  </si>
  <si>
    <t>CAFE POLVO WINKLER</t>
  </si>
  <si>
    <t>CAJA  PTG AZUL 15PP ALTA SYCOR</t>
  </si>
  <si>
    <t>CAJA DE ENCOMIENDA (EN) SYCOR</t>
  </si>
  <si>
    <t>CAJA MADRE DE PLANCHAS (PL) SYCOR</t>
  </si>
  <si>
    <t>CAJA PASTELES 600X325X120 ASTRA</t>
  </si>
  <si>
    <t>CAJA PASTELES ASTRA</t>
  </si>
  <si>
    <t>CAPSULA OVALADA N° 10 ARRIAZA</t>
  </si>
  <si>
    <t>CARAVELLA RELL FRÍO-CALIENTE AVELLANA 13 KG MASTER MARTINI</t>
  </si>
  <si>
    <t>CEREZAS AL JUGO CAMPOS</t>
  </si>
  <si>
    <t>CEREZAS AL JUGO DESCAROZADAS TRES ERRES</t>
  </si>
  <si>
    <t>CHOCOLATE SEMI AMARGO 54% MEL</t>
  </si>
  <si>
    <t>CINTA BICOLOR BNEGRO #500</t>
  </si>
  <si>
    <t>CINTA DE EMBALAJE 72x100 SOLUTION</t>
  </si>
  <si>
    <t>CINTA NEGRA GC ZUKKER</t>
  </si>
  <si>
    <t>COBERTURA CHOCOLATE BLANCO</t>
  </si>
  <si>
    <t>COBERTURA CHOCOLATES MONEDAS PURATOS</t>
  </si>
  <si>
    <t>COCO RALLADO ALTO LA CRUZ</t>
  </si>
  <si>
    <t>COCTEL DE FRUTA CAMPOS</t>
  </si>
  <si>
    <t>COGÑAC TRES PALOS DE 1LT</t>
  </si>
  <si>
    <t>COLDFIL PIE DE LIMÓN</t>
  </si>
  <si>
    <t>COLORANTE ARTIFICIAL AMARILLO DUAS RODAS</t>
  </si>
  <si>
    <t>COMBO 88 ALTA 12 PP LISA MOLDES PAC</t>
  </si>
  <si>
    <t>COMBO 88 ALTA 12 PP MOLDES PAC</t>
  </si>
  <si>
    <t>COSTA CHOCOLATE 24X140 GRS CAROZZI</t>
  </si>
  <si>
    <t>COVER PASTELERÍA U2 SEMIAMARGO GOTA PURATOS</t>
  </si>
  <si>
    <t>CREAM CHEESE BALDE MILKAUT SANTA ROSA</t>
  </si>
  <si>
    <t>CREMA AMBIANTE NATA PURATOS</t>
  </si>
  <si>
    <t>CREMA CHANTYPACK PURATOS</t>
  </si>
  <si>
    <t>CREMA CHOCOLATE RICHS</t>
  </si>
  <si>
    <t>CREMA LACTEA DIWATTS</t>
  </si>
  <si>
    <t>CREMA LACTEA SOPROLE</t>
  </si>
  <si>
    <t>CREMA PASTELERA ESPECIAL PURATOS</t>
  </si>
  <si>
    <t>CREMA RELLENO SABOR NARANJA ESP. QUINTA SC 1X5 Kg</t>
  </si>
  <si>
    <t>CREMA VEGETAL AMBIANTE</t>
  </si>
  <si>
    <t>CREMA VEGETAL MASTER MARTINI</t>
  </si>
  <si>
    <t>CREMA WHIP TOPPIN RICH</t>
  </si>
  <si>
    <t>CREMFIL PIE DE LIMON PURATOS</t>
  </si>
  <si>
    <t>CUPULA 170BX DEANDES</t>
  </si>
  <si>
    <t>CUPULA BRAZO REINA MONSALVE</t>
  </si>
  <si>
    <t>CUPULA MEDIA TORTA FOOD PACK</t>
  </si>
  <si>
    <t>CUPULA TARTA 1025-3 MOLDES PAC</t>
  </si>
  <si>
    <t>CUPULA TORTA 15 PP ALTA COEXPAN</t>
  </si>
  <si>
    <t>CUPULA TORTA 15PP (98-45) MOLDESPAC</t>
  </si>
  <si>
    <t>CUPULA TORTA ALTA  15PP (98-5) MOLDESPAC</t>
  </si>
  <si>
    <t>CURLS CHOCOLATE PURATOS</t>
  </si>
  <si>
    <t>DECORCREM BLANCO 4k PURATOS</t>
  </si>
  <si>
    <t>DECORCREM NEGRO PURATOS</t>
  </si>
  <si>
    <t>DISCO CARTON BLANCO 19 CM PRAGGA</t>
  </si>
  <si>
    <t>DISCO CARTON BLANCO 19,5 JUMBO ARRIAZA</t>
  </si>
  <si>
    <t>DISCO CARTON CAFE CORRUGADO 15,5CM CM ASTRA</t>
  </si>
  <si>
    <t>DISCO CARTÓN CORRUGADO 15,5 CM EHLAN</t>
  </si>
  <si>
    <t>DISCO CARTÓN CORRUGADO 19 CM EHLAN</t>
  </si>
  <si>
    <t>DISCO DE PAPEL KRAFT 100GR 21CM PAPELERA</t>
  </si>
  <si>
    <t>DISCO MERENGUE PAVESI</t>
  </si>
  <si>
    <t>DISCO MICROCORRUGADO EMPLACADO 15,5 CM DIÁMETRO ASTRA</t>
  </si>
  <si>
    <t>DISCO MICROCORRUGADO EMPLACADO 19 CM DIÁMETRO ASTRA</t>
  </si>
  <si>
    <t>DISCO PANQUEQUE VAINILLA 19 CM. SEMI ELABORADO UND</t>
  </si>
  <si>
    <t>DULCE DE LECHE MASTER MARTINI</t>
  </si>
  <si>
    <t>DULCE DE RELLENO DIWATTS</t>
  </si>
  <si>
    <t>DURAZNO EN SLICE LAS PERDICES</t>
  </si>
  <si>
    <t>ESENCIA CAFE CARAMELO SABORES Y FRAGANCIA</t>
  </si>
  <si>
    <t>ESENCIA DE VAINILLA TRAVERSO EGC</t>
  </si>
  <si>
    <t>ETIQ. CIRCULAR 90cm IMPR. JUMBO TARTA FRUTA MIXTA SURTIDA</t>
  </si>
  <si>
    <t>ETIQ. CIRCULAR 90cm IMPR. OPP TORTA MIL HOJAS MANJAR ARTESANAL WALMART</t>
  </si>
  <si>
    <t>ETIQ. CIRCULAR 90cm IMPR. TARTA MANJAR NUEZ ESPECIAL JUMBO</t>
  </si>
  <si>
    <t>ETIQ. CIRCULAR 90cm IMPR. TARTA PISTACHO ESPECIAL JUMBO</t>
  </si>
  <si>
    <t>ETIQ. CIRCULAR 90cm IMPR. TORTA BROWNIE ESPECIAL JUMBO</t>
  </si>
  <si>
    <t>ETIQ. CIRCULAR 90cm IMPR. TORTA CARROT CAKE ARTESANAL JUMBO</t>
  </si>
  <si>
    <t>ETIQ. CIRCULAR 90cm IMPR. TORTA CUSINE &amp; CO JUMBO COOKIES AND CREAM</t>
  </si>
  <si>
    <t>ETIQ. CIRCULAR 90cm IMPR. TORTA HOJA FRAMBUESA ESPECIAL JUMBO</t>
  </si>
  <si>
    <t>ETIQ. CIRCULAR 90cm IMPR. TORTA IGNACIA ARTESANAL JUMBO</t>
  </si>
  <si>
    <t>ETIQ. CIRCULAR 90cm IMPR. TORTA LEMON CAKE ESPECIAL JUMBO</t>
  </si>
  <si>
    <t>ETIQ. CIRCULAR 90cm IMPR. TORTA MERENGUE MANZANA FRAMBUESA ESPECIAL JUMBO</t>
  </si>
  <si>
    <t>ETIQ. CIRCULAR 90cm IMPR. TORTA MERENGUE NOUGAT ESPECIAL JUMBO</t>
  </si>
  <si>
    <t>ETIQ. CIRCULAR 90cm IMPR. TORTA MOUSSE CHOCOLATE BLANCO ESPECIAL JUMBO</t>
  </si>
  <si>
    <t>ETIQ. CIRCULAR 90cm IMPR. TORTA RED VELVET ARTESANAL JUMBO</t>
  </si>
  <si>
    <t>ETIQ. CIRCULAR 9cm IMPR. PIE DE FRAMBUESA ESPECIAL JUMBO</t>
  </si>
  <si>
    <t>ETIQ. CIRCULAR 9cm IMPR. PIE DE LIMÓN ESPECIAL JUMBO</t>
  </si>
  <si>
    <t>ETIQ. CIRCULAR 9cm IMPR. PIE DE MARACUYÁ ESPECIAL JUMBO</t>
  </si>
  <si>
    <t>ETIQ. CIRCULAR 9cm IMPR. TORTA CALUGA NUEZ JUMBO</t>
  </si>
  <si>
    <t>ETIQ.CIRCULAR 9cm IMPR. TORTA HOJA PASTELERA JUMBO</t>
  </si>
  <si>
    <t>ETIQ.CIRCULAR 9cm IMPR. TORTA SAN JORGE AVELLANA ARTESANAL JUMBO</t>
  </si>
  <si>
    <t>ETIQ.CIRCULAR 9cm IMPR. TORTA SAN JORGE CHOCOLATE ARTESANAL JUMBO</t>
  </si>
  <si>
    <t>ETIQ.CIRCULAR 9cm IMPR. TORTA SAN JORGE GUINDA ARTESANAL JUMBO</t>
  </si>
  <si>
    <t>ETIQ.CIRCULAR 9cm IMPR. TORTA SAN JORGE LÚCUMA ARTESANAL JUMBO</t>
  </si>
  <si>
    <t>ETIQ.CIRCULAR 9cm TORTA PANQUEQUE NARANJA JUMBO</t>
  </si>
  <si>
    <t>ETIQUETA 200X50 POLIPROPILENO IMPR. QUINTA</t>
  </si>
  <si>
    <t>ETIQUETA AUTOADHESIVA 22X32 POLIPROPILENO (OPP)</t>
  </si>
  <si>
    <t>ETIQUETA BLANCA 100x120 SISA</t>
  </si>
  <si>
    <t>ETIQUETA BLANCA 100x80 SISA</t>
  </si>
  <si>
    <t>ETIQUETA BLANCA 120X100 OPP</t>
  </si>
  <si>
    <t>ETIQUETA BLANCA 200X50 SISA OPP</t>
  </si>
  <si>
    <t>ETIQUETA BLANCA 30X40</t>
  </si>
  <si>
    <t>ETIQUETA BLANCA 40x200 SISA</t>
  </si>
  <si>
    <t>ETIQUETA CIRCULAR 4cm IMPR. PASTEL SISA</t>
  </si>
  <si>
    <t>ETIQUETA CIRCULAR 9,8cm IMPR. PIE  5 COL +UV</t>
  </si>
  <si>
    <t>ETIQUETA CIRCULAR 9,8cm IMPR. TARTA  5 COL +UV</t>
  </si>
  <si>
    <t>ETIQUETA CIRCULAR 90 IMPRESA TORTA MERENGUE FRAMBUESA ESPECIAL JUMBO</t>
  </si>
  <si>
    <t>ETIQUETA CIRCULAR 90 IMPRESA TORTA MERENGUE LÚCUMA ESPECIAL JUMBO</t>
  </si>
  <si>
    <t>ETIQUETA CIRCULAR 9cm IMPR. T.CREMA PIÑA 5 COL +UV</t>
  </si>
  <si>
    <t>ETIQUETA CIRCULAR 9cm IMPR. TORTA CREMA MANJAR</t>
  </si>
  <si>
    <t>ETIQUETA CIRCULAR 9cm IMPR. TORTA SELVA NEGRA</t>
  </si>
  <si>
    <t>ETIQUETA CIRCULAR 9cm IMPR. TORTA TRS LECHES</t>
  </si>
  <si>
    <t>ETIQUETA CIRCULAR 9cm IMPR. TORTA YOGURT FRUTILLA</t>
  </si>
  <si>
    <t>ETIQUETA CIRCULAR 9cm TORTA CALUGA</t>
  </si>
  <si>
    <t>ETIQUETA CIRCULAR 9cm TORTA CHOCOLATE REAL</t>
  </si>
  <si>
    <t>ETIQUETA CIRCULAR 9cm TORTA CHOCOTORTA JUMBO</t>
  </si>
  <si>
    <t>ETIQUETA CIRCULAR 9cm TORTA CREMA CHOCOLATE</t>
  </si>
  <si>
    <t>ETIQUETA CIRCULAR 9cm TORTA DOÑA ISABEL</t>
  </si>
  <si>
    <t>ETIQUETA CIRCULAR 9cm TORTA GALLETA FRAMBUESA</t>
  </si>
  <si>
    <t>ETIQUETA CIRCULAR 9cm TORTA GUINDA CHOCOLATE</t>
  </si>
  <si>
    <t>ETIQUETA CIRCULAR 9cm TORTA HOJA MANJAR JUMBO</t>
  </si>
  <si>
    <t>ETIQUETA CIRCULAR 9cm TORTA MANJAR LUCUMA</t>
  </si>
  <si>
    <t>ETIQUETA CIRCULAR 9cm TORTA PANQUEQUE CHOCOLATE GUINDA</t>
  </si>
  <si>
    <t>ETIQUETA CIRCULAR 9cm TORTA SABOR MANJAR NUEZ</t>
  </si>
  <si>
    <t>ETIQUETA CIRCULAR 9cm TORTA SACHER</t>
  </si>
  <si>
    <t>ETIQUETA CIRCULAR 9cm TORTA SELVA NEGRA VEGANA</t>
  </si>
  <si>
    <t>ETIQUETA CIRCULAR OPCIÓN VEGANA CRISME</t>
  </si>
  <si>
    <t>ETIQUETA OPP TRANSPARENTE 22X32 CRISME</t>
  </si>
  <si>
    <t>ETIQUETA TORTA  MOCACCINO</t>
  </si>
  <si>
    <t>ETIQUETA TORTA MERENGUE COOKIES</t>
  </si>
  <si>
    <t>ETIQUETA TORTA MERENGUE FRAMBUESA CONGELADA</t>
  </si>
  <si>
    <t>ETIQUETA TORTA MERENGUE LEMON PIE</t>
  </si>
  <si>
    <t>ETIQUETA TORTA MERENGUE LUCUMA CONGELADA</t>
  </si>
  <si>
    <t>ETIQUETAS CIRCULAR 9cm  TORTA SELVA NEGRA JUMBO</t>
  </si>
  <si>
    <t>ETIQUETAS CIRCULAR 9cm IMPR. PANQUEQUE NARANJA</t>
  </si>
  <si>
    <t>ETIQUETAS CIRCULAR 9cm IMPR. TORTA 4 LECHES JUMBO</t>
  </si>
  <si>
    <t>ETIQUETAS CIRCULAR 9cm IMPR. TORTA BEATRIZ JUMBO</t>
  </si>
  <si>
    <t>ETIQUETAS CIRCULAR 9cm IMPR. TORTA BOM BOM</t>
  </si>
  <si>
    <t>ETIQUETAS CIRCULAR 9cm IMPR. TORTA DURAZNO MANJAR</t>
  </si>
  <si>
    <t>ETIQUETAS CIRCULAR 9cm IMPR. TORTA HOJA MANJAR</t>
  </si>
  <si>
    <t>ETIQUETAS CIRCULAR 9cm IMPR. TORTA IRLANDESA</t>
  </si>
  <si>
    <t>ETIQUETAS CIRCULAR 9cm IMPR. TORTA PIÑA JUMBO</t>
  </si>
  <si>
    <t>ETIQUETAS CIRCULAR 9cm IMPR. TORTA PQQ. CHOCOLATE MANJAR GUINDA SISA</t>
  </si>
  <si>
    <t>ETIQUETAS CIRCULAR 9cm IMPR. TORTA TRUFFA JUMBO</t>
  </si>
  <si>
    <t>ETIQUETAS CIRCULAR 9cm IMPR. TORTA VIENA JUMBO</t>
  </si>
  <si>
    <t>ETIQUETAS CIRCULAR 9cm IMPR. TORTA VIENA SISA</t>
  </si>
  <si>
    <t>ETIQUETAS CIRCULAR 9cm IMPR.TORTA TRES LECHES JUMB0</t>
  </si>
  <si>
    <t>FIGURA DE CORAZON MANAR</t>
  </si>
  <si>
    <t>FILLING DE FRAMBUESA MEL</t>
  </si>
  <si>
    <t>FILLING DE GUINDA BALDE 4,5 Kg</t>
  </si>
  <si>
    <t>FILM TRANSPARENTE  685 MM (23CM) BATTISTA</t>
  </si>
  <si>
    <t>FRAMBUESA CONGELADA ALTA FRUTA</t>
  </si>
  <si>
    <t>GALLETA OREO REGULAR ALCA</t>
  </si>
  <si>
    <t>GANACHE PURATOS</t>
  </si>
  <si>
    <t>GELATINA FRAMBUESA ALTO LA CRUZ</t>
  </si>
  <si>
    <t>GELATINA S/SABOR ALFA GROUP</t>
  </si>
  <si>
    <t>GELATINA S/SABOR ALTO LA CRUZ</t>
  </si>
  <si>
    <t>GRANA BLANCA</t>
  </si>
  <si>
    <t>GRANA CHOCOLATE</t>
  </si>
  <si>
    <t>GRANA SECA RED VELVET</t>
  </si>
  <si>
    <t>GRANILLO CHOCOLATE MANAR</t>
  </si>
  <si>
    <t>HARINA NUEZ TRES ERRE</t>
  </si>
  <si>
    <t>HOJA SEPARADORA PLANCHAS PROSERVAR</t>
  </si>
  <si>
    <t>HOJA SEPARADORA TARTALETA DIAMETRO 255 MMS.</t>
  </si>
  <si>
    <t>HOJA SEPARADORA TORTA DIAMETRO 230 MMS.</t>
  </si>
  <si>
    <t>HOJA SEPARADORA TORTA MEDIANA DIAMETRO 210 MMS.</t>
  </si>
  <si>
    <t>HOJARASCA 19 CMS. PAVESI</t>
  </si>
  <si>
    <t>INSUMO DISCO PANQUEQUE CHOCOLATE 18 CM.</t>
  </si>
  <si>
    <t>INSUMO INTERPLANTA BIZCOCHO CHOCOLATE 17 CMS</t>
  </si>
  <si>
    <t>INSUMO INTERPLANTA BIZCOCHO RED VELVET 19 CM</t>
  </si>
  <si>
    <t>INSUMO INTERPLANTA BIZCOCHO TIPO TRES LECHES 19 CM.</t>
  </si>
  <si>
    <t>INSUMO SEMI ELABORADO BROWNIE VEGANO INTERPLANTA</t>
  </si>
  <si>
    <t>INSUMO SEMIELABORADO GALLETA OREO MOLIDA</t>
  </si>
  <si>
    <t>INSUMO SEMI-ELABORADO INTERPLANTA BIZCOCHO CHOCOLATE 19cm</t>
  </si>
  <si>
    <t>INSUMO SEMI-ELABORADO INTERPLANTA BIZCOCHO VAINILLA 19cm</t>
  </si>
  <si>
    <t>JARABE 3 LECHES SCHOLLE 10LT DIWATTS</t>
  </si>
  <si>
    <t>JARABE DE REMOJO OCTOBINS</t>
  </si>
  <si>
    <t>JARABE DE REMOJO RON-NJA 40 BIDÓN 5 Lt</t>
  </si>
  <si>
    <t>JUGO DE LIMÓN ALTA FRUTA</t>
  </si>
  <si>
    <t>LAMINA ACETATO TRANSPARENTE 7x60 CM FPS</t>
  </si>
  <si>
    <t>LECHE CONDENSADA NESTLE</t>
  </si>
  <si>
    <t>LECHE CONDENSADA UNTABLE NESTLE</t>
  </si>
  <si>
    <t>LECHE CONDENSADA WATTS</t>
  </si>
  <si>
    <t>MANJAR ARTESANAL DIWATTS</t>
  </si>
  <si>
    <t>MANTEQUILLA WATTS</t>
  </si>
  <si>
    <t>MANZANAS SLICE MEL</t>
  </si>
  <si>
    <t>MARRASQUINO ALTO LA CRUZ</t>
  </si>
  <si>
    <t>MEDIA HOJARASCA OBERENA</t>
  </si>
  <si>
    <t>MEDIO DISCO CARTON BLANCO 19,5 JUMBO ARRIAZA</t>
  </si>
  <si>
    <t>MER. MEL PIÑA BALDE 5 Kg</t>
  </si>
  <si>
    <t>MERENGUE PURATOS</t>
  </si>
  <si>
    <t>MERENGUITOS PAVESI</t>
  </si>
  <si>
    <t>MERM. EBEL GRANDES CONSUMIDORES FRUTILLA BALDE 5 Kg</t>
  </si>
  <si>
    <t>MERM. EBEL GUINDA (ET. VERDE) BL 5 Kg</t>
  </si>
  <si>
    <t>MERM. LAMARKA MARACUYA BALDE 5 Kg</t>
  </si>
  <si>
    <t>MERM. MEL DURAZNO ENT. BALDE 5 Kg</t>
  </si>
  <si>
    <t>MERM. MEL FRAMBUESA QUINTA BALDE 5 Kg</t>
  </si>
  <si>
    <t>MERM. MEL GUINDA ÁCIDA QUINTA BALDE 5 Kg</t>
  </si>
  <si>
    <t>MERMELADA DE FRAMBUESA EBEL</t>
  </si>
  <si>
    <t>NECTAR SABOR NARANJA WATTS</t>
  </si>
  <si>
    <t>NUEVO BRILLO PARA CONGELADO PURATOS</t>
  </si>
  <si>
    <t>NUEZ MARIPOSA CLARA CAMPOS</t>
  </si>
  <si>
    <t>NUEZ PICADILLO CAMPOS</t>
  </si>
  <si>
    <t>NUEZ PICADILLO LAS TRES ERRES</t>
  </si>
  <si>
    <t>OREO MEDIUM CRUMBS (TROZOS) ALCA</t>
  </si>
  <si>
    <t>PALITOS DE CHOCOLATE PURATOS</t>
  </si>
  <si>
    <t>PIÑA EN CUBOS LAS PERDICES</t>
  </si>
  <si>
    <t>PIÑA EN RODAJA LAS PERDICES</t>
  </si>
  <si>
    <t>PISTACHO S/CASCARA TRES ERRES</t>
  </si>
  <si>
    <t>PLANCHA DE CARTON 1X1,20 ASTRA</t>
  </si>
  <si>
    <t>PM CREAM VELVET BAKELS</t>
  </si>
  <si>
    <t>Porción vainilla  Semi-Elab UND</t>
  </si>
  <si>
    <t>PURE DE LUCUMA (ET. VERDE) BALDE 4,5 Kg</t>
  </si>
  <si>
    <t>PURE DE MANZANA BALDE 4,5 Kg MEL</t>
  </si>
  <si>
    <t>RALLADO NEGRO 3mm ZUKKER</t>
  </si>
  <si>
    <t>RELLENO CHOCOLATE CREAM BAKELS</t>
  </si>
  <si>
    <t>RELLENO PIE DE FRAMBUESA</t>
  </si>
  <si>
    <t>RELLENO PIE MARACUYÁ BALDE 4,5 Kg</t>
  </si>
  <si>
    <t>REMOJO 3 LECHES RICHI</t>
  </si>
  <si>
    <t>REMOJO DULCERÍO 10 LITROS PURATOS</t>
  </si>
  <si>
    <t>SABOR AROMA LUCUMA FRANCIAAROMA</t>
  </si>
  <si>
    <t>SALSA DE FRAMBUESA MEL</t>
  </si>
  <si>
    <t>SALSA DE GUINDA BALDE 5 Kg</t>
  </si>
  <si>
    <t>SEMILLA DE AMAPOLA CAMPOS</t>
  </si>
  <si>
    <t>STRECH FILM AMARILLO</t>
  </si>
  <si>
    <t>STRECH FILM ANARANJADO</t>
  </si>
  <si>
    <t>STRECH FILM AZUL</t>
  </si>
  <si>
    <t>STRECH FILM BLANCO</t>
  </si>
  <si>
    <t>STRECH FILM NEGRO</t>
  </si>
  <si>
    <t>STRECH FILM ROJO</t>
  </si>
  <si>
    <t>STRECH FILM VERDE</t>
  </si>
  <si>
    <t>SUB DISCO HOJA 15 PP</t>
  </si>
  <si>
    <t>Tartaleta mediana semi-elab</t>
  </si>
  <si>
    <t>TRIANGULO BLANCO #45 MARMOLEADO NEGRO</t>
  </si>
  <si>
    <t>TRIANGULO NEGRO 45mm ZUKKER</t>
  </si>
  <si>
    <t>TRIANGULO VERDE #85 MARMOLEADO AMARILLO</t>
  </si>
  <si>
    <t>TRUFA CHOCOLATE PURATOS</t>
  </si>
  <si>
    <t>ULTRA RICH CLASICA UHT</t>
  </si>
  <si>
    <t>YOGURT FRUTILLA DIWATTS</t>
  </si>
  <si>
    <t>Número de artículo</t>
  </si>
  <si>
    <t>Descripción del artículo</t>
  </si>
  <si>
    <t>WhsCode</t>
  </si>
  <si>
    <t>Valorizado</t>
  </si>
  <si>
    <t>Fecha</t>
  </si>
  <si>
    <t>ACEITE VEGETAL 5000 CC. EGC</t>
  </si>
  <si>
    <t>PV_MATPR</t>
  </si>
  <si>
    <t>P1-BMP Puerto Vespucio</t>
  </si>
  <si>
    <t>AZUCAR RUBIA EGC</t>
  </si>
  <si>
    <t>BASE TORTA CON TOPE COEXPAN</t>
  </si>
  <si>
    <t>BOLSA PEBD 40x42 CM x35 MICRAS</t>
  </si>
  <si>
    <t>BOLSA PREPICADA 50x75</t>
  </si>
  <si>
    <t>Borde G 220x25 VERTIENTES</t>
  </si>
  <si>
    <t>CAJA PRODUCTO SECO (PS) SYCOR</t>
  </si>
  <si>
    <t>CAJA PTG 15PP JUMBO VTM SUR</t>
  </si>
  <si>
    <t>CAJA PTG 15PP SISA PROSERVAR</t>
  </si>
  <si>
    <t>CAJA TORTA MEDIANA VTM SUR</t>
  </si>
  <si>
    <t>CANELA EN POLVO ALTO LA CRUZ</t>
  </si>
  <si>
    <t>CAPSULAS DE PAPEL NUMERO 11 FOOD PACK</t>
  </si>
  <si>
    <t>CINTA BICOLOR NARANJA ZUKKER</t>
  </si>
  <si>
    <t>COLORANTE ROJO POLVO</t>
  </si>
  <si>
    <t>CREMA NATA RICH</t>
  </si>
  <si>
    <t>CREMA PASTELERA NARANJA BAKELS</t>
  </si>
  <si>
    <t>CREMFIL DULCE DE LECHE PURATOS</t>
  </si>
  <si>
    <t>CREMYVIT NARANJA TM1 PURATOS</t>
  </si>
  <si>
    <t>CRUMBLE FRAMBUESA CONGELADA ALTA FRUTA</t>
  </si>
  <si>
    <t>CRUSHED DE FRAMBUESA ALTO LA CRUZ</t>
  </si>
  <si>
    <t>CUPULA 271 BX DEANDES</t>
  </si>
  <si>
    <t>CUPULA TARTA 1025-5 MOLDES PAC</t>
  </si>
  <si>
    <t>CUPULA TORTA 15 PP H112 ALTA COEXPAN</t>
  </si>
  <si>
    <t>CUPULA TORTA 15PP OSKUPACK</t>
  </si>
  <si>
    <t>DESMOLDANTE PARA BATIDOS PURATOS</t>
  </si>
  <si>
    <t>DISCO CARTON BLANCO 17 CM PRAGGA</t>
  </si>
  <si>
    <t>DISCO CARTON BLANCO 17CM ARRIAZA</t>
  </si>
  <si>
    <t>DISCO CARTON BLANCO 24 CM PRAGGA</t>
  </si>
  <si>
    <t>DISCO CARTON BLANCO 24 JUMBO ARRIAZA</t>
  </si>
  <si>
    <t>DURAZNO EN CUBOS ALTO LA CRUZ</t>
  </si>
  <si>
    <t>DURAZNO EN MITADES ALTO LA CRUZ</t>
  </si>
  <si>
    <t>ETIQ. CIRCULAR 80cm IMPR. OPP TORTA CHOCOLATE WALMART</t>
  </si>
  <si>
    <t>ETIQ. CIRCULAR 80cm IMPR. OPP TORTA FRUTOS DEL BOSQUE WALMART</t>
  </si>
  <si>
    <t>ETIQ. CIRCULAR 80cm IMPR. OPP TORTA SAN JORGE SMU</t>
  </si>
  <si>
    <t>ETIQ. CIRCULAR 90cm IMPR. JUMBO KUCHEN DE DURAZNO</t>
  </si>
  <si>
    <t>ETIQ. CIRCULAR 90cm IMPR. JUMBO KUCHEN DE MANZANA</t>
  </si>
  <si>
    <t>ETIQ. CIRCULAR 90cm IMPR. JUMBO KUCHEN DE MANZANA TRENZADO</t>
  </si>
  <si>
    <t>ETIQ. CIRCULAR 90cm IMPR. JUMBO KUCHEN DE STROISSEL MANZANA</t>
  </si>
  <si>
    <t>ETIQ. CIRCULAR 90cm IMPR. OPP KUCHEN FRAMBUESA TRADICIONAL WALMART</t>
  </si>
  <si>
    <t>ETIQ. CIRCULAR 90cm IMPR. OPP TORTA AMOR MARKETSIDE</t>
  </si>
  <si>
    <t>ETIQ. CIRCULAR 90cm IMPR. OPP TORTA AMOR WALMART</t>
  </si>
  <si>
    <t>ETIQ. CIRCULAR 90cm IMPR. OPP TORTA HOJA MANJAR MERENGUE WALMART</t>
  </si>
  <si>
    <t>ETIQ. CIRCULAR 90cm IMPR. OPP TORTA PANQUEQUE NARANJA WALMART</t>
  </si>
  <si>
    <t>ETIQ. CIRCULAR 90cm IMPR. OPP TORTA PIÑA MARKETSIDE</t>
  </si>
  <si>
    <t>ETIQ. CIRCULAR 90cm IMPR. OPP TORTA PIÑA WALMART</t>
  </si>
  <si>
    <t>ETIQ. CIRCULAR 90cm IMPR. OPP TORTA SAN JORGE MARKETSIDE</t>
  </si>
  <si>
    <t>ETIQ. CIRCULAR 90cm IMPR. OPP TORTA SELVA NEGRA MARKETSIDE</t>
  </si>
  <si>
    <t>ETIQ. CIRCULAR 90cm IMPR. OPP TORTA SELVA NEGRA TRADICIONAL WALMART</t>
  </si>
  <si>
    <t>ETIQ. CIRCULAR 90cm IMPR. OPP TORTA SELVA NEGRA WALMART</t>
  </si>
  <si>
    <t>ETIQ. CIRCULAR 90cm IMPR. OPP TORTA TRES LECHES WALMART</t>
  </si>
  <si>
    <t>ETIQ. CIRCULAR 90cm IMPR. OPP TORTA VIENA MARKETSIDE</t>
  </si>
  <si>
    <t>ETIQUETA 300X57 TORTA HOJA MERENGUE SMU</t>
  </si>
  <si>
    <t>ETIQUETA 300X57 TORTA SAN JORGE SMU</t>
  </si>
  <si>
    <t>ETIQUETA BLANCA 100x50</t>
  </si>
  <si>
    <t>ETIQUETA BLANCA 180X50 PAPEL SEMIBRILLO CRISME</t>
  </si>
  <si>
    <t>ETIQUETA COLOR CREMA 245X40 OPP</t>
  </si>
  <si>
    <t>ETIQUETA CONSUMO</t>
  </si>
  <si>
    <t>ETIQUETA CONSUMO IMPRESO COLOR MOSTAZA</t>
  </si>
  <si>
    <t>ETIQUETA CONSUMO MARKETSIDE</t>
  </si>
  <si>
    <t>ETIQUETA DECORATIVA PASTEL MIL HOJAS PASTELERA JUMBO</t>
  </si>
  <si>
    <t>ETIQUETA DECORATIVA PASTEL PIÑA JUMBO</t>
  </si>
  <si>
    <t>ETIQUETA DECORATIVA PASTEL SELVA NEGRA JUMBO</t>
  </si>
  <si>
    <t>ETIQUETA DECORATIVA PASTEL TRES LECHES JUMBO</t>
  </si>
  <si>
    <t>ETIQUETA DECORATIVA PASTEL TRUFA JUMBO</t>
  </si>
  <si>
    <t>ETIQUETA GALLETA AMERICAN CRISPY CARAMELO SALADO</t>
  </si>
  <si>
    <t>FILLING DE MANZANA MEL</t>
  </si>
  <si>
    <t>FRUIT FILLING MANZANA FRUCOL</t>
  </si>
  <si>
    <t>GALLETA VINO NESTLE</t>
  </si>
  <si>
    <t>HARINA ORO 2</t>
  </si>
  <si>
    <t>HOJA SENCILLA PROSERVAR</t>
  </si>
  <si>
    <t>HOJA SEPARADORA TORTA DIAMETRO 230 MMS ASTRA</t>
  </si>
  <si>
    <t>JARABE DE REMOJO 35° BIDON</t>
  </si>
  <si>
    <t>JARABE DE REMOJO 35° TOTEM 1000 Lt</t>
  </si>
  <si>
    <t>JUGO EN POLVO ZUKO DURAZNO</t>
  </si>
  <si>
    <t>MANJAR GRADO 3 LANGER</t>
  </si>
  <si>
    <t>MANTEQUILLA SIN SAL ALCA</t>
  </si>
  <si>
    <t>MARGARINA HORNITO CERRILLOS</t>
  </si>
  <si>
    <t>MARRASQUINO FRUCOL</t>
  </si>
  <si>
    <t>MER. EBEL PIÑA BALDE 5 Kg</t>
  </si>
  <si>
    <t>MERENGUE CONGELABLE PURATOS</t>
  </si>
  <si>
    <t>MERM. EBEL FRUTOS DEL BOSQUE BALDE 5 KG</t>
  </si>
  <si>
    <t>MERM. EBEL PIÑA QUINTA BALDE 5 Kg</t>
  </si>
  <si>
    <t>MERM. LAMARKA DAMASCO BALDE 5 Kg</t>
  </si>
  <si>
    <t>MERM. LAMARKA FRAMBUESA BALDE 5 Kg</t>
  </si>
  <si>
    <t>MERM. MEL DAMASCO MOL. BALDE 5 Kg</t>
  </si>
  <si>
    <t>MERMELADA CIRUELA MEL</t>
  </si>
  <si>
    <t>MIX BIZC. RED VELVET PURATOS</t>
  </si>
  <si>
    <t>MIX BIZCOCHO BLANCO SAN CRISTOBAL</t>
  </si>
  <si>
    <t>MIX BIZCOCHO CHOCOLATE PURATOS</t>
  </si>
  <si>
    <t>MIX BIZCOCHO CHOCOLATE SAN CRISTOBAL</t>
  </si>
  <si>
    <t>MIX BIZCOCHO SIN AZUCAR PURATOS</t>
  </si>
  <si>
    <t>MIX TARTALETA SAN CRISTOBAL</t>
  </si>
  <si>
    <t>MOLDES PAPEL BASE TARTA MOLDESPAC</t>
  </si>
  <si>
    <t>MOSTACILLA CORAZÓN VALENTÍN AMBROSIA</t>
  </si>
  <si>
    <t>PAPEL BEIGE 38.5 x 44.5 ARRIAZA</t>
  </si>
  <si>
    <t>PASA MORENA</t>
  </si>
  <si>
    <t>PLACA TORTA VIENA ZUKKER</t>
  </si>
  <si>
    <t>PLANCHA DE HOJA  42X36X1 cm (1x12)</t>
  </si>
  <si>
    <t>PLANCHA PANQUEQUE VAINILLA TERCEROS PAVESI</t>
  </si>
  <si>
    <t>PROPIONATO DE CALCIO 14 KG WINKLER</t>
  </si>
  <si>
    <t>PROTEKTOR PURATOS</t>
  </si>
  <si>
    <t>RELLENO CREMA VAINILLA BAKELS</t>
  </si>
  <si>
    <t>RELLENO SABOR VAINILLA PURATOS</t>
  </si>
  <si>
    <t>SATIN PURATOS</t>
  </si>
  <si>
    <t>STRECH FILM REMINISEN</t>
  </si>
  <si>
    <t>SUB DISCO HOJA 10 PP</t>
  </si>
  <si>
    <t>SUB DISCO PANQUEQUE VAINILLA 16 CM</t>
  </si>
  <si>
    <t>TRIANGULO BLANCO RAYADO ROJO</t>
  </si>
  <si>
    <t xml:space="preserve">Consumo </t>
  </si>
  <si>
    <t>familia</t>
  </si>
  <si>
    <t>Etiquetas</t>
  </si>
  <si>
    <t>Cupula</t>
  </si>
  <si>
    <t>Esencia</t>
  </si>
  <si>
    <t>Azucar</t>
  </si>
  <si>
    <t>Chocolate</t>
  </si>
  <si>
    <t>Insumo</t>
  </si>
  <si>
    <t>Bolsas</t>
  </si>
  <si>
    <t>Mermelada</t>
  </si>
  <si>
    <t>Caja</t>
  </si>
  <si>
    <t>Fruta Conserva</t>
  </si>
  <si>
    <t>Fruta conserva</t>
  </si>
  <si>
    <t>Empaque</t>
  </si>
  <si>
    <t>Licor</t>
  </si>
  <si>
    <t>Colorantes</t>
  </si>
  <si>
    <t>Galleta</t>
  </si>
  <si>
    <t>Cremas</t>
  </si>
  <si>
    <t>cremas</t>
  </si>
  <si>
    <t>Carton</t>
  </si>
  <si>
    <t>Manjar</t>
  </si>
  <si>
    <t>fruta Conserva</t>
  </si>
  <si>
    <t>Film</t>
  </si>
  <si>
    <t>Fruta Congelada</t>
  </si>
  <si>
    <t>Gelatina</t>
  </si>
  <si>
    <t>Mix</t>
  </si>
  <si>
    <t>Remojo</t>
  </si>
  <si>
    <t>Jugo</t>
  </si>
  <si>
    <t>Leche condensada</t>
  </si>
  <si>
    <t>Margarina</t>
  </si>
  <si>
    <t>mix</t>
  </si>
  <si>
    <t>Yogurt</t>
  </si>
  <si>
    <t>Aceite</t>
  </si>
  <si>
    <t>Colorante</t>
  </si>
  <si>
    <t>Desmoldante</t>
  </si>
  <si>
    <t>Propionato</t>
  </si>
  <si>
    <t>D/stock</t>
  </si>
  <si>
    <t>CU_MATPR</t>
  </si>
  <si>
    <t>C4-BMP Curico</t>
  </si>
  <si>
    <t>BOLSA DISCO HOJA 35X35 CM x35 MICRAS</t>
  </si>
  <si>
    <t>DISCO CARTON MH 15 PP ARRIAZA</t>
  </si>
  <si>
    <t>DISCO DE PAPEL 19CM PQQ CURICO</t>
  </si>
  <si>
    <t>DISCO DE PAPEL PQQ KRAFT FPS</t>
  </si>
  <si>
    <t>ETIQUETA GENERICA TORTA MIL HOJAS MANJAR ESPECIAL WALMART</t>
  </si>
  <si>
    <t>GRANA DE HOJA</t>
  </si>
  <si>
    <t>HARINA 063 FINA HOJA SAN CRISTOBAL</t>
  </si>
  <si>
    <t>HARINA FORTALEZA SAN CRISTOBAL</t>
  </si>
  <si>
    <t>HARINA PLATA SAN CRISTOBAL</t>
  </si>
  <si>
    <t>HUEVO EN POLVO OVOSUR</t>
  </si>
  <si>
    <t>HUINCHA CARTON MH 8.5x75 ARRIAZA</t>
  </si>
  <si>
    <t>MARGARINA DE HOJA CERRILLOS</t>
  </si>
  <si>
    <t>MARGARINA HORNITO DIWATTS</t>
  </si>
  <si>
    <t>MIX PANQUEQUE CHOCOLATE SAN CRISTOBAL</t>
  </si>
  <si>
    <t>MIX PANQUEQUE HUEVO POLVO SAN CRISTOBAL</t>
  </si>
  <si>
    <t>PAPEL MANTEQUILLA ARRIAZA</t>
  </si>
  <si>
    <t>SAL FINA</t>
  </si>
  <si>
    <t>VINAGRE WINKLER</t>
  </si>
  <si>
    <t>Harina</t>
  </si>
  <si>
    <t>Huevo</t>
  </si>
  <si>
    <t>insumo</t>
  </si>
  <si>
    <t>Total general</t>
  </si>
  <si>
    <t>Etiquetas de fila</t>
  </si>
  <si>
    <t>Suma de Valorizado</t>
  </si>
  <si>
    <t>Suma de D/stock</t>
  </si>
  <si>
    <t xml:space="preserve">MINIMO </t>
  </si>
  <si>
    <t>ENEA</t>
  </si>
  <si>
    <t>VESPUCIO</t>
  </si>
  <si>
    <t>CURICO</t>
  </si>
  <si>
    <t>TIPS</t>
  </si>
  <si>
    <t xml:space="preserve">artículo </t>
  </si>
  <si>
    <t>Descripción artículo/serv.</t>
  </si>
  <si>
    <t>FAMILIA</t>
  </si>
  <si>
    <t>TIME</t>
  </si>
  <si>
    <t>proveedore</t>
  </si>
  <si>
    <t>JARABE REMOJO SISA DIWATTS</t>
  </si>
  <si>
    <t>DIWATTS S.A.</t>
  </si>
  <si>
    <t>PURATOS DE CHILE SPA</t>
  </si>
  <si>
    <t>PROPIONATO DE SODIO WINKLER</t>
  </si>
  <si>
    <t>INDUSTRIAS ALIMENTOS WINKLER LIMITADA.</t>
  </si>
  <si>
    <t>MASTER MARTINI SPA</t>
  </si>
  <si>
    <t>EGC SPA</t>
  </si>
  <si>
    <t>CEREZAS AL JUGO DESCAROZADAS FRUCOL</t>
  </si>
  <si>
    <t>FRUCOL CHILE S.P.A</t>
  </si>
  <si>
    <t>MEL ALIMENTOS SPA</t>
  </si>
  <si>
    <t>PIÑA EN RODAJAS ALTO LA CRUZ</t>
  </si>
  <si>
    <t>AGROINDUSTRIAL LAS TRES ERRE LTDA.</t>
  </si>
  <si>
    <t>COMERCIAL SANTA ELENA S.A.</t>
  </si>
  <si>
    <t>DISTRIBUIDORA MANAR LIMITADA</t>
  </si>
  <si>
    <t>YOGURT FRUTILLA SOPROLE</t>
  </si>
  <si>
    <t>RELLENO PIE DE LIMON SAN CRISTOBAL</t>
  </si>
  <si>
    <t>COMPAÑIA MOLINERA SAN CRISTOBAL S.A.</t>
  </si>
  <si>
    <t>RICH PRODUCTS CORPORATION DE CHILE LIMITADA</t>
  </si>
  <si>
    <t>GRAN PAVESI ALIMENTOS  LTDA</t>
  </si>
  <si>
    <t>NESTLE CHILE S.A.</t>
  </si>
  <si>
    <t>SOCIEDAD CRISME AUTOADHESIVOS SPA</t>
  </si>
  <si>
    <t>COGÑAC TILICURA</t>
  </si>
  <si>
    <t>DISTRIBUIDORA Y COMERCIAL TILICURA SA</t>
  </si>
  <si>
    <t>CAJA TORTA MEDIANA PROSERVAR</t>
  </si>
  <si>
    <t>PROSERVAR LTDA.</t>
  </si>
  <si>
    <t>PIÑA EN CUBOS</t>
  </si>
  <si>
    <t>ALIGE S.A.</t>
  </si>
  <si>
    <t>CREMA CHANTIFESTA RICHS</t>
  </si>
  <si>
    <t>SOCIEDAD EHLAN S.A.</t>
  </si>
  <si>
    <t>MC GROUP SPA</t>
  </si>
  <si>
    <t>FRAMBUESA CONGELADA FRUTOS DEL MAIPO</t>
  </si>
  <si>
    <t>ACEITE FRITO MASTER DIWATTS</t>
  </si>
  <si>
    <t>VINAGRE BLANCO EGC</t>
  </si>
  <si>
    <t>INVERSIONES GRUPO CAMPOS SPA</t>
  </si>
  <si>
    <t>Sociedad Comercial Astra SPA</t>
  </si>
  <si>
    <t>DISCO CARTÓN CAFE CORRUGADO 19 CM ASTRA</t>
  </si>
  <si>
    <t>QUINOA PERLA DE COLORES ZUKKER</t>
  </si>
  <si>
    <t>ALIMENTOS ZUKKER LTDA.</t>
  </si>
  <si>
    <t>WATT´S S.A.</t>
  </si>
  <si>
    <t>CREMA AMBIENTE PURATOS</t>
  </si>
  <si>
    <t>DEANDES S. A.</t>
  </si>
  <si>
    <t>DISCO CARTÓN BLANCO 19 FPS</t>
  </si>
  <si>
    <t>FPS MARKETING Y COMUNICACIÓN SPA.</t>
  </si>
  <si>
    <t>INVERSIONES SYCOR LTDA.</t>
  </si>
  <si>
    <t>CAJA PTG 15PP JUMBO SYCOR</t>
  </si>
  <si>
    <t>CAJA PTG 15PP SISA SYCOR</t>
  </si>
  <si>
    <t>CAJA TORTA MEDIANA SYCOR</t>
  </si>
  <si>
    <t>FRAMBUESA MITAD CONGELADA MEL</t>
  </si>
  <si>
    <t>VINAGRE VINO BLANCO</t>
  </si>
  <si>
    <t>WALMART CHILE MAYORISTA LTDA.</t>
  </si>
  <si>
    <t>HOJARASCA 25p. PAVESI</t>
  </si>
  <si>
    <t>QUINTA SA</t>
  </si>
  <si>
    <t>DISCO PANQUEQUE VAINILLA SEMI-ELAB UND</t>
  </si>
  <si>
    <t>INSUMO INTERPLANTA BIZCOCHO BLANCO 17 CM</t>
  </si>
  <si>
    <t>INSUMO SEMI-ELABORADO BIZCOCHO VEGANO</t>
  </si>
  <si>
    <t>INSUMO SEMIELABORADO GALLETA DE VINO  MOLIDA</t>
  </si>
  <si>
    <t>ETIQUETA CIRCULAR 9cm TORTA PIÑA VEGANA</t>
  </si>
  <si>
    <t>TARTALETA FAMILIAR RECETA TRADICIONAL</t>
  </si>
  <si>
    <t>INSUMO INTERPLANTA BIZCOCHO CONFETI 17 CM</t>
  </si>
  <si>
    <t>SIGNO REPRESENTACIONES LTDA</t>
  </si>
  <si>
    <t>IMPORTADORA Y  COMERCIALIZADORA HASSI LTDA</t>
  </si>
  <si>
    <t>ALTA FRUTA SPA</t>
  </si>
  <si>
    <t>CAJA PTG 15PP SISA VTM SUR</t>
  </si>
  <si>
    <t>BOLSA PREPICADA BANDEJA 100X90</t>
  </si>
  <si>
    <t>SOLUTIONS PACKAGING SPA</t>
  </si>
  <si>
    <t>PRODUCTOS ARRIAZA LIMITADA</t>
  </si>
  <si>
    <t>CUPULA TORTA 15PP (98-45) MONSALVE CENCOSUD</t>
  </si>
  <si>
    <t>MONSALVE Y COMPAÑIA LIMITADA</t>
  </si>
  <si>
    <t>CUPULA 170B DEANDES</t>
  </si>
  <si>
    <t>CUPULA TORTA ALTA  15PP (98-5) MONSALVE CENCOSUD</t>
  </si>
  <si>
    <t>DISCO DE PAPEL PQQ CURICO</t>
  </si>
  <si>
    <t>CAJA PTG 15PP JUMBO PROSERVAR</t>
  </si>
  <si>
    <t>PLANCHA DE CARTON 1X1,20 PROSERVAR</t>
  </si>
  <si>
    <t>BASE DE TARTALETA SOFT BLANCA PAVESI</t>
  </si>
  <si>
    <t>ETIQUETA  4,2X6cm IMPR.PASTEL 5 COLOR + BARNIZ UV</t>
  </si>
  <si>
    <t>ETIQUETAS 75X130 IMPRESAS CUATRICOMIA MAS UV (MAXIMA)</t>
  </si>
  <si>
    <t>ETIQUETA CIRCULAR TORTA AMOR</t>
  </si>
  <si>
    <t>CREMA PASSIONATA</t>
  </si>
  <si>
    <t>ETIQUETAS CIRCULAR 9cm IMPR. TORTA LUCUMA JUMBO</t>
  </si>
  <si>
    <t>ETIQUETAS 22X32 BLANCA ADHESIVO ULTRA FRÍO</t>
  </si>
  <si>
    <t>OVOPRODUCTOS DEL SUR CHILE S. A.</t>
  </si>
  <si>
    <t>CUPULA TORTA ALTA SISA FPS</t>
  </si>
  <si>
    <t>SABORES Y FRAGANCIAS .CL COMERCIAL LIMITADA</t>
  </si>
  <si>
    <t>JUGO DE LIMÓN CONGELADO WATT</t>
  </si>
  <si>
    <t>JUGO EN POLVO FRUTILLA</t>
  </si>
  <si>
    <t>COMERCIAL GALVARINO LIMITADA</t>
  </si>
  <si>
    <t>MOSTACILLA CIRCULO 6 COLORES AMBROSIA</t>
  </si>
  <si>
    <t>SOCIEDAD AMBROSIA LTDA.</t>
  </si>
  <si>
    <t>ETIQ. CIRCULAR 90cm IMPR. TORTA CUSINE &amp; CO SISA CONFETTI</t>
  </si>
  <si>
    <t>ETIQ. CIRCULAR 90cm IMPR. TORTA CUSINE &amp; CO SISA TORTA CARAMEL</t>
  </si>
  <si>
    <t>LECHE CONDENSADA MONACO</t>
  </si>
  <si>
    <t>DISTRIBUIDORA MONACO SPA</t>
  </si>
  <si>
    <t>CUPULA TORTA ALTA  15PP (98-5) FPS</t>
  </si>
  <si>
    <t>LECHE CONDENSADA EGC</t>
  </si>
  <si>
    <t>CAJA PLASTICA AZUL QUINTA</t>
  </si>
  <si>
    <t>PREMEZCLA BIZCOCHO ROJO HI SAN CRISTOBAL</t>
  </si>
  <si>
    <t>PREMEZCLA BIZCOCHO ANARANJADO HI SAN CRISTOBAL</t>
  </si>
  <si>
    <t>PREMEZCLA BIZCOCHO VERDE HI SAN CRISTOBAL</t>
  </si>
  <si>
    <t>PREMEZCLA BIZCOCHO MORADO HI SAN CRISTOBAL</t>
  </si>
  <si>
    <t>COMERCIAL CERRILLOS</t>
  </si>
  <si>
    <t>ACEITE VEGETAL 500CC EGC</t>
  </si>
  <si>
    <t>AZUCAR FLOR ALTO LA CRUZ</t>
  </si>
  <si>
    <t>AZUCAR FLOR ANTI-HUMEDAD MANAR</t>
  </si>
  <si>
    <t>HUEVO LIQUIDO LAS RASTRAS</t>
  </si>
  <si>
    <t>AGRICOLA LAS  RASTRAS SPA.</t>
  </si>
  <si>
    <t>HUEVO LIQUIDO TOTEM ARIZONA</t>
  </si>
  <si>
    <t>COMERCIAL E INDUSTRIAL ARIZONA LIMITADA</t>
  </si>
  <si>
    <t>MERMELADA FRUTILLA GRADO 1 MEL</t>
  </si>
  <si>
    <t>JOSE MANUEL LANGER GIORDANO</t>
  </si>
  <si>
    <t>FRANCIA AROMA S.A.</t>
  </si>
  <si>
    <t>MERMELADA DE LUCUMA DIWATTS</t>
  </si>
  <si>
    <t>PULPA MARACUYÁ CON PEPAS ALTA FRUTA</t>
  </si>
  <si>
    <t>HUEVO LIQUIDO TOTE LAS RASTRAS</t>
  </si>
  <si>
    <t>AGRICOLA LAS RASTRAS SPA.</t>
  </si>
  <si>
    <t>ETIQUETA GENÉRICA TORTA RAINBOW</t>
  </si>
  <si>
    <t>TEGRAL BROWNIE VEGGI PURATOS</t>
  </si>
  <si>
    <t>CHOCOLATE ARCOÍRIS  AMBROSIA</t>
  </si>
  <si>
    <t>ETIQUETA GENERICA TORTA HOJA MANJAR CHOCOLATE</t>
  </si>
  <si>
    <t>GALLETA VINO CAROZZI</t>
  </si>
  <si>
    <t>EMPRESAS CAROZZI</t>
  </si>
  <si>
    <t>MERMELADA FRUTOS DEL BOSQUE MEL</t>
  </si>
  <si>
    <t>JUGO EN POLVO SABOR FRUTILLA</t>
  </si>
  <si>
    <t>RON DORADO</t>
  </si>
  <si>
    <t>DISTRIBUIDORA GILCO LTDA</t>
  </si>
  <si>
    <t>MERMELADA DURAZNO PURATOS</t>
  </si>
  <si>
    <t>TEGRAL MUFFINS VEGANO PURATOS</t>
  </si>
  <si>
    <t>CREMA AMBIENTE ICING PURATOS</t>
  </si>
  <si>
    <t>HUEVO LIQUIDO AGRICOVIAL</t>
  </si>
  <si>
    <t>COMERCIAL AGRICOVIAL S.A.</t>
  </si>
  <si>
    <t>HOJARASCA OBERENA</t>
  </si>
  <si>
    <t>COMERCIALIZADORA DE ALIMENTOS OBERENA LTDA</t>
  </si>
  <si>
    <t>BOLSA 30X32 CM 35 MICRAS</t>
  </si>
  <si>
    <t>BOLSA PREPICADA BANDEJA  100*90 COLOR AZUL</t>
  </si>
  <si>
    <t>SOCIEDAD COMERCIAL SARMIENTO Y HERNÁNDEZ SPA</t>
  </si>
  <si>
    <t>MIX TARTALETA PURATOS</t>
  </si>
  <si>
    <t>SOC. INMOBILIARIA Y DE INVERSIONES LAS VERTIENTES SPA.</t>
  </si>
  <si>
    <t>CUPULA 15 PP ALTA WALMART</t>
  </si>
  <si>
    <t>Embalajes Internacionales Oskupack SPA</t>
  </si>
  <si>
    <t>CAJA MADRE DE PLANCHAS (PL) PAIMASA</t>
  </si>
  <si>
    <t>PAIMASA S.A.</t>
  </si>
  <si>
    <t>ETIQUETA CIRCULAR 9,8cm IMPR. KUCHEN  5 COL +UV</t>
  </si>
  <si>
    <t>ETIQUETA KUCHEN MANZANA WALMART</t>
  </si>
  <si>
    <t>ETIQUETA KUCHEN 4 SABORES WALMART</t>
  </si>
  <si>
    <t>ETIQUETA KUCHEN FRAMBUESA WALMART</t>
  </si>
  <si>
    <t>DISCO CARTON 19CM MICROCORRUGADO ALIMPACK</t>
  </si>
  <si>
    <t>ALIMPACK SPA</t>
  </si>
  <si>
    <t>ETIQUETA GENERICA TORTA CHOCOLATE 8 PP</t>
  </si>
  <si>
    <t>ETIQUETA GENERICA TORTA CHOCOLATE MANJAR</t>
  </si>
  <si>
    <t>ETIQUETA GENERICA TORTA CHOCOQUINDA</t>
  </si>
  <si>
    <t>ETIQUETA GENERICA TORTA CREMA MARACUYA</t>
  </si>
  <si>
    <t>ETIQUETA GENERICA TORTA CREMA MOKA</t>
  </si>
  <si>
    <t>ETIQUETA GENERICA TORTA CREMA PIÑA</t>
  </si>
  <si>
    <t>ETIQUETA GENERICA TORTA HOLANDESA</t>
  </si>
  <si>
    <t>ETIQUETA GENERICA TORTA MOUSSE MANJAR</t>
  </si>
  <si>
    <t>ETIQUETA GENERICA TORTA SELVA NEGRA</t>
  </si>
  <si>
    <t>ETIQUETA GENERICA TORTA TRES LECHES</t>
  </si>
  <si>
    <t>ETIQUETA GENERICA TORTA SAN JORGE</t>
  </si>
  <si>
    <t>ETIQUETA CONSUMO IMPRESO COLOR CAFÉ</t>
  </si>
  <si>
    <t>ETIQUETA GENERICA TORTA PANQUEQUE NARANJA</t>
  </si>
  <si>
    <t>CUPULA TORTA ALTA CON TOPE WALMART FPS</t>
  </si>
  <si>
    <t>FRUTILLA PICADILLO CONGELADA ALTA FRUTA</t>
  </si>
  <si>
    <t>ETIQUETA GENERICA TORTA FRUTOS DEL BOSQUE</t>
  </si>
  <si>
    <t>JUGO EN POLVO DURAZNO</t>
  </si>
  <si>
    <t>GRANILLO DE COLORES MANAR</t>
  </si>
  <si>
    <t>GALLETA OREO REGULAR BEZANILLA</t>
  </si>
  <si>
    <t>BEZANILLA COMERCIALIZADORA DE ALIEMENTOS SPA</t>
  </si>
  <si>
    <t>OREO MEDIUM CRUMBS (TROZOS) BEZANILLA</t>
  </si>
  <si>
    <t>CINTA DE EMBALAJE 72x100 REMINISEN</t>
  </si>
  <si>
    <t>SOCIEDAD COMERCIALIZADORA REMINISEN LTDA</t>
  </si>
  <si>
    <t>DISCO CARTON BLANCO 17CM FPS</t>
  </si>
  <si>
    <t>DISCO CARTON BLANCO 24 FPS</t>
  </si>
  <si>
    <t>ETIQ. CIRCULAR 90cm IMPR. JUMBO KUCHEN DE FRUTILLA</t>
  </si>
  <si>
    <t>ETIQ. CIRCULAR 90cm IMPR. JUMBO KUCHEN DE FRAMBUESA</t>
  </si>
  <si>
    <t>COMBO 88 ALTA 12 PP FOOD PACK</t>
  </si>
  <si>
    <t>Sociedad Riadi Limitada</t>
  </si>
  <si>
    <t>CUPULA TORTA ALTA  15PP (98-5) FOOD PACK</t>
  </si>
  <si>
    <t>ETIQ.CIRCULAR 9cm IMPR. TORTA ROGEL</t>
  </si>
  <si>
    <t>COMERCIAL LAS PERDICES SPA</t>
  </si>
  <si>
    <t>ETIQ. CIRCULAR 90cm IMPR. CUSINE &amp; CO JUMBO PIE DE LIMON ESPECIAL</t>
  </si>
  <si>
    <t>DISCO PANQUEQUE CHOCOLATE 18 CM ENCOMIENDA TOTTUS</t>
  </si>
  <si>
    <t>MIX BIZCOCHO BLANCO PURATOS</t>
  </si>
  <si>
    <t>DECORCREM NEGRO BLOQUE PURATOS</t>
  </si>
  <si>
    <t>PIÑA EN CUBOS ALTO LA CRUZ</t>
  </si>
  <si>
    <t>RELLENO COCO CREAM BAKELS</t>
  </si>
  <si>
    <t>BAKELS CHILE S.A.</t>
  </si>
  <si>
    <t>TRIANGULO NEGRO COCO RALLADO ZUKKER</t>
  </si>
  <si>
    <t>ETIQUETA CIRCULAR 9cm IMPR. TORTA PIÑA COLADA</t>
  </si>
  <si>
    <t>ETIQ.CIRCULAR 9cm IMPR. TORTA MERENGUE NOUGAT</t>
  </si>
  <si>
    <t>ALFA CHILENA ALIMENTOS LIMITADA.</t>
  </si>
  <si>
    <t>COEXPAN CHILE SPA</t>
  </si>
  <si>
    <t>CAJA  PTG AZUL 15PP ALTA</t>
  </si>
  <si>
    <t>ESTUCHE GALLETAS VERA Y GIANNINI</t>
  </si>
  <si>
    <t>VERA Y GIANNINI IMPRESORES S.A.</t>
  </si>
  <si>
    <t>DUAS RODAS CHILE SPA</t>
  </si>
  <si>
    <t>RON TILICURA</t>
  </si>
  <si>
    <t>JUGO POLVO DURAZNO</t>
  </si>
  <si>
    <t>DISTRIBUIDORA PEQUITA</t>
  </si>
  <si>
    <t>JUGO POLVO FRUTILLA</t>
  </si>
  <si>
    <t>DULCE DE LECHE MANAR</t>
  </si>
  <si>
    <t>CAJA DE PASTELES PAIMASA</t>
  </si>
  <si>
    <t>JARABE 3 LECHES DIWATTS</t>
  </si>
  <si>
    <t>CUPULA TORTA ALTA CON TOPE WALMART ECOPLASTIC</t>
  </si>
  <si>
    <t>FABRICA DE PLASTICOS ECOPLASTICS SPA</t>
  </si>
  <si>
    <t>CUPULA TORTA ALTA SISA ECOPLASTIC</t>
  </si>
  <si>
    <t>CAJA PRODUCTO SECO (PS) PAIMASA</t>
  </si>
  <si>
    <t>ETIQUETA 9X11cm IMPRESA BERLIN 5 COLOR + BARNIZ UV</t>
  </si>
  <si>
    <t>CREMA PASTELERA JUMBO PURATOS</t>
  </si>
  <si>
    <t>MANJAR DULCE DE RELLENO MORNASCO</t>
  </si>
  <si>
    <t>COMERCIAL E INDUSTRIAL FINO MORNASCO LTDA.</t>
  </si>
  <si>
    <t>MERENGUE CONGELABLE SAN CRISTOBAL</t>
  </si>
  <si>
    <t>CUPULA 170 BX BUENAVENTURA</t>
  </si>
  <si>
    <t>ENVASES BUENAVENTURA SPA</t>
  </si>
  <si>
    <t>PLANCHA DE CARTON 1X1,20 EHLAN</t>
  </si>
  <si>
    <t>CUPULA TARTA 1025-4 FOOD PACK</t>
  </si>
  <si>
    <t>CREMA HULALA MEL</t>
  </si>
  <si>
    <t>Porción Chocolate  Semi-Elab UND</t>
  </si>
  <si>
    <t>Tartaleta Familiar Semi-Elab</t>
  </si>
  <si>
    <t>CUPULA TARTA 1025-3 MONSALVE</t>
  </si>
  <si>
    <t>CAJA DE ENCOMIENDA (EN) PAIMASA</t>
  </si>
  <si>
    <t>BRILLO PARA CONGELADOS PURATOS</t>
  </si>
  <si>
    <t>INSUMO SEMI ELABORADO SUB BROWNIE CHOCOLATE VEGANO</t>
  </si>
  <si>
    <t>PORCIÓN TRES LECHES SEMI ELABORADO</t>
  </si>
  <si>
    <t>MANJAR RECETA CASERA NESTLE</t>
  </si>
  <si>
    <t>CAJA PTG AZUL 15PP ASTRA</t>
  </si>
  <si>
    <t>DISCO PANQUEQUE CHOCOLATE 16 CM SEMI ELABORADO</t>
  </si>
  <si>
    <t>DULCE DE LECHE BAKELS</t>
  </si>
  <si>
    <t>LAMINA ACETATO TRANSPARENTE 7x60 CM ECOPLASTIC</t>
  </si>
  <si>
    <t>ETIQUETA CIRCULAR 9cm IMPR. TORTA 3 LECHES CONGELADA</t>
  </si>
  <si>
    <t>COLORANTE FRAMBUESA QU-867 FLORAMATIC</t>
  </si>
  <si>
    <t>INDUSTRIAS FLORAMATIC LTDA.</t>
  </si>
  <si>
    <t>FRUTILLA CONGELADA ALTA FRUTA</t>
  </si>
  <si>
    <t>DULCE DE LECHE REPOSTERO PHILLIP</t>
  </si>
  <si>
    <t>PHILLIP HARBOE PRODUCCIONES EIRL</t>
  </si>
  <si>
    <t>PLANCHA BIZC. VAINILLA 1x3</t>
  </si>
  <si>
    <t>BIZCOCHO VAINILLA 19 cms. 1x18</t>
  </si>
  <si>
    <t>BIZCOCHO VAINILLA 23 cms. 1x8</t>
  </si>
  <si>
    <t>MANTEQUILLA SIN SAL SOPROLE</t>
  </si>
  <si>
    <t>LAMINA ACETATO TRANSPARENTE ECOPLASTIC</t>
  </si>
  <si>
    <t>MR1005001</t>
  </si>
  <si>
    <t>CALEFACTOR CERRADO 250 WATTS 130 VOLT</t>
  </si>
  <si>
    <t>WATTVOLT INGENIERIA Y SERVICIOS SpA</t>
  </si>
  <si>
    <t>BORDE G 18,5 MEDIANO LAS VERTIENTES</t>
  </si>
  <si>
    <t>CARAT NUXEL HAZELNUT</t>
  </si>
  <si>
    <t>Curico</t>
  </si>
  <si>
    <t>PRALINE ALM-AVELL 50% PURATOS</t>
  </si>
  <si>
    <t>PF PRALICRAC CARAM. PURATOS</t>
  </si>
  <si>
    <t>HOJARASCA 16CM OBERENA</t>
  </si>
  <si>
    <t>ALMENDRAS FILETEADAS ALTO LA CRUZ</t>
  </si>
  <si>
    <t>CORONA MASA CHOUX OBERENA</t>
  </si>
  <si>
    <t>ETIQ. CIRCULAR 90cm IMPR. FRANGIPANE CLÁSICO ESPECIAL JUMBO</t>
  </si>
  <si>
    <t>ETIQ. CIRCULAR 90cm IMPR. FRANGIPANE CROCANTE ESPECIAL JUMBO</t>
  </si>
  <si>
    <t>QUESO CREMA SOPROLE</t>
  </si>
  <si>
    <t>Queso</t>
  </si>
  <si>
    <t>CUPULA 98-9 ALTA 12 PP MONSALVE</t>
  </si>
  <si>
    <t>CUPULA 170A DEANDES</t>
  </si>
  <si>
    <t>CAJA DOS TORTAS PROSERVAR</t>
  </si>
  <si>
    <t>PROPIONATO DE CALCIO ALCHEM</t>
  </si>
  <si>
    <t>ALCHEM SPA</t>
  </si>
  <si>
    <t>CACAO AMARGO</t>
  </si>
  <si>
    <t>ALCA SPA</t>
  </si>
  <si>
    <t>BANDEJA BASE TORTA  ALIMPACK</t>
  </si>
  <si>
    <t>CAJA TORTA CONICA VENTANA ALIMPACK</t>
  </si>
  <si>
    <t>CARTULINA BLANCA EMPLACADA DIAMTERO 19CM ALIMPACK</t>
  </si>
  <si>
    <t>ETIQ. CIRCULAR 90cm IMPR. COURONNE PRALINE ESPECIAL JUMBO</t>
  </si>
  <si>
    <t>ETIQUETA CIRCULAR 9cm IMPR. CHEESECAKE SISA</t>
  </si>
  <si>
    <t>ETIQUETA CIRCULAR 9cm IMPR. POSTRES SISA</t>
  </si>
  <si>
    <t>ETIQUETA CIRCULAR 9cm IMPR. TORTA CHILENA</t>
  </si>
  <si>
    <t>HUEVOS MITADES</t>
  </si>
  <si>
    <t>PASTA VAINILLA SABORES Y FRAGANCIAS</t>
  </si>
  <si>
    <t>Pasta</t>
  </si>
  <si>
    <t>DISCO DE PANQUEQUE VAINILLA 18 CM ENCOMIENDA TOTTUS</t>
  </si>
  <si>
    <t>DISCO MICROCORRUGADO 19CM ASTRA</t>
  </si>
  <si>
    <t>PISTACHO TROZO TOSTADO SIN SAL GRUPO CAMPOS</t>
  </si>
  <si>
    <t>PISTACHO CUBO (GRANEL) MORITO</t>
  </si>
  <si>
    <t>SOC.COMERC.Y DIST. SHARA HERMANOS LTDA.</t>
  </si>
  <si>
    <t>FLOR DE LOTO CHOCOLATE MORADA AMBROSIA</t>
  </si>
  <si>
    <t>CORAZÓN MANGUEADO GANACHE AMBROSIA</t>
  </si>
  <si>
    <t>PASTA PISTACHO SIN AZUCAR SABORES Y FRAGANCIA</t>
  </si>
  <si>
    <t>RELLENO PISTACHO SIN TROZOS CERRILLOS</t>
  </si>
  <si>
    <t>FLOR MANGUEADA GANACHE AMBROSIA</t>
  </si>
  <si>
    <t>ETIQ. CIRCULAR 90cm IMPR. TORTA PISTACHO FRAMBUESA ESPECIAL JUMBO</t>
  </si>
  <si>
    <t>MARGARINA DE HOJA FERRON</t>
  </si>
  <si>
    <t>CAMILO FERRON S.A.</t>
  </si>
  <si>
    <t>MARGARINA HOJA MASTER MARTINI</t>
  </si>
  <si>
    <t>BOLSA VIRGEN ROJA DE 40 X 42 X 0,035 SIGNO</t>
  </si>
  <si>
    <t>BLISTER 7189 1 PASTEL BUENAVENTURA</t>
  </si>
  <si>
    <t>PIÑA EN RODAJAS CAMPOS</t>
  </si>
  <si>
    <t>REMOJO DULCERÍO PURATOS</t>
  </si>
  <si>
    <t>PAPELERA CHILE SPA</t>
  </si>
  <si>
    <t>ETIQ. CIRCULAR 9cm IMPR. TORTA HOJA MANJAR PASTELERA</t>
  </si>
  <si>
    <t>ETIQ.CIRCULAR 9cm IMPR. TORTA MERENGUE LUCUMA JUMBO</t>
  </si>
  <si>
    <t>ETIQUETAS AUTOADHESIVAS CRISTIAN VALDES BLANCO EIRL</t>
  </si>
  <si>
    <t>MANTEQUILLA SIN SAL WATT</t>
  </si>
  <si>
    <t>COSTA CHOCOLATE 24X140 GRS EGC</t>
  </si>
  <si>
    <t>SANTA ROSA CHILE ALIMIENTOS LIMITADA</t>
  </si>
  <si>
    <t>LAMINAS PET TRANSPARENTE 300 MICRO 61X5 CMTS</t>
  </si>
  <si>
    <t>INVERSIONES FMB TERMOGRAPHICS LTDA.</t>
  </si>
  <si>
    <t>SUB DISCO HOJA 17 CM</t>
  </si>
  <si>
    <t>ETIQUETA CIRCULAR 9cm TORTA TENTACIÓN DE CHOCOLATE JUMBO</t>
  </si>
  <si>
    <t>CUPULA LISA BAJA FOOD PACK</t>
  </si>
  <si>
    <t>RALLADO 3mm BICOLOR BLANCO-ROSADO ZUKKER</t>
  </si>
  <si>
    <t>ZANAHORIA GANACHE CHOCOLATE AMBROSIA</t>
  </si>
  <si>
    <t>CÍRCULO BLANCO #80 DDM JUMBO 2025</t>
  </si>
  <si>
    <t>CHIP SUCEDANEO DE COLORES CERRILLOS</t>
  </si>
  <si>
    <t>VASOS CONO PAPEL FOOD PACK</t>
  </si>
  <si>
    <t>CÍRCULO DECORACIÓN NAVIDAD ZUKKER</t>
  </si>
  <si>
    <t>ZANAHORIA BABY MINUTO VERDE</t>
  </si>
  <si>
    <t>ALIMENTOS  Y  FRUTOS S.A</t>
  </si>
  <si>
    <t>TRIANGULO CHOCOLATE PURATOS</t>
  </si>
  <si>
    <t>BIZCOCHO # 20 BLANCO C/AMAPOLAS PAVESI</t>
  </si>
  <si>
    <t>BIZCOCHO RED VELVET 1 X 4</t>
  </si>
  <si>
    <t>COCTEL DE FRUTA WATTS</t>
  </si>
  <si>
    <t>GRAFICA PRAGGA Y SERVICIOS SPA</t>
  </si>
  <si>
    <t>GRANA SECA BIZCOCHO AMAPOLA</t>
  </si>
  <si>
    <t>CORAZÓN GRANDE #4 ROSADO DDM ZUKKER</t>
  </si>
  <si>
    <t>ETIQ. CIRCULAR 90cm IMPR. TORTA VIENA VAINILLA</t>
  </si>
  <si>
    <t>PLACA 8CM DDM JUMBO 2026</t>
  </si>
  <si>
    <t>ZANAHORIA BABY 454 GR</t>
  </si>
  <si>
    <t>CENCOSUD S.A.-AVENIDA KENNEDY 9001</t>
  </si>
  <si>
    <t>RELLENO AVELLANA CERRILLOS</t>
  </si>
  <si>
    <t>ETIQUETA GENERICA TORTA CHOCOLATE AVELLANA</t>
  </si>
  <si>
    <t>RON DORADO CABO VIEJO 750CC</t>
  </si>
  <si>
    <t>CAFE POLVO ICB</t>
  </si>
  <si>
    <t>IMPORTADORA Y ALIMENTOS ICB FOOD SERVICE SPA</t>
  </si>
  <si>
    <t>OJITOS HALLOWEEN AMBROSIA</t>
  </si>
  <si>
    <t>FRAMBUESA CONGELADA MINUTO VERDE</t>
  </si>
  <si>
    <t>COLORANTE NARANJA FLORAMATIC</t>
  </si>
  <si>
    <t>CUPULA MINI TORTA BASE NEGRA 15,5x7,5 FOOD PACK</t>
  </si>
  <si>
    <t>ETIQUETA GALLETA AMERICAN CRISPY CHIP DE CHOCOLATE</t>
  </si>
  <si>
    <t>ETIQUETA GALLETA AMERICAN CRISPY ALMENDRAS Y CRAMBERRY</t>
  </si>
  <si>
    <t>ETIQUETA GALLETA AMERICAN CRISPY BROWNIE CHIPS</t>
  </si>
  <si>
    <t>ETIQUETA GALLETA AMERICAN COCADA CRANBERRY</t>
  </si>
  <si>
    <t>ETIQUETA GALLETA AMERICAN CHUNK CHOCOLATE</t>
  </si>
  <si>
    <t>ETIQUETA GALLETA AMERICAN CHUNK MACADAMIA Y CHOCOLATE BLANCO</t>
  </si>
  <si>
    <t>ETIQUETA GALLETA AMERICAN CHUNK CHOCOLATE Y CARAMELO</t>
  </si>
  <si>
    <t>OREO SMALL CRUMBS 500 GRS</t>
  </si>
  <si>
    <t>INVERSIONES VIA K SPA</t>
  </si>
  <si>
    <t>MANJAR ARTESANAL DAILY</t>
  </si>
  <si>
    <t>DAILY FOODS S.A.</t>
  </si>
  <si>
    <t>ETIQUETA GENERICA TORTA SELVA NEGRA ESPECIAL WALMART</t>
  </si>
  <si>
    <t>ETIQUETA GENERICA TORTA CREMA PIÑA ESPECIAL WALMART</t>
  </si>
  <si>
    <t>MANTEQUILLA CON SAL SOPROLE</t>
  </si>
  <si>
    <t>BLISTER PARA BERLINES ART 401-A DEANDES</t>
  </si>
  <si>
    <t>RELLENO AVELLANA MASTER MARTINI</t>
  </si>
  <si>
    <t>PASTA MEL DE MARACUYÁ BALDE 5 KG</t>
  </si>
  <si>
    <t>CINTA COLOR NIÑO ZUKKER</t>
  </si>
  <si>
    <t>CUPULA 15 PP BAJA WALMART</t>
  </si>
  <si>
    <t>TEGRAL BIZCOCHUELO PURATOS</t>
  </si>
  <si>
    <t>PIÑA EN CUBOS CAMPOS</t>
  </si>
  <si>
    <t>MIX QUEQUE SATÍN SAN CRISTÓBAL</t>
  </si>
  <si>
    <t>HARINA 061 FINA HOJA SAN CRISTOBAL</t>
  </si>
  <si>
    <t>DURAZNO EN CUBOS CAMPOS</t>
  </si>
  <si>
    <t>ETIQUETA BLANCA 100x80 JUMBO</t>
  </si>
  <si>
    <t>ETIQUETA GENERICA TORTA PANQUEQUE LÚCUMA CROCANTE</t>
  </si>
  <si>
    <t>COLORANTE AZUL BRILLANTE FLORAMATIC</t>
  </si>
  <si>
    <t>CONJUNTO DISEÑO DÍA DEL PADRE AMBROSIA</t>
  </si>
  <si>
    <t>ETIQUETA DECORATIVA PANQUEQUE NARANJA JUMBO</t>
  </si>
  <si>
    <t>MIX QUEQUE AMERICANO SAN CRISTOBAL</t>
  </si>
  <si>
    <t>DISCO CARTON BLANCO 19 ECOPLASTIC</t>
  </si>
  <si>
    <t>MARRASQUINO CAMPOS</t>
  </si>
  <si>
    <t>NUEZ PICADILLO CAMPOS DE CHILE</t>
  </si>
  <si>
    <t>SOCIEDAD COMERCIAL CAMPOS DE CHILE LTDA</t>
  </si>
  <si>
    <t>BIZCOCHO CHOCOLATE HI MARMIX</t>
  </si>
  <si>
    <t>MARMIX SPA</t>
  </si>
  <si>
    <t>MIX  BIZCOCHO 3 LECHES PURATOS</t>
  </si>
  <si>
    <t>ETIQUETA GENÉRICA TORTA SELVA NEGRA MEDIANA WALMART</t>
  </si>
  <si>
    <t>ETIQUETA GENÉRICA TORTA CREMA PIÑA MEDIANA WALMART</t>
  </si>
  <si>
    <t>T. BIZCOCHO CHOCOLATE PLUS PURATOS</t>
  </si>
  <si>
    <t>CUPULA 271 BX BUENAVENTURA</t>
  </si>
  <si>
    <t>PM BASE TARTALETAS MARMIX</t>
  </si>
  <si>
    <t>CLAMSHELL 3-3 BAT RECT. ECOPLASTIC</t>
  </si>
  <si>
    <t>TRESMONTES LUCCHETTI SERVICIOS S.A.</t>
  </si>
  <si>
    <t>HUEVO LIQUIDO BOLSA 20 KG AGRICOVIAL</t>
  </si>
  <si>
    <t>DISCO DE HOJA 15 PP 1X30</t>
  </si>
  <si>
    <t>DISCO DE CARTON 15,5CM VTM</t>
  </si>
  <si>
    <t>ACEITE VEGETAL 1000 CC. EGC</t>
  </si>
  <si>
    <t>ETIQUETA TORTA SAN JORGE LÚCUMA SMU</t>
  </si>
  <si>
    <t>ROSA GANACHE ROSADO CLARO AMBROSIA</t>
  </si>
  <si>
    <t>PLANCHA PANQUEQUE VAINILLA OBERENA</t>
  </si>
  <si>
    <t>HUEVO LIQUIDO BALDE ARIZONA</t>
  </si>
  <si>
    <t>BIGOTE CHOCOLATE BLANCO 6 GRAMOS AMBROSIA</t>
  </si>
  <si>
    <t>HOJA SEPARADORA TORTA DIAMETRO 230 MMS FULL CARTON</t>
  </si>
  <si>
    <t>PLANCHA DE CARTON 1X1,20 FULL CARTON</t>
  </si>
  <si>
    <t>ZANAHORIA BABY 454 GR AGROSANO</t>
  </si>
  <si>
    <t>EN_SATEL</t>
  </si>
  <si>
    <t>MARGARINA MULTIPROPÓSITO HORNEO</t>
  </si>
  <si>
    <t xml:space="preserve">BODEGAS </t>
  </si>
  <si>
    <t>CAJA PTG 15PP JUMBO FULL CARTON</t>
  </si>
  <si>
    <t>DISCO MICROCORRUGADO EMPLACADO 19 CM DIÁMETRO FULL CARTON</t>
  </si>
  <si>
    <t>GANACHE BLANCO MANAR</t>
  </si>
  <si>
    <t>CAJA TORTA MEDIANA FULL CARTON</t>
  </si>
  <si>
    <t>CAJA PTG 15PP SISA FULL CARTON</t>
  </si>
  <si>
    <t>BLISTER 243BBTA DEANDES</t>
  </si>
  <si>
    <t>CAJA PASTELES 600X325X120 FULL CARTON</t>
  </si>
  <si>
    <t>ETIQUETA CIRCULAR 90cm IMPR. TORTA SAN JORGE SISA</t>
  </si>
  <si>
    <t>Código de almacén</t>
  </si>
  <si>
    <t>Nombre de almacén</t>
  </si>
  <si>
    <t>En stock</t>
  </si>
  <si>
    <t>Precio promedio</t>
  </si>
  <si>
    <t>CHOCOLATE BLANCO SICAO MEL</t>
  </si>
  <si>
    <t>ETIQUETA IMPRESA 150X35 TRES COLORES + U.V OPP POSTRE SABOR CHOCOLATE Y FRUTOS DEL BOSQUE</t>
  </si>
  <si>
    <t>ETIQUETA IMPRESA 150X35 TRES COLORES + U.V OPP POSTRE SABOR LÚCUMA MANJAR</t>
  </si>
  <si>
    <t>ETIQUETA IMPRESA 150X35 TRES COLORES + U.V OPP POSTRE SABOR TRES LECHES CON FRAMBUESA</t>
  </si>
  <si>
    <t>HOJA SEPARADORA SIMPLE POSTRES</t>
  </si>
  <si>
    <t>BOLSA COLOR AZUL 100 X 120 X 0,035 SIGNO</t>
  </si>
  <si>
    <t>MASA KNAFE SUK</t>
  </si>
  <si>
    <t>PREMEZCLA BIZCOCHO ZANAHORIA ASITEC</t>
  </si>
  <si>
    <t>DISCO DE PAPEL KRAFT 100GR 28 CM PAPELERA</t>
  </si>
  <si>
    <t>MANTECA VEGETAL 1KG CERRILLOS</t>
  </si>
  <si>
    <t>DISCO HOJARASCA 19 CM SEMIELAB.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</si>
</sst>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8">
    <xf numFmtId="0" fontId="0" fillId="0" borderId="0" xfId="0"/>
    <xf numFmtId="16" fontId="2" fillId="2" borderId="0" xfId="0" applyNumberFormat="1" applyFont="1" applyFill="1"/>
    <xf numFmtId="0" fontId="2" fillId="0" borderId="0" xfId="0" applyFont="1"/>
    <xf numFmtId="0" fontId="3" fillId="2" borderId="0" xfId="0" applyFont="1" applyFill="1"/>
    <xf numFmtId="0" fontId="2" fillId="0" borderId="0" xfId="0" applyFont="1" applyAlignment="1">
      <alignment horizontal="right"/>
    </xf>
    <xf numFmtId="4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4" fontId="3" fillId="2" borderId="0" xfId="0" applyNumberFormat="1" applyFont="1" applyFill="1"/>
    <xf numFmtId="1" fontId="2" fillId="0" borderId="0" xfId="0" applyNumberFormat="1" applyFont="1" applyAlignment="1">
      <alignment horizontal="center"/>
    </xf>
    <xf numFmtId="0" fontId="2" fillId="0" borderId="0" xfId="0" pivotButton="1" applyFont="1"/>
    <xf numFmtId="0" fontId="2" fillId="0" borderId="0" xfId="0" applyFont="1" applyAlignment="1">
      <alignment horizontal="left"/>
    </xf>
    <xf numFmtId="42" fontId="2" fillId="0" borderId="0" xfId="0" applyNumberFormat="1" applyFont="1"/>
    <xf numFmtId="1" fontId="3" fillId="2" borderId="0" xfId="0" applyNumberFormat="1" applyFont="1" applyFill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42" fontId="3" fillId="2" borderId="0" xfId="1" applyFont="1" applyFill="1"/>
    <xf numFmtId="42" fontId="2" fillId="0" borderId="0" xfId="1" applyFont="1"/>
  </cellXfs>
  <cellStyles count="2">
    <cellStyle name="Moneda [0]" xfId="1" builtinId="7"/>
    <cellStyle name="Normal" xfId="0" builtinId="0"/>
  </cellStyles>
  <dxfs count="1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MP%20Picking%20-%20ENEA%20RAUL%20V4.xlsx" TargetMode="External"/><Relationship Id="rId2" Type="http://schemas.openxmlformats.org/officeDocument/2006/relationships/externalLinkPath" Target="https://prosepan-my.sharepoint.com/personal/rtramarria_quintasa_cl/Documents/Escritorio/BMP%20Picking%20-%20ENEA%20RAUL%20V4.xlsx" TargetMode="External"/><Relationship Id="rId1" Type="http://schemas.openxmlformats.org/officeDocument/2006/relationships/externalLinkPath" Target="/personal/rtramarria_quintasa_cl/Documents/Escritorio/BMP%20Picking%20-%20ENEA%20RAUL%20V4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BMP%20Picking%20-%20PUERTO%20VESPUCIO%20RAUL%20V4.xlsx" TargetMode="External"/><Relationship Id="rId2" Type="http://schemas.openxmlformats.org/officeDocument/2006/relationships/externalLinkPath" Target="https://prosepan-my.sharepoint.com/personal/rtramarria_quintasa_cl/Documents/Escritorio/BMP%20Picking%20-%20PUERTO%20VESPUCIO%20RAUL%20V4.xlsx" TargetMode="External"/><Relationship Id="rId1" Type="http://schemas.openxmlformats.org/officeDocument/2006/relationships/externalLinkPath" Target="/personal/rtramarria_quintasa_cl/Documents/Escritorio/BMP%20Picking%20-%20PUERTO%20VESPUCIO%20RAUL%20V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osepan-my.sharepoint.com/personal/rtramarria_quintasa_cl/Documents/Escritorio/BMP%20Picking%20-%20PUERTO%20VESPUCIO%20RAUL%20V4.xlsx" TargetMode="External"/><Relationship Id="rId1" Type="http://schemas.openxmlformats.org/officeDocument/2006/relationships/externalLinkPath" Target="BMP%20Picking%20-%20PUERTO%20VESPUCIO%20RAUL%20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OCK POR DIA "/>
      <sheetName val="Consumo SEMANA ENEA"/>
      <sheetName val="PEDIR"/>
      <sheetName val="RECET"/>
      <sheetName val="Stock Bodegas"/>
      <sheetName val="COSUMO DIA ENEA"/>
      <sheetName val="Hoja3"/>
      <sheetName val="Base Transferencia"/>
      <sheetName val="CONSUMO"/>
      <sheetName val="Hoja7"/>
      <sheetName val="Calendario"/>
      <sheetName val="Base Stock"/>
      <sheetName val="Base Categoria"/>
      <sheetName val="no activos "/>
      <sheetName val="dn pedidos"/>
      <sheetName val="DN LLEGO"/>
      <sheetName val="LLEGO"/>
      <sheetName val="PEDIDOS"/>
      <sheetName val="dn consumos"/>
      <sheetName val="Hoja4"/>
      <sheetName val="Hoja5"/>
    </sheetNames>
    <sheetDataSet>
      <sheetData sheetId="0"/>
      <sheetData sheetId="1">
        <row r="1">
          <cell r="F1" t="str">
            <v>ENEA</v>
          </cell>
          <cell r="G1"/>
          <cell r="AD1"/>
          <cell r="AE1"/>
          <cell r="AF1"/>
          <cell r="AG1"/>
          <cell r="AH1"/>
          <cell r="AI1"/>
          <cell r="AJ1"/>
          <cell r="AK1"/>
          <cell r="AL1"/>
          <cell r="EJ1" t="str">
            <v xml:space="preserve">12 a 1 reunion de bodega </v>
          </cell>
        </row>
        <row r="2">
          <cell r="F2" t="str">
            <v>(Todas)</v>
          </cell>
          <cell r="AD2"/>
          <cell r="AE2"/>
          <cell r="AF2"/>
          <cell r="AG2"/>
          <cell r="AH2"/>
          <cell r="AI2"/>
          <cell r="AJ2"/>
          <cell r="AK2"/>
          <cell r="AL2"/>
        </row>
        <row r="3">
          <cell r="F3" t="str">
            <v>(Todas)</v>
          </cell>
          <cell r="AD3"/>
          <cell r="AE3"/>
          <cell r="AF3"/>
          <cell r="AG3"/>
          <cell r="AH3"/>
          <cell r="AI3"/>
          <cell r="AJ3"/>
          <cell r="AK3"/>
          <cell r="AL3"/>
        </row>
        <row r="4">
          <cell r="F4" t="str">
            <v>(Todas)</v>
          </cell>
          <cell r="AD4"/>
          <cell r="AE4"/>
          <cell r="AF4"/>
          <cell r="AG4"/>
          <cell r="AH4"/>
          <cell r="AI4"/>
          <cell r="AJ4"/>
          <cell r="AK4"/>
          <cell r="AL4"/>
        </row>
        <row r="5">
          <cell r="F5" t="str">
            <v>(Varios elementos)</v>
          </cell>
          <cell r="AD5"/>
          <cell r="AE5"/>
          <cell r="AF5"/>
          <cell r="AG5"/>
          <cell r="AH5"/>
          <cell r="AI5"/>
          <cell r="AJ5"/>
          <cell r="AK5"/>
          <cell r="AL5"/>
        </row>
        <row r="6">
          <cell r="F6" t="str">
            <v>(Todas)</v>
          </cell>
          <cell r="AD6"/>
          <cell r="AE6"/>
          <cell r="AF6"/>
          <cell r="AG6"/>
          <cell r="AH6"/>
          <cell r="AI6"/>
          <cell r="AJ6"/>
          <cell r="AK6"/>
          <cell r="AL6"/>
        </row>
        <row r="7">
          <cell r="F7" t="str">
            <v>(Todas)</v>
          </cell>
          <cell r="AD7"/>
          <cell r="AE7"/>
          <cell r="AF7"/>
          <cell r="AG7"/>
          <cell r="AH7"/>
          <cell r="AI7"/>
          <cell r="AJ7"/>
          <cell r="AK7"/>
          <cell r="AL7"/>
        </row>
        <row r="8"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R8"/>
          <cell r="AS8"/>
          <cell r="AT8"/>
          <cell r="AU8"/>
          <cell r="AV8"/>
          <cell r="AW8"/>
          <cell r="AX8"/>
          <cell r="AY8"/>
          <cell r="AZ8"/>
          <cell r="BA8"/>
          <cell r="BB8"/>
          <cell r="BC8"/>
          <cell r="BD8"/>
        </row>
        <row r="9">
          <cell r="F9"/>
          <cell r="G9"/>
          <cell r="H9" t="str">
            <v>AÑO</v>
          </cell>
          <cell r="I9" t="str">
            <v>Semana</v>
          </cell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R9"/>
          <cell r="AS9"/>
          <cell r="AT9"/>
          <cell r="AU9"/>
          <cell r="AV9"/>
          <cell r="AW9"/>
          <cell r="AX9"/>
          <cell r="AY9"/>
          <cell r="AZ9"/>
          <cell r="BA9"/>
          <cell r="BB9"/>
          <cell r="BC9"/>
          <cell r="BD9"/>
          <cell r="BE9"/>
          <cell r="BF9"/>
          <cell r="BG9"/>
          <cell r="BH9"/>
          <cell r="BI9"/>
          <cell r="BJ9"/>
          <cell r="BK9"/>
          <cell r="BL9"/>
          <cell r="BM9"/>
          <cell r="BN9"/>
          <cell r="BO9"/>
          <cell r="BP9"/>
          <cell r="BQ9"/>
          <cell r="BR9"/>
          <cell r="BS9"/>
          <cell r="BT9"/>
          <cell r="BU9"/>
          <cell r="BV9"/>
          <cell r="BW9"/>
          <cell r="BX9"/>
          <cell r="BY9"/>
          <cell r="BZ9"/>
          <cell r="CA9"/>
          <cell r="CB9"/>
          <cell r="CC9"/>
          <cell r="CD9"/>
          <cell r="CE9"/>
          <cell r="CF9"/>
          <cell r="CG9"/>
          <cell r="CH9"/>
          <cell r="CI9"/>
          <cell r="CJ9"/>
          <cell r="CK9"/>
          <cell r="CL9"/>
          <cell r="CM9"/>
          <cell r="CN9"/>
          <cell r="CO9"/>
          <cell r="CP9"/>
          <cell r="CQ9"/>
          <cell r="CR9"/>
          <cell r="CS9"/>
          <cell r="CT9"/>
          <cell r="CU9"/>
          <cell r="CV9"/>
          <cell r="CW9"/>
          <cell r="CX9"/>
          <cell r="CY9"/>
          <cell r="CZ9"/>
          <cell r="DA9"/>
          <cell r="DB9"/>
          <cell r="DC9"/>
          <cell r="DD9"/>
          <cell r="DE9"/>
          <cell r="DF9"/>
          <cell r="DG9"/>
          <cell r="DH9"/>
          <cell r="DI9"/>
          <cell r="DJ9"/>
          <cell r="DK9"/>
          <cell r="DL9"/>
          <cell r="DM9"/>
          <cell r="DN9"/>
          <cell r="DO9"/>
          <cell r="DP9"/>
          <cell r="DQ9"/>
          <cell r="DR9"/>
          <cell r="DS9"/>
          <cell r="DT9"/>
          <cell r="DU9"/>
          <cell r="DV9"/>
          <cell r="DW9"/>
          <cell r="DX9"/>
          <cell r="DY9"/>
          <cell r="DZ9"/>
          <cell r="EA9"/>
          <cell r="EB9"/>
          <cell r="EC9"/>
          <cell r="ED9"/>
          <cell r="EE9"/>
          <cell r="EF9"/>
          <cell r="EG9"/>
          <cell r="EH9"/>
          <cell r="EI9"/>
          <cell r="EJ9"/>
          <cell r="EK9"/>
          <cell r="EL9"/>
          <cell r="EM9"/>
          <cell r="EN9"/>
          <cell r="EO9"/>
          <cell r="EP9"/>
          <cell r="EQ9"/>
          <cell r="ER9"/>
          <cell r="ES9"/>
        </row>
        <row r="10">
          <cell r="F10"/>
          <cell r="G10"/>
          <cell r="H10" t="str">
            <v>2024</v>
          </cell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 t="str">
            <v>2025</v>
          </cell>
          <cell r="BI10"/>
          <cell r="BJ10"/>
          <cell r="BK10"/>
          <cell r="BL10"/>
          <cell r="BM10"/>
          <cell r="BN10"/>
          <cell r="BO10"/>
          <cell r="BP10"/>
          <cell r="BQ10"/>
          <cell r="BR10"/>
          <cell r="BS10"/>
          <cell r="BT10"/>
          <cell r="BU10"/>
          <cell r="BV10"/>
          <cell r="BW10"/>
          <cell r="BX10"/>
          <cell r="BY10"/>
          <cell r="BZ10"/>
          <cell r="CA10"/>
          <cell r="CB10"/>
          <cell r="CC10"/>
          <cell r="CD10"/>
          <cell r="CE10"/>
          <cell r="CF10"/>
          <cell r="CG10"/>
          <cell r="CH10"/>
          <cell r="CI10"/>
          <cell r="CJ10"/>
          <cell r="CK10"/>
          <cell r="CL10"/>
          <cell r="CM10"/>
          <cell r="CN10"/>
          <cell r="CO10"/>
          <cell r="CP10"/>
          <cell r="CQ10"/>
          <cell r="CR10"/>
          <cell r="CS10"/>
          <cell r="CT10"/>
          <cell r="CU10"/>
          <cell r="CV10"/>
          <cell r="CW10"/>
          <cell r="CX10"/>
          <cell r="CY10"/>
          <cell r="CZ10"/>
          <cell r="DA10"/>
          <cell r="DB10"/>
          <cell r="DC10"/>
          <cell r="DD10"/>
          <cell r="DE10"/>
          <cell r="DF10"/>
          <cell r="DG10"/>
          <cell r="DH10"/>
          <cell r="DI10" t="str">
            <v>2026</v>
          </cell>
          <cell r="DJ10"/>
          <cell r="DK10"/>
          <cell r="DL10"/>
          <cell r="DM10"/>
          <cell r="DN10"/>
          <cell r="DO10"/>
          <cell r="DP10"/>
          <cell r="DQ10"/>
          <cell r="DR10"/>
          <cell r="DS10"/>
          <cell r="DT10"/>
          <cell r="DU10"/>
          <cell r="DV10"/>
          <cell r="DW10"/>
          <cell r="DX10"/>
          <cell r="DY10"/>
          <cell r="DZ10"/>
          <cell r="EA10"/>
          <cell r="EB10"/>
          <cell r="EC10"/>
          <cell r="ED10"/>
          <cell r="EE10"/>
          <cell r="EF10"/>
          <cell r="EG10"/>
          <cell r="EH10"/>
          <cell r="EI10"/>
          <cell r="EJ10"/>
          <cell r="EK10"/>
          <cell r="EL10"/>
          <cell r="EM10"/>
          <cell r="EN10"/>
          <cell r="EO10"/>
          <cell r="EP10"/>
          <cell r="EQ10"/>
          <cell r="ER10"/>
          <cell r="ES10"/>
        </row>
        <row r="11">
          <cell r="F11" t="str">
            <v xml:space="preserve">artículo  </v>
          </cell>
          <cell r="G11" t="str">
            <v>Descripción artículo/serv.</v>
          </cell>
          <cell r="H11">
            <v>1</v>
          </cell>
          <cell r="I11">
            <v>2</v>
          </cell>
          <cell r="J11">
            <v>3</v>
          </cell>
          <cell r="K11">
            <v>4</v>
          </cell>
          <cell r="L11">
            <v>5</v>
          </cell>
          <cell r="M11">
            <v>6</v>
          </cell>
          <cell r="N11">
            <v>7</v>
          </cell>
          <cell r="O11">
            <v>8</v>
          </cell>
          <cell r="P11">
            <v>9</v>
          </cell>
          <cell r="Q11">
            <v>10</v>
          </cell>
          <cell r="R11">
            <v>11</v>
          </cell>
          <cell r="S11">
            <v>12</v>
          </cell>
          <cell r="T11">
            <v>13</v>
          </cell>
          <cell r="U11">
            <v>14</v>
          </cell>
          <cell r="V11">
            <v>15</v>
          </cell>
          <cell r="W11">
            <v>16</v>
          </cell>
          <cell r="X11">
            <v>17</v>
          </cell>
          <cell r="Y11">
            <v>18</v>
          </cell>
          <cell r="Z11">
            <v>19</v>
          </cell>
          <cell r="AA11">
            <v>20</v>
          </cell>
          <cell r="AB11">
            <v>21</v>
          </cell>
          <cell r="AC11">
            <v>22</v>
          </cell>
          <cell r="AD11">
            <v>23</v>
          </cell>
          <cell r="AE11">
            <v>24</v>
          </cell>
          <cell r="AF11">
            <v>25</v>
          </cell>
          <cell r="AG11">
            <v>26</v>
          </cell>
          <cell r="AH11">
            <v>27</v>
          </cell>
          <cell r="AI11">
            <v>28</v>
          </cell>
          <cell r="AJ11">
            <v>29</v>
          </cell>
          <cell r="AK11">
            <v>30</v>
          </cell>
          <cell r="AL11">
            <v>31</v>
          </cell>
          <cell r="AM11">
            <v>32</v>
          </cell>
          <cell r="AN11">
            <v>33</v>
          </cell>
          <cell r="AO11">
            <v>34</v>
          </cell>
          <cell r="AP11">
            <v>35</v>
          </cell>
          <cell r="AQ11">
            <v>36</v>
          </cell>
          <cell r="AR11">
            <v>37</v>
          </cell>
          <cell r="AS11">
            <v>38</v>
          </cell>
          <cell r="AT11">
            <v>39</v>
          </cell>
          <cell r="AU11">
            <v>40</v>
          </cell>
          <cell r="AV11">
            <v>41</v>
          </cell>
          <cell r="AW11">
            <v>42</v>
          </cell>
          <cell r="AX11">
            <v>43</v>
          </cell>
          <cell r="AY11">
            <v>44</v>
          </cell>
          <cell r="AZ11">
            <v>45</v>
          </cell>
          <cell r="BA11">
            <v>46</v>
          </cell>
          <cell r="BB11">
            <v>47</v>
          </cell>
          <cell r="BC11">
            <v>48</v>
          </cell>
          <cell r="BD11">
            <v>49</v>
          </cell>
          <cell r="BE11">
            <v>50</v>
          </cell>
          <cell r="BF11">
            <v>51</v>
          </cell>
          <cell r="BG11">
            <v>52</v>
          </cell>
          <cell r="BH11">
            <v>1</v>
          </cell>
          <cell r="BI11">
            <v>2</v>
          </cell>
          <cell r="BJ11">
            <v>3</v>
          </cell>
          <cell r="BK11">
            <v>4</v>
          </cell>
          <cell r="BL11">
            <v>5</v>
          </cell>
          <cell r="BM11">
            <v>6</v>
          </cell>
          <cell r="BN11">
            <v>7</v>
          </cell>
          <cell r="BO11">
            <v>8</v>
          </cell>
          <cell r="BP11">
            <v>9</v>
          </cell>
          <cell r="BQ11">
            <v>10</v>
          </cell>
          <cell r="BR11">
            <v>11</v>
          </cell>
          <cell r="BS11">
            <v>12</v>
          </cell>
          <cell r="BT11">
            <v>13</v>
          </cell>
          <cell r="BU11">
            <v>14</v>
          </cell>
          <cell r="BV11">
            <v>15</v>
          </cell>
          <cell r="BW11">
            <v>16</v>
          </cell>
          <cell r="BX11">
            <v>17</v>
          </cell>
          <cell r="BY11">
            <v>18</v>
          </cell>
          <cell r="BZ11">
            <v>19</v>
          </cell>
          <cell r="CA11">
            <v>20</v>
          </cell>
          <cell r="CB11">
            <v>21</v>
          </cell>
          <cell r="CC11">
            <v>22</v>
          </cell>
          <cell r="CD11">
            <v>23</v>
          </cell>
          <cell r="CE11">
            <v>24</v>
          </cell>
          <cell r="CF11">
            <v>25</v>
          </cell>
          <cell r="CG11">
            <v>26</v>
          </cell>
          <cell r="CH11">
            <v>27</v>
          </cell>
          <cell r="CI11">
            <v>28</v>
          </cell>
          <cell r="CJ11">
            <v>29</v>
          </cell>
          <cell r="CK11">
            <v>30</v>
          </cell>
          <cell r="CL11">
            <v>31</v>
          </cell>
          <cell r="CM11">
            <v>32</v>
          </cell>
          <cell r="CN11">
            <v>33</v>
          </cell>
          <cell r="CO11">
            <v>34</v>
          </cell>
          <cell r="CP11">
            <v>35</v>
          </cell>
          <cell r="CQ11">
            <v>36</v>
          </cell>
          <cell r="CR11">
            <v>37</v>
          </cell>
          <cell r="CS11">
            <v>38</v>
          </cell>
          <cell r="CT11">
            <v>39</v>
          </cell>
          <cell r="CU11">
            <v>40</v>
          </cell>
          <cell r="CV11">
            <v>41</v>
          </cell>
          <cell r="CW11">
            <v>42</v>
          </cell>
          <cell r="CX11">
            <v>43</v>
          </cell>
          <cell r="CY11">
            <v>44</v>
          </cell>
          <cell r="CZ11">
            <v>45</v>
          </cell>
          <cell r="DA11">
            <v>46</v>
          </cell>
          <cell r="DB11">
            <v>47</v>
          </cell>
          <cell r="DC11">
            <v>48</v>
          </cell>
          <cell r="DD11">
            <v>49</v>
          </cell>
          <cell r="DE11">
            <v>50</v>
          </cell>
          <cell r="DF11">
            <v>51</v>
          </cell>
          <cell r="DG11">
            <v>52</v>
          </cell>
          <cell r="DH11">
            <v>53</v>
          </cell>
          <cell r="DI11">
            <v>1</v>
          </cell>
          <cell r="DJ11">
            <v>2</v>
          </cell>
          <cell r="DK11">
            <v>3</v>
          </cell>
          <cell r="DL11">
            <v>4</v>
          </cell>
          <cell r="DM11">
            <v>5</v>
          </cell>
          <cell r="DN11">
            <v>6</v>
          </cell>
          <cell r="DO11">
            <v>7</v>
          </cell>
          <cell r="DP11">
            <v>8</v>
          </cell>
          <cell r="DQ11">
            <v>9</v>
          </cell>
          <cell r="DR11">
            <v>10</v>
          </cell>
          <cell r="DS11">
            <v>11</v>
          </cell>
          <cell r="DT11">
            <v>12</v>
          </cell>
          <cell r="DU11">
            <v>13</v>
          </cell>
          <cell r="DV11">
            <v>14</v>
          </cell>
          <cell r="DW11">
            <v>15</v>
          </cell>
          <cell r="DX11">
            <v>16</v>
          </cell>
          <cell r="DY11">
            <v>17</v>
          </cell>
          <cell r="DZ11">
            <v>18</v>
          </cell>
          <cell r="EA11">
            <v>19</v>
          </cell>
          <cell r="EB11">
            <v>20</v>
          </cell>
          <cell r="EC11">
            <v>21</v>
          </cell>
          <cell r="ED11">
            <v>22</v>
          </cell>
          <cell r="EE11">
            <v>23</v>
          </cell>
          <cell r="EF11">
            <v>24</v>
          </cell>
          <cell r="EG11">
            <v>25</v>
          </cell>
          <cell r="EH11">
            <v>26</v>
          </cell>
          <cell r="EI11">
            <v>27</v>
          </cell>
          <cell r="EJ11" t="str">
            <v xml:space="preserve">status </v>
          </cell>
          <cell r="EK11" t="str">
            <v>ABC</v>
          </cell>
          <cell r="EL11" t="str">
            <v>EMPAQUE</v>
          </cell>
          <cell r="EM11" t="str">
            <v>PROM. SEM</v>
          </cell>
          <cell r="EN11" t="str">
            <v>STOCK DIA</v>
          </cell>
          <cell r="EO11" t="str">
            <v>DESV. EST</v>
          </cell>
          <cell r="EP11" t="str">
            <v>STOCK</v>
          </cell>
          <cell r="EQ11" t="str">
            <v>STOCK $</v>
          </cell>
          <cell r="ER11" t="str">
            <v>S/STOCK</v>
          </cell>
          <cell r="ES11" t="str">
            <v>P REORDEN</v>
          </cell>
        </row>
        <row r="12">
          <cell r="F12">
            <v>400202</v>
          </cell>
          <cell r="G12" t="str">
            <v>BOLSA PREPICADA 50x75</v>
          </cell>
          <cell r="H12"/>
          <cell r="I12"/>
          <cell r="J12">
            <v>60</v>
          </cell>
          <cell r="K12">
            <v>20</v>
          </cell>
          <cell r="L12"/>
          <cell r="M12">
            <v>140</v>
          </cell>
          <cell r="N12"/>
          <cell r="O12"/>
          <cell r="P12"/>
          <cell r="Q12"/>
          <cell r="R12"/>
          <cell r="S12">
            <v>100</v>
          </cell>
          <cell r="T12"/>
          <cell r="U12"/>
          <cell r="V12"/>
          <cell r="W12"/>
          <cell r="X12">
            <v>40</v>
          </cell>
          <cell r="Y12"/>
          <cell r="Z12"/>
          <cell r="AA12">
            <v>40</v>
          </cell>
          <cell r="AB12">
            <v>80</v>
          </cell>
          <cell r="AC12"/>
          <cell r="AD12"/>
          <cell r="AE12"/>
          <cell r="AF12">
            <v>100</v>
          </cell>
          <cell r="AG12"/>
          <cell r="AH12"/>
          <cell r="AI12"/>
          <cell r="AJ12">
            <v>100</v>
          </cell>
          <cell r="AK12"/>
          <cell r="AL12"/>
          <cell r="AM12">
            <v>120</v>
          </cell>
          <cell r="AN12"/>
          <cell r="AO12"/>
          <cell r="AP12"/>
          <cell r="AQ12">
            <v>100</v>
          </cell>
          <cell r="AR12"/>
          <cell r="AS12"/>
          <cell r="AT12"/>
          <cell r="AU12"/>
          <cell r="AV12">
            <v>100</v>
          </cell>
          <cell r="AW12"/>
          <cell r="AX12"/>
          <cell r="AY12"/>
          <cell r="AZ12">
            <v>90</v>
          </cell>
          <cell r="BA12"/>
          <cell r="BB12"/>
          <cell r="BC12">
            <v>220</v>
          </cell>
          <cell r="BD12"/>
          <cell r="BE12"/>
          <cell r="BF12"/>
          <cell r="BG12"/>
          <cell r="BH12"/>
          <cell r="BI12"/>
          <cell r="BJ12"/>
          <cell r="BK12"/>
          <cell r="BL12">
            <v>121</v>
          </cell>
          <cell r="BM12">
            <v>119</v>
          </cell>
          <cell r="BN12"/>
          <cell r="BO12">
            <v>150</v>
          </cell>
          <cell r="BP12"/>
          <cell r="BQ12"/>
          <cell r="BR12"/>
          <cell r="BS12"/>
          <cell r="BT12"/>
          <cell r="BU12"/>
          <cell r="BV12"/>
          <cell r="BW12">
            <v>200</v>
          </cell>
          <cell r="BX12"/>
          <cell r="BY12"/>
          <cell r="BZ12"/>
          <cell r="CA12"/>
          <cell r="CB12"/>
          <cell r="CC12">
            <v>120</v>
          </cell>
          <cell r="CD12"/>
          <cell r="CE12">
            <v>100</v>
          </cell>
          <cell r="CF12"/>
          <cell r="CG12">
            <v>300</v>
          </cell>
          <cell r="CH12"/>
          <cell r="CI12"/>
          <cell r="CJ12"/>
          <cell r="CK12">
            <v>100</v>
          </cell>
          <cell r="CL12"/>
          <cell r="CM12"/>
          <cell r="CN12">
            <v>100</v>
          </cell>
          <cell r="CO12"/>
          <cell r="CP12"/>
          <cell r="CQ12"/>
          <cell r="CR12">
            <v>140</v>
          </cell>
          <cell r="CS12"/>
          <cell r="CT12"/>
          <cell r="CU12"/>
          <cell r="CV12"/>
          <cell r="CW12">
            <v>150</v>
          </cell>
          <cell r="CX12"/>
          <cell r="CY12">
            <v>7.4</v>
          </cell>
          <cell r="CZ12"/>
          <cell r="DA12"/>
          <cell r="DB12">
            <v>200</v>
          </cell>
          <cell r="DC12"/>
          <cell r="DD12"/>
          <cell r="DE12"/>
          <cell r="DF12"/>
          <cell r="DG12"/>
          <cell r="DH12"/>
          <cell r="DI12"/>
          <cell r="DJ12"/>
          <cell r="DK12"/>
          <cell r="DL12">
            <v>200</v>
          </cell>
          <cell r="DM12"/>
          <cell r="DN12"/>
          <cell r="DO12"/>
          <cell r="DP12"/>
          <cell r="DQ12"/>
          <cell r="DR12">
            <v>150</v>
          </cell>
          <cell r="DS12"/>
          <cell r="DT12"/>
          <cell r="DU12"/>
          <cell r="DV12"/>
          <cell r="DW12"/>
          <cell r="DX12">
            <v>150</v>
          </cell>
          <cell r="DY12"/>
          <cell r="DZ12"/>
          <cell r="EA12"/>
          <cell r="EB12">
            <v>150</v>
          </cell>
          <cell r="EC12"/>
          <cell r="ED12"/>
          <cell r="EE12"/>
          <cell r="EF12"/>
          <cell r="EG12">
            <v>150</v>
          </cell>
          <cell r="EH12"/>
          <cell r="EI12"/>
          <cell r="EJ12" t="str">
            <v>CURICO</v>
          </cell>
          <cell r="EK12" t="str">
            <v>C</v>
          </cell>
          <cell r="EL12" t="str">
            <v/>
          </cell>
          <cell r="EM12">
            <v>160</v>
          </cell>
          <cell r="EN12">
            <v>26.666666666666668</v>
          </cell>
          <cell r="EO12">
            <v>68.661335366849471</v>
          </cell>
          <cell r="EP12">
            <v>0</v>
          </cell>
          <cell r="EQ12">
            <v>0</v>
          </cell>
          <cell r="ER12">
            <v>0</v>
          </cell>
          <cell r="ES12">
            <v>160</v>
          </cell>
        </row>
        <row r="13">
          <cell r="F13">
            <v>402254</v>
          </cell>
          <cell r="G13" t="str">
            <v>BOLSA PREPICADA BANDEJA 100X90</v>
          </cell>
          <cell r="H13">
            <v>93.9</v>
          </cell>
          <cell r="I13">
            <v>160</v>
          </cell>
          <cell r="J13">
            <v>526.6</v>
          </cell>
          <cell r="K13">
            <v>89.5</v>
          </cell>
          <cell r="L13">
            <v>83.4</v>
          </cell>
          <cell r="M13">
            <v>355.1</v>
          </cell>
          <cell r="N13">
            <v>69.5</v>
          </cell>
          <cell r="O13">
            <v>1036.2</v>
          </cell>
          <cell r="P13">
            <v>186.4</v>
          </cell>
          <cell r="Q13">
            <v>69.5</v>
          </cell>
          <cell r="R13">
            <v>575.5</v>
          </cell>
          <cell r="S13">
            <v>47.8</v>
          </cell>
          <cell r="T13">
            <v>81.7</v>
          </cell>
          <cell r="U13">
            <v>204.7</v>
          </cell>
          <cell r="V13">
            <v>41.7</v>
          </cell>
          <cell r="W13">
            <v>799.2</v>
          </cell>
          <cell r="X13">
            <v>89.5</v>
          </cell>
          <cell r="Y13">
            <v>69.5</v>
          </cell>
          <cell r="Z13">
            <v>125.10000000000002</v>
          </cell>
          <cell r="AA13">
            <v>603.79999999999995</v>
          </cell>
          <cell r="AB13">
            <v>132.1</v>
          </cell>
          <cell r="AC13">
            <v>416.99999999999989</v>
          </cell>
          <cell r="AD13">
            <v>970.69999999999993</v>
          </cell>
          <cell r="AE13">
            <v>369.49999999999994</v>
          </cell>
          <cell r="AF13">
            <v>57.300000000000004</v>
          </cell>
          <cell r="AG13">
            <v>789.59999999999991</v>
          </cell>
          <cell r="AH13"/>
          <cell r="AI13"/>
          <cell r="AJ13">
            <v>499.9</v>
          </cell>
          <cell r="AK13"/>
          <cell r="AL13"/>
          <cell r="AM13">
            <v>139</v>
          </cell>
          <cell r="AN13">
            <v>194.60000000000002</v>
          </cell>
          <cell r="AO13">
            <v>1033.7</v>
          </cell>
          <cell r="AP13">
            <v>209.5</v>
          </cell>
          <cell r="AQ13">
            <v>180.70000000000002</v>
          </cell>
          <cell r="AR13">
            <v>1075.3</v>
          </cell>
          <cell r="AS13">
            <v>27.8</v>
          </cell>
          <cell r="AT13">
            <v>83.4</v>
          </cell>
          <cell r="AU13">
            <v>69.5</v>
          </cell>
          <cell r="AV13">
            <v>55.599999999999987</v>
          </cell>
          <cell r="AW13">
            <v>83.4</v>
          </cell>
          <cell r="AX13">
            <v>97.300000000000011</v>
          </cell>
          <cell r="AY13">
            <v>583.79999999999995</v>
          </cell>
          <cell r="AZ13">
            <v>305.40000000000003</v>
          </cell>
          <cell r="BA13">
            <v>804.99999999999989</v>
          </cell>
          <cell r="BB13">
            <v>613.69999999999982</v>
          </cell>
          <cell r="BC13">
            <v>473.8</v>
          </cell>
          <cell r="BD13">
            <v>503</v>
          </cell>
          <cell r="BE13">
            <v>1302.7000000000003</v>
          </cell>
          <cell r="BF13">
            <v>83.4</v>
          </cell>
          <cell r="BG13">
            <v>111.20000000000002</v>
          </cell>
          <cell r="BH13">
            <v>13.9</v>
          </cell>
          <cell r="BI13"/>
          <cell r="BJ13"/>
          <cell r="BK13"/>
          <cell r="BL13"/>
          <cell r="BM13"/>
          <cell r="BN13">
            <v>13.9</v>
          </cell>
          <cell r="BO13">
            <v>681.1</v>
          </cell>
          <cell r="BP13">
            <v>41.7</v>
          </cell>
          <cell r="BQ13">
            <v>138.1</v>
          </cell>
          <cell r="BR13">
            <v>0.3</v>
          </cell>
          <cell r="BS13"/>
          <cell r="BT13"/>
          <cell r="BU13">
            <v>528.20000000000005</v>
          </cell>
          <cell r="BV13">
            <v>83.4</v>
          </cell>
          <cell r="BW13">
            <v>97.300000000000011</v>
          </cell>
          <cell r="BX13">
            <v>639.39999999999986</v>
          </cell>
          <cell r="BY13">
            <v>194.60000000000002</v>
          </cell>
          <cell r="BZ13">
            <v>125.10000000000002</v>
          </cell>
          <cell r="CA13">
            <v>77.7</v>
          </cell>
          <cell r="CB13"/>
          <cell r="CC13"/>
          <cell r="CD13"/>
          <cell r="CE13"/>
          <cell r="CF13">
            <v>41.7</v>
          </cell>
          <cell r="CG13">
            <v>343.8</v>
          </cell>
          <cell r="CH13">
            <v>624</v>
          </cell>
          <cell r="CI13">
            <v>125.10000000000001</v>
          </cell>
          <cell r="CJ13">
            <v>139</v>
          </cell>
          <cell r="CK13">
            <v>567.99999999999989</v>
          </cell>
          <cell r="CL13">
            <v>55.6</v>
          </cell>
          <cell r="CM13">
            <v>541.69999999999993</v>
          </cell>
          <cell r="CN13">
            <v>41.7</v>
          </cell>
          <cell r="CO13"/>
          <cell r="CP13">
            <v>27.8</v>
          </cell>
          <cell r="CQ13">
            <v>55.6</v>
          </cell>
          <cell r="CR13">
            <v>83.4</v>
          </cell>
          <cell r="CS13">
            <v>13.9</v>
          </cell>
          <cell r="CT13">
            <v>69.5</v>
          </cell>
          <cell r="CU13">
            <v>83.4</v>
          </cell>
          <cell r="CV13">
            <v>132.6</v>
          </cell>
          <cell r="CW13"/>
          <cell r="CX13">
            <v>162.415865</v>
          </cell>
          <cell r="CY13"/>
          <cell r="CZ13"/>
          <cell r="DA13">
            <v>55.6</v>
          </cell>
          <cell r="DB13">
            <v>83.4</v>
          </cell>
          <cell r="DC13">
            <v>62.800000000000004</v>
          </cell>
          <cell r="DD13"/>
          <cell r="DE13">
            <v>534.29999999999995</v>
          </cell>
          <cell r="DF13">
            <v>69.5</v>
          </cell>
          <cell r="DG13">
            <v>129.5</v>
          </cell>
          <cell r="DH13">
            <v>241.7</v>
          </cell>
          <cell r="DI13">
            <v>27.8</v>
          </cell>
          <cell r="DJ13">
            <v>335.7</v>
          </cell>
          <cell r="DK13">
            <v>166.8</v>
          </cell>
          <cell r="DL13">
            <v>83.4</v>
          </cell>
          <cell r="DM13">
            <v>83.4</v>
          </cell>
          <cell r="DN13">
            <v>69.5</v>
          </cell>
          <cell r="DO13">
            <v>83.4</v>
          </cell>
          <cell r="DP13">
            <v>142.5</v>
          </cell>
          <cell r="DQ13">
            <v>55.6</v>
          </cell>
          <cell r="DR13">
            <v>55.6</v>
          </cell>
          <cell r="DS13">
            <v>188.8</v>
          </cell>
          <cell r="DT13"/>
          <cell r="DU13">
            <v>41.7</v>
          </cell>
          <cell r="DV13">
            <v>83.4</v>
          </cell>
          <cell r="DW13">
            <v>166.8</v>
          </cell>
          <cell r="DX13">
            <v>97.300000000000011</v>
          </cell>
          <cell r="DY13">
            <v>461.59999999999991</v>
          </cell>
          <cell r="DZ13"/>
          <cell r="EA13"/>
          <cell r="EB13"/>
          <cell r="EC13"/>
          <cell r="ED13"/>
          <cell r="EE13"/>
          <cell r="EF13"/>
          <cell r="EG13"/>
          <cell r="EH13"/>
          <cell r="EI13"/>
          <cell r="EJ13" t="str">
            <v>ACTIVO</v>
          </cell>
          <cell r="EK13" t="str">
            <v>B</v>
          </cell>
          <cell r="EL13">
            <v>300</v>
          </cell>
          <cell r="EM13">
            <v>133.95624999999998</v>
          </cell>
          <cell r="EN13">
            <v>22.326041666666665</v>
          </cell>
          <cell r="EO13">
            <v>208.55527445585966</v>
          </cell>
          <cell r="EP13">
            <v>0</v>
          </cell>
          <cell r="EQ13">
            <v>0</v>
          </cell>
          <cell r="ER13">
            <v>0</v>
          </cell>
          <cell r="ES13">
            <v>245.58645833333333</v>
          </cell>
        </row>
        <row r="14">
          <cell r="F14">
            <v>400104</v>
          </cell>
          <cell r="G14" t="str">
            <v>BOLSA DISCO HOJA 35X35 CM x35 MICRAS</v>
          </cell>
          <cell r="H14"/>
          <cell r="I14"/>
          <cell r="J14">
            <v>500</v>
          </cell>
          <cell r="K14">
            <v>12500</v>
          </cell>
          <cell r="L14">
            <v>11500</v>
          </cell>
          <cell r="M14">
            <v>24000</v>
          </cell>
          <cell r="N14"/>
          <cell r="O14"/>
          <cell r="P14"/>
          <cell r="Q14">
            <v>53000</v>
          </cell>
          <cell r="R14">
            <v>18000</v>
          </cell>
          <cell r="S14"/>
          <cell r="T14">
            <v>18236</v>
          </cell>
          <cell r="U14">
            <v>42000</v>
          </cell>
          <cell r="V14"/>
          <cell r="W14">
            <v>17500</v>
          </cell>
          <cell r="X14">
            <v>35000</v>
          </cell>
          <cell r="Y14"/>
          <cell r="Z14"/>
          <cell r="AA14"/>
          <cell r="AB14">
            <v>25000</v>
          </cell>
          <cell r="AC14"/>
          <cell r="AD14"/>
          <cell r="AE14"/>
          <cell r="AF14"/>
          <cell r="AG14"/>
          <cell r="AH14"/>
          <cell r="AI14">
            <v>44000</v>
          </cell>
          <cell r="AJ14">
            <v>24500</v>
          </cell>
          <cell r="AK14"/>
          <cell r="AL14"/>
          <cell r="AM14"/>
          <cell r="AN14">
            <v>63000</v>
          </cell>
          <cell r="AO14">
            <v>8500</v>
          </cell>
          <cell r="AP14">
            <v>60000</v>
          </cell>
          <cell r="AQ14">
            <v>32500</v>
          </cell>
          <cell r="AR14"/>
          <cell r="AS14"/>
          <cell r="AT14"/>
          <cell r="AU14"/>
          <cell r="AV14"/>
          <cell r="AW14">
            <v>24500</v>
          </cell>
          <cell r="AX14"/>
          <cell r="AY14"/>
          <cell r="AZ14"/>
          <cell r="BA14">
            <v>33000</v>
          </cell>
          <cell r="BB14">
            <v>67000</v>
          </cell>
          <cell r="BC14">
            <v>76300</v>
          </cell>
          <cell r="BD14"/>
          <cell r="BE14"/>
          <cell r="BF14"/>
          <cell r="BG14"/>
          <cell r="BH14"/>
          <cell r="BI14"/>
          <cell r="BJ14"/>
          <cell r="BK14"/>
          <cell r="BL14">
            <v>50000</v>
          </cell>
          <cell r="BM14"/>
          <cell r="BN14"/>
          <cell r="BO14"/>
          <cell r="BP14"/>
          <cell r="BQ14"/>
          <cell r="BR14"/>
          <cell r="BS14">
            <v>60000</v>
          </cell>
          <cell r="BT14"/>
          <cell r="BU14">
            <v>120000</v>
          </cell>
          <cell r="BV14"/>
          <cell r="BW14"/>
          <cell r="BX14"/>
          <cell r="BY14"/>
          <cell r="BZ14"/>
          <cell r="CA14"/>
          <cell r="CB14"/>
          <cell r="CC14">
            <v>60000</v>
          </cell>
          <cell r="CD14"/>
          <cell r="CE14">
            <v>49000</v>
          </cell>
          <cell r="CF14">
            <v>11000</v>
          </cell>
          <cell r="CG14">
            <v>60000</v>
          </cell>
          <cell r="CH14"/>
          <cell r="CI14"/>
          <cell r="CJ14"/>
          <cell r="CK14"/>
          <cell r="CL14"/>
          <cell r="CM14"/>
          <cell r="CN14">
            <v>30000</v>
          </cell>
          <cell r="CO14"/>
          <cell r="CP14"/>
          <cell r="CQ14"/>
          <cell r="CR14">
            <v>100000</v>
          </cell>
          <cell r="CS14"/>
          <cell r="CT14"/>
          <cell r="CU14"/>
          <cell r="CV14"/>
          <cell r="CW14"/>
          <cell r="CX14"/>
          <cell r="CY14"/>
          <cell r="CZ14"/>
          <cell r="DA14"/>
          <cell r="DB14">
            <v>120000</v>
          </cell>
          <cell r="DC14"/>
          <cell r="DD14"/>
          <cell r="DE14"/>
          <cell r="DF14"/>
          <cell r="DG14"/>
          <cell r="DH14"/>
          <cell r="DI14"/>
          <cell r="DJ14"/>
          <cell r="DK14"/>
          <cell r="DL14">
            <v>47500</v>
          </cell>
          <cell r="DM14"/>
          <cell r="DN14"/>
          <cell r="DO14">
            <v>60000</v>
          </cell>
          <cell r="DP14"/>
          <cell r="DQ14">
            <v>60000</v>
          </cell>
          <cell r="DR14"/>
          <cell r="DS14"/>
          <cell r="DT14"/>
          <cell r="DU14"/>
          <cell r="DV14"/>
          <cell r="DW14">
            <v>60000</v>
          </cell>
          <cell r="DX14"/>
          <cell r="DY14"/>
          <cell r="DZ14"/>
          <cell r="EA14"/>
          <cell r="EB14"/>
          <cell r="EC14"/>
          <cell r="ED14">
            <v>38500</v>
          </cell>
          <cell r="EE14"/>
          <cell r="EF14">
            <v>21500</v>
          </cell>
          <cell r="EG14">
            <v>30000</v>
          </cell>
          <cell r="EH14"/>
          <cell r="EI14"/>
          <cell r="EJ14" t="str">
            <v>CURICO</v>
          </cell>
          <cell r="EK14" t="str">
            <v>C</v>
          </cell>
          <cell r="EL14" t="str">
            <v/>
          </cell>
          <cell r="EM14">
            <v>45357.142857142855</v>
          </cell>
          <cell r="EN14">
            <v>7559.5238095238092</v>
          </cell>
          <cell r="EO14">
            <v>36456.976165215776</v>
          </cell>
          <cell r="EP14">
            <v>0</v>
          </cell>
          <cell r="EQ14">
            <v>0</v>
          </cell>
          <cell r="ER14">
            <v>0</v>
          </cell>
          <cell r="ES14">
            <v>45357.142857142855</v>
          </cell>
        </row>
        <row r="15">
          <cell r="F15">
            <v>405569</v>
          </cell>
          <cell r="G15" t="str">
            <v>BOLSA VIRGEN ROJA DE 40 X 42 X 0,035 SIGNO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  <cell r="BA15"/>
          <cell r="BB15"/>
          <cell r="BC15"/>
          <cell r="BD15"/>
          <cell r="BE15"/>
          <cell r="BF15"/>
          <cell r="BG15"/>
          <cell r="BH15"/>
          <cell r="BI15"/>
          <cell r="BJ15"/>
          <cell r="BK15"/>
          <cell r="BL15"/>
          <cell r="BM15"/>
          <cell r="BN15"/>
          <cell r="BO15"/>
          <cell r="BP15"/>
          <cell r="BQ15"/>
          <cell r="BR15"/>
          <cell r="BS15"/>
          <cell r="BT15"/>
          <cell r="BU15"/>
          <cell r="BV15"/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  <cell r="CG15"/>
          <cell r="CH15"/>
          <cell r="CI15"/>
          <cell r="CJ15"/>
          <cell r="CK15"/>
          <cell r="CL15"/>
          <cell r="CM15">
            <v>2000</v>
          </cell>
          <cell r="CN15"/>
          <cell r="CO15"/>
          <cell r="CP15"/>
          <cell r="CQ15"/>
          <cell r="CR15"/>
          <cell r="CS15"/>
          <cell r="CT15"/>
          <cell r="CU15"/>
          <cell r="CV15"/>
          <cell r="CW15"/>
          <cell r="CX15"/>
          <cell r="CY15"/>
          <cell r="CZ15"/>
          <cell r="DA15"/>
          <cell r="DB15"/>
          <cell r="DC15"/>
          <cell r="DD15"/>
          <cell r="DE15"/>
          <cell r="DF15"/>
          <cell r="DG15"/>
          <cell r="DH15"/>
          <cell r="DI15"/>
          <cell r="DJ15"/>
          <cell r="DK15"/>
          <cell r="DL15"/>
          <cell r="DM15"/>
          <cell r="DN15"/>
          <cell r="DO15"/>
          <cell r="DP15"/>
          <cell r="DQ15"/>
          <cell r="DR15"/>
          <cell r="DS15"/>
          <cell r="DT15"/>
          <cell r="DU15"/>
          <cell r="DV15"/>
          <cell r="DW15"/>
          <cell r="DX15"/>
          <cell r="DY15"/>
          <cell r="DZ15"/>
          <cell r="EA15"/>
          <cell r="EB15"/>
          <cell r="EC15"/>
          <cell r="ED15"/>
          <cell r="EE15"/>
          <cell r="EF15"/>
          <cell r="EG15"/>
          <cell r="EH15"/>
          <cell r="EI15"/>
          <cell r="EJ15" t="str">
            <v>SIN USO</v>
          </cell>
          <cell r="EK15" t="str">
            <v>C</v>
          </cell>
          <cell r="EL15" t="str">
            <v/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</row>
        <row r="16">
          <cell r="F16">
            <v>400203</v>
          </cell>
          <cell r="G16" t="str">
            <v>BOLSA PREPICADA BANDEJA (22+60+22)104x90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>
            <v>200</v>
          </cell>
          <cell r="R16"/>
          <cell r="S16"/>
          <cell r="T16"/>
          <cell r="U16">
            <v>13</v>
          </cell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>
            <v>27.8</v>
          </cell>
          <cell r="AG16">
            <v>41.7</v>
          </cell>
          <cell r="AH16">
            <v>83.4</v>
          </cell>
          <cell r="AI16">
            <v>41.7</v>
          </cell>
          <cell r="AJ16">
            <v>69.5</v>
          </cell>
          <cell r="AK16">
            <v>125.10000000000002</v>
          </cell>
          <cell r="AL16">
            <v>69.5</v>
          </cell>
          <cell r="AM16">
            <v>76.5</v>
          </cell>
          <cell r="AN16">
            <v>34</v>
          </cell>
          <cell r="AO16">
            <v>13.9</v>
          </cell>
          <cell r="AP16"/>
          <cell r="AQ16"/>
          <cell r="AR16">
            <v>13.9</v>
          </cell>
          <cell r="AS16"/>
          <cell r="AT16"/>
          <cell r="AU16"/>
          <cell r="AV16"/>
          <cell r="AW16"/>
          <cell r="AX16"/>
          <cell r="AY16"/>
          <cell r="AZ16"/>
          <cell r="BA16">
            <v>2.2000000000000002</v>
          </cell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>
            <v>395</v>
          </cell>
          <cell r="BT16"/>
          <cell r="BU16"/>
          <cell r="BV16"/>
          <cell r="BW16"/>
          <cell r="BX16"/>
          <cell r="BY16"/>
          <cell r="BZ16">
            <v>0</v>
          </cell>
          <cell r="CA16">
            <v>500</v>
          </cell>
          <cell r="CB16">
            <v>55.6</v>
          </cell>
          <cell r="CC16">
            <v>472.6</v>
          </cell>
          <cell r="CD16"/>
          <cell r="CE16">
            <v>500</v>
          </cell>
          <cell r="CF16"/>
          <cell r="CG16"/>
          <cell r="CH16"/>
          <cell r="CI16"/>
          <cell r="CJ16"/>
          <cell r="CK16">
            <v>500</v>
          </cell>
          <cell r="CL16"/>
          <cell r="CM16"/>
          <cell r="CN16"/>
          <cell r="CO16">
            <v>500</v>
          </cell>
          <cell r="CP16">
            <v>103.9</v>
          </cell>
          <cell r="CQ16"/>
          <cell r="CR16"/>
          <cell r="CS16"/>
          <cell r="CT16"/>
          <cell r="CU16"/>
          <cell r="CV16">
            <v>73.900000000000006</v>
          </cell>
          <cell r="CW16">
            <v>552.19999999999993</v>
          </cell>
          <cell r="CX16"/>
          <cell r="CY16">
            <v>137.80000000000001</v>
          </cell>
          <cell r="CZ16">
            <v>569.49999999999989</v>
          </cell>
          <cell r="DA16">
            <v>13.9</v>
          </cell>
          <cell r="DB16"/>
          <cell r="DC16">
            <v>27.8</v>
          </cell>
          <cell r="DD16">
            <v>555.59999999999991</v>
          </cell>
          <cell r="DE16">
            <v>55.6</v>
          </cell>
          <cell r="DF16">
            <v>513.9</v>
          </cell>
          <cell r="DG16">
            <v>13.9</v>
          </cell>
          <cell r="DH16"/>
          <cell r="DI16"/>
          <cell r="DJ16"/>
          <cell r="DK16">
            <v>500</v>
          </cell>
          <cell r="DL16"/>
          <cell r="DM16">
            <v>500</v>
          </cell>
          <cell r="DN16"/>
          <cell r="DO16"/>
          <cell r="DP16"/>
          <cell r="DQ16"/>
          <cell r="DR16">
            <v>500</v>
          </cell>
          <cell r="DS16"/>
          <cell r="DT16">
            <v>41.7</v>
          </cell>
          <cell r="DU16">
            <v>333.6</v>
          </cell>
          <cell r="DV16"/>
          <cell r="DW16">
            <v>500</v>
          </cell>
          <cell r="DX16"/>
          <cell r="DY16">
            <v>13.9</v>
          </cell>
          <cell r="DZ16">
            <v>83.4</v>
          </cell>
          <cell r="EA16">
            <v>111.2</v>
          </cell>
          <cell r="EB16">
            <v>319.70000000000005</v>
          </cell>
          <cell r="EC16">
            <v>461.39999999999992</v>
          </cell>
          <cell r="ED16">
            <v>375.2999999999999</v>
          </cell>
          <cell r="EE16">
            <v>97.300000000000011</v>
          </cell>
          <cell r="EF16">
            <v>319.7</v>
          </cell>
          <cell r="EG16">
            <v>966.3</v>
          </cell>
          <cell r="EH16">
            <v>191.5</v>
          </cell>
          <cell r="EI16">
            <v>55.199999999999996</v>
          </cell>
          <cell r="EJ16" t="str">
            <v>ACTIVO</v>
          </cell>
          <cell r="EK16" t="str">
            <v>C</v>
          </cell>
          <cell r="EL16">
            <v>300</v>
          </cell>
          <cell r="EM16">
            <v>341.56666666666666</v>
          </cell>
          <cell r="EN16">
            <v>56.927777777777777</v>
          </cell>
          <cell r="EO16">
            <v>236.63795909407801</v>
          </cell>
          <cell r="EP16">
            <v>403.5</v>
          </cell>
          <cell r="EQ16">
            <v>1109471.67</v>
          </cell>
          <cell r="ER16">
            <v>1.1813213623499561</v>
          </cell>
          <cell r="ES16">
            <v>341.56666666666666</v>
          </cell>
        </row>
        <row r="17">
          <cell r="F17">
            <v>400205</v>
          </cell>
          <cell r="G17" t="str">
            <v>BOLSA PEBD 40x42 CM x35 MICRAS</v>
          </cell>
          <cell r="H17"/>
          <cell r="I17"/>
          <cell r="J17"/>
          <cell r="K17"/>
          <cell r="L17"/>
          <cell r="M17"/>
          <cell r="N17">
            <v>2500</v>
          </cell>
          <cell r="O17"/>
          <cell r="P17"/>
          <cell r="Q17"/>
          <cell r="R17"/>
          <cell r="S17"/>
          <cell r="T17"/>
          <cell r="U17"/>
          <cell r="V17">
            <v>2000</v>
          </cell>
          <cell r="W17"/>
          <cell r="X17">
            <v>2000</v>
          </cell>
          <cell r="Y17">
            <v>4000</v>
          </cell>
          <cell r="Z17"/>
          <cell r="AA17">
            <v>4000</v>
          </cell>
          <cell r="AB17"/>
          <cell r="AC17"/>
          <cell r="AD17"/>
          <cell r="AE17">
            <v>2000</v>
          </cell>
          <cell r="AF17"/>
          <cell r="AG17"/>
          <cell r="AH17">
            <v>3000</v>
          </cell>
          <cell r="AI17"/>
          <cell r="AJ17"/>
          <cell r="AK17"/>
          <cell r="AL17"/>
          <cell r="AM17"/>
          <cell r="AN17"/>
          <cell r="AO17"/>
          <cell r="AP17"/>
          <cell r="AQ17">
            <v>5500</v>
          </cell>
          <cell r="AR17"/>
          <cell r="AS17"/>
          <cell r="AT17"/>
          <cell r="AU17">
            <v>4000</v>
          </cell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>
            <v>1500</v>
          </cell>
          <cell r="BH17"/>
          <cell r="BI17"/>
          <cell r="BJ17"/>
          <cell r="BK17"/>
          <cell r="BL17"/>
          <cell r="BM17"/>
          <cell r="BN17"/>
          <cell r="BO17"/>
          <cell r="BP17"/>
          <cell r="BQ17"/>
          <cell r="BR17"/>
          <cell r="BS17"/>
          <cell r="BT17">
            <v>1000</v>
          </cell>
          <cell r="BU17"/>
          <cell r="BV17"/>
          <cell r="BW17"/>
          <cell r="BX17"/>
          <cell r="BY17"/>
          <cell r="BZ17">
            <v>2000</v>
          </cell>
          <cell r="CA17"/>
          <cell r="CB17"/>
          <cell r="CC17">
            <v>2000</v>
          </cell>
          <cell r="CD17"/>
          <cell r="CE17"/>
          <cell r="CF17"/>
          <cell r="CG17">
            <v>28000</v>
          </cell>
          <cell r="CH17"/>
          <cell r="CI17"/>
          <cell r="CJ17"/>
          <cell r="CK17"/>
          <cell r="CL17"/>
          <cell r="CM17"/>
          <cell r="CN17">
            <v>4000</v>
          </cell>
          <cell r="CO17"/>
          <cell r="CP17">
            <v>4000</v>
          </cell>
          <cell r="CQ17"/>
          <cell r="CR17"/>
          <cell r="CS17">
            <v>4000</v>
          </cell>
          <cell r="CT17"/>
          <cell r="CU17"/>
          <cell r="CV17"/>
          <cell r="CW17">
            <v>2000</v>
          </cell>
          <cell r="CX17">
            <v>2500</v>
          </cell>
          <cell r="CY17"/>
          <cell r="CZ17"/>
          <cell r="DA17">
            <v>2000</v>
          </cell>
          <cell r="DB17"/>
          <cell r="DC17"/>
          <cell r="DD17"/>
          <cell r="DE17"/>
          <cell r="DF17"/>
          <cell r="DG17"/>
          <cell r="DH17"/>
          <cell r="DI17"/>
          <cell r="DJ17"/>
          <cell r="DK17"/>
          <cell r="DL17">
            <v>2000</v>
          </cell>
          <cell r="DM17"/>
          <cell r="DN17">
            <v>2000</v>
          </cell>
          <cell r="DO17"/>
          <cell r="DP17"/>
          <cell r="DQ17"/>
          <cell r="DR17"/>
          <cell r="DS17"/>
          <cell r="DT17">
            <v>2000</v>
          </cell>
          <cell r="DU17"/>
          <cell r="DV17">
            <v>2000</v>
          </cell>
          <cell r="DW17"/>
          <cell r="DX17"/>
          <cell r="DY17">
            <v>2000</v>
          </cell>
          <cell r="DZ17"/>
          <cell r="EA17">
            <v>4000</v>
          </cell>
          <cell r="EB17"/>
          <cell r="EC17"/>
          <cell r="ED17"/>
          <cell r="EE17"/>
          <cell r="EF17">
            <v>4000</v>
          </cell>
          <cell r="EG17"/>
          <cell r="EH17"/>
          <cell r="EI17">
            <v>2000</v>
          </cell>
          <cell r="EJ17" t="str">
            <v>ACTIVO</v>
          </cell>
          <cell r="EK17" t="str">
            <v>C</v>
          </cell>
          <cell r="EL17" t="str">
            <v/>
          </cell>
          <cell r="EM17">
            <v>2571.4285714285716</v>
          </cell>
          <cell r="EN17">
            <v>428.57142857142861</v>
          </cell>
          <cell r="EO17">
            <v>8096.8100714622997</v>
          </cell>
          <cell r="EP17">
            <v>2000</v>
          </cell>
          <cell r="EQ17">
            <v>78580</v>
          </cell>
          <cell r="ER17">
            <v>0.77777777777777779</v>
          </cell>
          <cell r="ES17">
            <v>2571.4285714285716</v>
          </cell>
        </row>
        <row r="18">
          <cell r="F18">
            <v>400101</v>
          </cell>
          <cell r="G18" t="str">
            <v>BOLSA 30X32 CM 35 MICRAS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>
            <v>30000</v>
          </cell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K18"/>
          <cell r="DL18"/>
          <cell r="DM18"/>
          <cell r="DN18"/>
          <cell r="DO18"/>
          <cell r="DP18"/>
          <cell r="DQ18"/>
          <cell r="DR18"/>
          <cell r="DS18"/>
          <cell r="DT18"/>
          <cell r="DU18"/>
          <cell r="DV18"/>
          <cell r="DW18"/>
          <cell r="DX18"/>
          <cell r="DY18"/>
          <cell r="DZ18"/>
          <cell r="EA18"/>
          <cell r="EB18"/>
          <cell r="EC18"/>
          <cell r="ED18"/>
          <cell r="EE18"/>
          <cell r="EF18"/>
          <cell r="EG18"/>
          <cell r="EH18"/>
          <cell r="EI18"/>
          <cell r="EJ18" t="str">
            <v>VESPUCIO</v>
          </cell>
          <cell r="EK18" t="str">
            <v>C</v>
          </cell>
          <cell r="EL18" t="str">
            <v/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</row>
        <row r="19">
          <cell r="F19">
            <v>402263</v>
          </cell>
          <cell r="G19" t="str">
            <v>BOLSA PREPICADA BANDEJA  100*90 COLOR AZUL ASTRA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>
            <v>208.5</v>
          </cell>
          <cell r="BO19"/>
          <cell r="BP19"/>
          <cell r="BQ19"/>
          <cell r="BR19"/>
          <cell r="BS19"/>
          <cell r="BT19"/>
          <cell r="BU19">
            <v>27.8</v>
          </cell>
          <cell r="BV19"/>
          <cell r="BW19"/>
          <cell r="BX19"/>
          <cell r="BY19"/>
          <cell r="BZ19">
            <v>13.9</v>
          </cell>
          <cell r="CA19"/>
          <cell r="CB19">
            <v>27.8</v>
          </cell>
          <cell r="CC19"/>
          <cell r="CD19"/>
          <cell r="CE19">
            <v>13.9</v>
          </cell>
          <cell r="CF19"/>
          <cell r="CG19">
            <v>111.2</v>
          </cell>
          <cell r="CH19"/>
          <cell r="CI19"/>
          <cell r="CJ19">
            <v>13.9</v>
          </cell>
          <cell r="CK19"/>
          <cell r="CL19">
            <v>13.9</v>
          </cell>
          <cell r="CM19"/>
          <cell r="CN19">
            <v>41.7</v>
          </cell>
          <cell r="CO19"/>
          <cell r="CP19"/>
          <cell r="CQ19"/>
          <cell r="CR19">
            <v>13.9</v>
          </cell>
          <cell r="CS19"/>
          <cell r="CT19"/>
          <cell r="CU19">
            <v>13.9</v>
          </cell>
          <cell r="CV19"/>
          <cell r="CW19">
            <v>10</v>
          </cell>
          <cell r="CX19"/>
          <cell r="CY19">
            <v>13.9</v>
          </cell>
          <cell r="CZ19">
            <v>13.9</v>
          </cell>
          <cell r="DA19"/>
          <cell r="DB19"/>
          <cell r="DC19">
            <v>13.9</v>
          </cell>
          <cell r="DD19">
            <v>13.9</v>
          </cell>
          <cell r="DE19"/>
          <cell r="DF19">
            <v>13.9</v>
          </cell>
          <cell r="DG19"/>
          <cell r="DH19"/>
          <cell r="DI19"/>
          <cell r="DJ19"/>
          <cell r="DK19">
            <v>13.9</v>
          </cell>
          <cell r="DL19">
            <v>13.9</v>
          </cell>
          <cell r="DM19">
            <v>13.9</v>
          </cell>
          <cell r="DN19"/>
          <cell r="DO19">
            <v>13.9</v>
          </cell>
          <cell r="DP19">
            <v>27.8</v>
          </cell>
          <cell r="DQ19"/>
          <cell r="DR19"/>
          <cell r="DS19">
            <v>13.9</v>
          </cell>
          <cell r="DT19">
            <v>13.9</v>
          </cell>
          <cell r="DU19">
            <v>13.9</v>
          </cell>
          <cell r="DV19"/>
          <cell r="DW19">
            <v>13.9</v>
          </cell>
          <cell r="DX19"/>
          <cell r="DY19"/>
          <cell r="DZ19"/>
          <cell r="EA19">
            <v>97.300000000000011</v>
          </cell>
          <cell r="EB19">
            <v>13.9</v>
          </cell>
          <cell r="EC19">
            <v>143.9</v>
          </cell>
          <cell r="ED19"/>
          <cell r="EE19">
            <v>27.8</v>
          </cell>
          <cell r="EF19"/>
          <cell r="EG19">
            <v>13.9</v>
          </cell>
          <cell r="EH19">
            <v>13.9</v>
          </cell>
          <cell r="EI19"/>
          <cell r="EJ19" t="str">
            <v>ACTIVO</v>
          </cell>
          <cell r="EK19" t="str">
            <v>C</v>
          </cell>
          <cell r="EL19" t="str">
            <v/>
          </cell>
          <cell r="EM19">
            <v>31.12857142857143</v>
          </cell>
          <cell r="EN19">
            <v>5.1880952380952383</v>
          </cell>
          <cell r="EO19">
            <v>50.96945019265145</v>
          </cell>
          <cell r="EP19">
            <v>291.89999999999998</v>
          </cell>
          <cell r="EQ19">
            <v>723544.20600000001</v>
          </cell>
          <cell r="ER19">
            <v>9.3772372648003657</v>
          </cell>
          <cell r="ES19">
            <v>57.069047619047623</v>
          </cell>
        </row>
        <row r="20">
          <cell r="F20">
            <v>501114</v>
          </cell>
          <cell r="G20" t="str">
            <v>BOLSA COLOR AZUL 100 X 120 X 0,035 SIGNO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K20"/>
          <cell r="DL20"/>
          <cell r="DM20"/>
          <cell r="DN20"/>
          <cell r="DO20"/>
          <cell r="DP20"/>
          <cell r="DQ20"/>
          <cell r="DR20"/>
          <cell r="DS20"/>
          <cell r="DT20"/>
          <cell r="DU20"/>
          <cell r="DV20"/>
          <cell r="DW20"/>
          <cell r="DX20"/>
          <cell r="DY20"/>
          <cell r="DZ20"/>
          <cell r="EA20"/>
          <cell r="EB20"/>
          <cell r="EC20"/>
          <cell r="ED20"/>
          <cell r="EE20"/>
          <cell r="EF20"/>
          <cell r="EG20">
            <v>1000</v>
          </cell>
          <cell r="EH20"/>
          <cell r="EI20"/>
          <cell r="EJ20" t="str">
            <v>ACTIVO</v>
          </cell>
          <cell r="EK20" t="str">
            <v/>
          </cell>
          <cell r="EL20"/>
          <cell r="EM20">
            <v>1000</v>
          </cell>
          <cell r="EN20">
            <v>166.66666666666666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1166.6666666666665</v>
          </cell>
        </row>
        <row r="21">
          <cell r="F21"/>
          <cell r="G21"/>
          <cell r="H21">
            <v>93.9</v>
          </cell>
          <cell r="I21">
            <v>160</v>
          </cell>
          <cell r="J21">
            <v>1086.5999999999999</v>
          </cell>
          <cell r="K21">
            <v>12609.5</v>
          </cell>
          <cell r="L21">
            <v>11583.4</v>
          </cell>
          <cell r="M21">
            <v>24495.1</v>
          </cell>
          <cell r="N21">
            <v>2569.5</v>
          </cell>
          <cell r="O21">
            <v>1036.2</v>
          </cell>
          <cell r="P21">
            <v>186.4</v>
          </cell>
          <cell r="Q21">
            <v>53269.5</v>
          </cell>
          <cell r="R21">
            <v>18575.5</v>
          </cell>
          <cell r="S21">
            <v>147.80000000000001</v>
          </cell>
          <cell r="T21">
            <v>18317.7</v>
          </cell>
          <cell r="U21">
            <v>42217.7</v>
          </cell>
          <cell r="V21">
            <v>2041.7</v>
          </cell>
          <cell r="W21">
            <v>18299.2</v>
          </cell>
          <cell r="X21">
            <v>37129.5</v>
          </cell>
          <cell r="Y21">
            <v>4069.5</v>
          </cell>
          <cell r="Z21">
            <v>125.10000000000002</v>
          </cell>
          <cell r="AA21">
            <v>4643.8</v>
          </cell>
          <cell r="AB21">
            <v>25212.1</v>
          </cell>
          <cell r="AC21">
            <v>416.99999999999989</v>
          </cell>
          <cell r="AD21">
            <v>970.69999999999993</v>
          </cell>
          <cell r="AE21">
            <v>2369.5</v>
          </cell>
          <cell r="AF21">
            <v>185.10000000000002</v>
          </cell>
          <cell r="AG21">
            <v>831.3</v>
          </cell>
          <cell r="AH21">
            <v>3083.4</v>
          </cell>
          <cell r="AI21">
            <v>44041.7</v>
          </cell>
          <cell r="AJ21">
            <v>25169.4</v>
          </cell>
          <cell r="AK21">
            <v>125.10000000000002</v>
          </cell>
          <cell r="AL21">
            <v>69.5</v>
          </cell>
          <cell r="AM21">
            <v>335.5</v>
          </cell>
          <cell r="AN21">
            <v>63228.6</v>
          </cell>
          <cell r="AO21">
            <v>9547.6</v>
          </cell>
          <cell r="AP21">
            <v>60209.5</v>
          </cell>
          <cell r="AQ21">
            <v>38280.699999999997</v>
          </cell>
          <cell r="AR21">
            <v>1089.2</v>
          </cell>
          <cell r="AS21">
            <v>27.8</v>
          </cell>
          <cell r="AT21">
            <v>83.4</v>
          </cell>
          <cell r="AU21">
            <v>4069.5</v>
          </cell>
          <cell r="AV21">
            <v>155.6</v>
          </cell>
          <cell r="AW21">
            <v>24583.4</v>
          </cell>
          <cell r="AX21">
            <v>97.300000000000011</v>
          </cell>
          <cell r="AY21">
            <v>583.79999999999995</v>
          </cell>
          <cell r="AZ21">
            <v>395.40000000000003</v>
          </cell>
          <cell r="BA21">
            <v>33807.199999999997</v>
          </cell>
          <cell r="BB21">
            <v>67613.7</v>
          </cell>
          <cell r="BC21">
            <v>76993.8</v>
          </cell>
          <cell r="BD21">
            <v>503</v>
          </cell>
          <cell r="BE21">
            <v>1302.7000000000003</v>
          </cell>
          <cell r="BF21">
            <v>83.4</v>
          </cell>
          <cell r="BG21">
            <v>1611.2</v>
          </cell>
          <cell r="BH21">
            <v>13.9</v>
          </cell>
          <cell r="BI21"/>
          <cell r="BJ21"/>
          <cell r="BK21"/>
          <cell r="BL21">
            <v>80121</v>
          </cell>
          <cell r="BM21">
            <v>119</v>
          </cell>
          <cell r="BN21">
            <v>222.4</v>
          </cell>
          <cell r="BO21">
            <v>831.1</v>
          </cell>
          <cell r="BP21">
            <v>41.7</v>
          </cell>
          <cell r="BQ21">
            <v>138.1</v>
          </cell>
          <cell r="BR21">
            <v>0.3</v>
          </cell>
          <cell r="BS21">
            <v>60395</v>
          </cell>
          <cell r="BT21">
            <v>1000</v>
          </cell>
          <cell r="BU21">
            <v>120556</v>
          </cell>
          <cell r="BV21">
            <v>83.4</v>
          </cell>
          <cell r="BW21">
            <v>297.3</v>
          </cell>
          <cell r="BX21">
            <v>639.39999999999986</v>
          </cell>
          <cell r="BY21">
            <v>194.60000000000002</v>
          </cell>
          <cell r="BZ21">
            <v>2139</v>
          </cell>
          <cell r="CA21">
            <v>577.70000000000005</v>
          </cell>
          <cell r="CB21">
            <v>83.4</v>
          </cell>
          <cell r="CC21">
            <v>62592.6</v>
          </cell>
          <cell r="CD21"/>
          <cell r="CE21">
            <v>49613.9</v>
          </cell>
          <cell r="CF21">
            <v>11041.7</v>
          </cell>
          <cell r="CG21">
            <v>88755</v>
          </cell>
          <cell r="CH21">
            <v>624</v>
          </cell>
          <cell r="CI21">
            <v>125.10000000000001</v>
          </cell>
          <cell r="CJ21">
            <v>152.9</v>
          </cell>
          <cell r="CK21">
            <v>1168</v>
          </cell>
          <cell r="CL21">
            <v>69.5</v>
          </cell>
          <cell r="CM21">
            <v>2541.6999999999998</v>
          </cell>
          <cell r="CN21">
            <v>34183.399999999994</v>
          </cell>
          <cell r="CO21">
            <v>500</v>
          </cell>
          <cell r="CP21">
            <v>4131.7</v>
          </cell>
          <cell r="CQ21">
            <v>55.6</v>
          </cell>
          <cell r="CR21">
            <v>100237.29999999999</v>
          </cell>
          <cell r="CS21">
            <v>4013.9</v>
          </cell>
          <cell r="CT21">
            <v>69.5</v>
          </cell>
          <cell r="CU21">
            <v>97.300000000000011</v>
          </cell>
          <cell r="CV21">
            <v>206.5</v>
          </cell>
          <cell r="CW21">
            <v>2712.2</v>
          </cell>
          <cell r="CX21">
            <v>2662.4158649999999</v>
          </cell>
          <cell r="CY21">
            <v>159.10000000000002</v>
          </cell>
          <cell r="CZ21">
            <v>583.39999999999986</v>
          </cell>
          <cell r="DA21">
            <v>2069.5</v>
          </cell>
          <cell r="DB21">
            <v>120283.4</v>
          </cell>
          <cell r="DC21">
            <v>104.50000000000001</v>
          </cell>
          <cell r="DD21">
            <v>569.49999999999989</v>
          </cell>
          <cell r="DE21">
            <v>589.9</v>
          </cell>
          <cell r="DF21">
            <v>597.29999999999995</v>
          </cell>
          <cell r="DG21">
            <v>143.4</v>
          </cell>
          <cell r="DH21">
            <v>241.7</v>
          </cell>
          <cell r="DI21">
            <v>27.8</v>
          </cell>
          <cell r="DJ21">
            <v>335.7</v>
          </cell>
          <cell r="DK21">
            <v>680.69999999999993</v>
          </cell>
          <cell r="DL21">
            <v>49797.3</v>
          </cell>
          <cell r="DM21">
            <v>597.29999999999995</v>
          </cell>
          <cell r="DN21">
            <v>2069.5</v>
          </cell>
          <cell r="DO21">
            <v>60097.3</v>
          </cell>
          <cell r="DP21">
            <v>170.3</v>
          </cell>
          <cell r="DQ21">
            <v>60055.6</v>
          </cell>
          <cell r="DR21">
            <v>705.6</v>
          </cell>
          <cell r="DS21">
            <v>202.70000000000002</v>
          </cell>
          <cell r="DT21">
            <v>2055.6</v>
          </cell>
          <cell r="DU21">
            <v>389.2</v>
          </cell>
          <cell r="DV21">
            <v>2083.4</v>
          </cell>
          <cell r="DW21">
            <v>60680.700000000004</v>
          </cell>
          <cell r="DX21">
            <v>247.3</v>
          </cell>
          <cell r="DY21">
            <v>2475.5</v>
          </cell>
          <cell r="DZ21">
            <v>83.4</v>
          </cell>
          <cell r="EA21">
            <v>4208.5</v>
          </cell>
          <cell r="EB21">
            <v>483.6</v>
          </cell>
          <cell r="EC21">
            <v>605.29999999999995</v>
          </cell>
          <cell r="ED21">
            <v>38875.300000000003</v>
          </cell>
          <cell r="EE21">
            <v>125.10000000000001</v>
          </cell>
          <cell r="EF21">
            <v>25819.7</v>
          </cell>
          <cell r="EG21">
            <v>32130.2</v>
          </cell>
          <cell r="EH21">
            <v>205.4</v>
          </cell>
          <cell r="EI21">
            <v>2055.1999999999998</v>
          </cell>
          <cell r="EJ21" t="str">
            <v>ACTIVO</v>
          </cell>
          <cell r="EK21" t="str">
            <v/>
          </cell>
          <cell r="EL21" t="str">
            <v/>
          </cell>
          <cell r="EM21">
            <v>13800.104000000001</v>
          </cell>
          <cell r="EN21">
            <v>2300.0173333333337</v>
          </cell>
          <cell r="EO21">
            <v>33227.790767101236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</row>
        <row r="22">
          <cell r="F22">
            <v>402251</v>
          </cell>
          <cell r="G22" t="str">
            <v>CAJA PTG 15PP JUMBO VTM SUR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>
            <v>500</v>
          </cell>
          <cell r="S22"/>
          <cell r="T22"/>
          <cell r="U22"/>
          <cell r="V22"/>
          <cell r="W22">
            <v>500</v>
          </cell>
          <cell r="X22">
            <v>749.79</v>
          </cell>
          <cell r="Y22"/>
          <cell r="Z22"/>
          <cell r="AA22"/>
          <cell r="AB22"/>
          <cell r="AC22"/>
          <cell r="AD22">
            <v>1800</v>
          </cell>
          <cell r="AE22"/>
          <cell r="AF22"/>
          <cell r="AG22">
            <v>450</v>
          </cell>
          <cell r="AH22"/>
          <cell r="AI22"/>
          <cell r="AJ22"/>
          <cell r="AK22">
            <v>0</v>
          </cell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>
            <v>450</v>
          </cell>
          <cell r="BE22"/>
          <cell r="BF22">
            <v>450</v>
          </cell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>
            <v>500</v>
          </cell>
          <cell r="CG22">
            <v>1000</v>
          </cell>
          <cell r="CH22"/>
          <cell r="CI22"/>
          <cell r="CJ22">
            <v>500</v>
          </cell>
          <cell r="CK22">
            <v>500</v>
          </cell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K22"/>
          <cell r="DL22"/>
          <cell r="DM22">
            <v>500</v>
          </cell>
          <cell r="DN22"/>
          <cell r="DO22"/>
          <cell r="DP22"/>
          <cell r="DQ22"/>
          <cell r="DR22"/>
          <cell r="DS22"/>
          <cell r="DT22"/>
          <cell r="DU22"/>
          <cell r="DV22"/>
          <cell r="DW22"/>
          <cell r="DX22"/>
          <cell r="DY22"/>
          <cell r="DZ22"/>
          <cell r="EA22"/>
          <cell r="EB22"/>
          <cell r="EC22"/>
          <cell r="ED22"/>
          <cell r="EE22"/>
          <cell r="EF22"/>
          <cell r="EG22"/>
          <cell r="EH22"/>
          <cell r="EI22"/>
          <cell r="EJ22" t="str">
            <v>ACTIVO</v>
          </cell>
          <cell r="EK22" t="str">
            <v>A</v>
          </cell>
          <cell r="EL22" t="str">
            <v/>
          </cell>
          <cell r="EM22">
            <v>500</v>
          </cell>
          <cell r="EN22">
            <v>83.333333333333329</v>
          </cell>
          <cell r="EO22">
            <v>250</v>
          </cell>
          <cell r="EP22">
            <v>0</v>
          </cell>
          <cell r="EQ22">
            <v>0</v>
          </cell>
          <cell r="ER22">
            <v>0</v>
          </cell>
          <cell r="ES22">
            <v>1250</v>
          </cell>
        </row>
        <row r="23">
          <cell r="F23">
            <v>403394</v>
          </cell>
          <cell r="G23" t="str">
            <v>CAJA PTG 15PP JUMBO PROSERVAR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>
            <v>3500</v>
          </cell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>
            <v>500</v>
          </cell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>
            <v>1000</v>
          </cell>
          <cell r="BA23">
            <v>1000</v>
          </cell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>
            <v>500</v>
          </cell>
          <cell r="CE23"/>
          <cell r="CF23">
            <v>1000</v>
          </cell>
          <cell r="CG23"/>
          <cell r="CH23">
            <v>500</v>
          </cell>
          <cell r="CI23">
            <v>500</v>
          </cell>
          <cell r="CJ23"/>
          <cell r="CK23">
            <v>1000</v>
          </cell>
          <cell r="CL23">
            <v>500</v>
          </cell>
          <cell r="CM23"/>
          <cell r="CN23"/>
          <cell r="CO23"/>
          <cell r="CP23"/>
          <cell r="CQ23"/>
          <cell r="CR23">
            <v>500</v>
          </cell>
          <cell r="CS23"/>
          <cell r="CT23"/>
          <cell r="CU23"/>
          <cell r="CV23"/>
          <cell r="CW23"/>
          <cell r="CX23"/>
          <cell r="CY23"/>
          <cell r="CZ23"/>
          <cell r="DA23">
            <v>500</v>
          </cell>
          <cell r="DB23"/>
          <cell r="DC23"/>
          <cell r="DD23"/>
          <cell r="DE23"/>
          <cell r="DF23"/>
          <cell r="DG23"/>
          <cell r="DH23"/>
          <cell r="DI23"/>
          <cell r="DJ23"/>
          <cell r="DK23"/>
          <cell r="DL23"/>
          <cell r="DM23"/>
          <cell r="DN23"/>
          <cell r="DO23"/>
          <cell r="DP23"/>
          <cell r="DQ23"/>
          <cell r="DR23"/>
          <cell r="DS23"/>
          <cell r="DT23"/>
          <cell r="DU23"/>
          <cell r="DV23"/>
          <cell r="DW23"/>
          <cell r="DX23"/>
          <cell r="DY23">
            <v>500</v>
          </cell>
          <cell r="DZ23"/>
          <cell r="EA23"/>
          <cell r="EB23"/>
          <cell r="EC23"/>
          <cell r="ED23"/>
          <cell r="EE23"/>
          <cell r="EF23"/>
          <cell r="EG23"/>
          <cell r="EH23"/>
          <cell r="EI23"/>
          <cell r="EJ23" t="str">
            <v>ACTIVO</v>
          </cell>
          <cell r="EK23" t="str">
            <v>A</v>
          </cell>
          <cell r="EL23" t="str">
            <v/>
          </cell>
          <cell r="EM23">
            <v>500</v>
          </cell>
          <cell r="EN23">
            <v>83.333333333333329</v>
          </cell>
          <cell r="EO23">
            <v>231.45502494313786</v>
          </cell>
          <cell r="EP23">
            <v>0</v>
          </cell>
          <cell r="EQ23">
            <v>0</v>
          </cell>
          <cell r="ER23">
            <v>0</v>
          </cell>
          <cell r="ES23">
            <v>1250</v>
          </cell>
        </row>
        <row r="24">
          <cell r="F24">
            <v>405790</v>
          </cell>
          <cell r="G24" t="str">
            <v>CAJA PTG 15PP JUMBO FULL CARTON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K24"/>
          <cell r="DL24"/>
          <cell r="DM24"/>
          <cell r="DN24"/>
          <cell r="DO24"/>
          <cell r="DP24"/>
          <cell r="DQ24"/>
          <cell r="DR24"/>
          <cell r="DS24"/>
          <cell r="DT24"/>
          <cell r="DU24"/>
          <cell r="DV24"/>
          <cell r="DW24"/>
          <cell r="DX24"/>
          <cell r="DY24"/>
          <cell r="DZ24"/>
          <cell r="EA24"/>
          <cell r="EB24"/>
          <cell r="EC24"/>
          <cell r="ED24"/>
          <cell r="EE24"/>
          <cell r="EF24">
            <v>500</v>
          </cell>
          <cell r="EG24">
            <v>500</v>
          </cell>
          <cell r="EH24">
            <v>1000</v>
          </cell>
          <cell r="EI24"/>
          <cell r="EJ24" t="str">
            <v>ACTIVO</v>
          </cell>
          <cell r="EK24" t="str">
            <v/>
          </cell>
          <cell r="EL24" t="str">
            <v/>
          </cell>
          <cell r="EM24">
            <v>500</v>
          </cell>
          <cell r="EN24">
            <v>83.333333333333329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1250</v>
          </cell>
        </row>
        <row r="25">
          <cell r="F25">
            <v>107362</v>
          </cell>
          <cell r="G25" t="str">
            <v>CAJA PTG 15PP JUMBO SYCOR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>
            <v>500</v>
          </cell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>
            <v>500</v>
          </cell>
          <cell r="BJ25"/>
          <cell r="BK25"/>
          <cell r="BL25"/>
          <cell r="BM25"/>
          <cell r="BN25"/>
          <cell r="BO25"/>
          <cell r="BP25">
            <v>500</v>
          </cell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>
            <v>1000</v>
          </cell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>
            <v>500</v>
          </cell>
          <cell r="CU25">
            <v>941</v>
          </cell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K25"/>
          <cell r="DL25"/>
          <cell r="DM25"/>
          <cell r="DN25">
            <v>500</v>
          </cell>
          <cell r="DO25"/>
          <cell r="DP25"/>
          <cell r="DQ25"/>
          <cell r="DR25"/>
          <cell r="DS25"/>
          <cell r="DT25"/>
          <cell r="DU25"/>
          <cell r="DV25"/>
          <cell r="DW25"/>
          <cell r="DX25"/>
          <cell r="DY25"/>
          <cell r="DZ25"/>
          <cell r="EA25">
            <v>500</v>
          </cell>
          <cell r="EB25"/>
          <cell r="EC25"/>
          <cell r="ED25"/>
          <cell r="EE25"/>
          <cell r="EF25"/>
          <cell r="EG25"/>
          <cell r="EH25"/>
          <cell r="EI25"/>
          <cell r="EJ25" t="str">
            <v>ACTIVO</v>
          </cell>
          <cell r="EK25" t="str">
            <v>A</v>
          </cell>
          <cell r="EL25" t="str">
            <v/>
          </cell>
          <cell r="EM25">
            <v>500</v>
          </cell>
          <cell r="EN25">
            <v>83.333333333333329</v>
          </cell>
          <cell r="EO25">
            <v>258.54632080151509</v>
          </cell>
          <cell r="EP25">
            <v>0</v>
          </cell>
          <cell r="EQ25">
            <v>0</v>
          </cell>
          <cell r="ER25">
            <v>0</v>
          </cell>
          <cell r="ES25">
            <v>1250</v>
          </cell>
        </row>
        <row r="26">
          <cell r="F26">
            <v>402252</v>
          </cell>
          <cell r="G26" t="str">
            <v>CAJA PTG 15PP SISA VTM SUR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>
            <v>450</v>
          </cell>
          <cell r="Y26"/>
          <cell r="Z26">
            <v>1000</v>
          </cell>
          <cell r="AA26"/>
          <cell r="AB26"/>
          <cell r="AC26"/>
          <cell r="AD26"/>
          <cell r="AE26"/>
          <cell r="AF26"/>
          <cell r="AG26"/>
          <cell r="AH26">
            <v>445</v>
          </cell>
          <cell r="AI26"/>
          <cell r="AJ26"/>
          <cell r="AK26">
            <v>0</v>
          </cell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>
            <v>900</v>
          </cell>
          <cell r="BE26"/>
          <cell r="BF26">
            <v>0</v>
          </cell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K26"/>
          <cell r="DL26"/>
          <cell r="DM26"/>
          <cell r="DN26"/>
          <cell r="DO26"/>
          <cell r="DP26"/>
          <cell r="DQ26"/>
          <cell r="DR26"/>
          <cell r="DS26"/>
          <cell r="DT26"/>
          <cell r="DU26"/>
          <cell r="DV26"/>
          <cell r="DW26"/>
          <cell r="DX26"/>
          <cell r="DY26"/>
          <cell r="DZ26"/>
          <cell r="EA26"/>
          <cell r="EB26"/>
          <cell r="EC26"/>
          <cell r="ED26"/>
          <cell r="EE26"/>
          <cell r="EF26"/>
          <cell r="EG26"/>
          <cell r="EH26"/>
          <cell r="EI26"/>
          <cell r="EJ26" t="str">
            <v>ACTIVO</v>
          </cell>
          <cell r="EK26" t="str">
            <v>B</v>
          </cell>
          <cell r="EL26" t="str">
            <v/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</row>
        <row r="27">
          <cell r="F27">
            <v>403393</v>
          </cell>
          <cell r="G27" t="str">
            <v>CAJA PTG 15PP SISA PROSERVAR</v>
          </cell>
          <cell r="H27"/>
          <cell r="I27"/>
          <cell r="J27"/>
          <cell r="K27"/>
          <cell r="L27"/>
          <cell r="M27"/>
          <cell r="N27"/>
          <cell r="O27"/>
          <cell r="P27">
            <v>500</v>
          </cell>
          <cell r="Q27"/>
          <cell r="R27"/>
          <cell r="S27"/>
          <cell r="T27">
            <v>3000</v>
          </cell>
          <cell r="U27"/>
          <cell r="V27"/>
          <cell r="W27"/>
          <cell r="X27"/>
          <cell r="Y27"/>
          <cell r="Z27">
            <v>1500</v>
          </cell>
          <cell r="AA27"/>
          <cell r="AB27"/>
          <cell r="AC27"/>
          <cell r="AD27"/>
          <cell r="AE27">
            <v>1000</v>
          </cell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K27"/>
          <cell r="DL27"/>
          <cell r="DM27"/>
          <cell r="DN27"/>
          <cell r="DO27"/>
          <cell r="DP27"/>
          <cell r="DQ27"/>
          <cell r="DR27"/>
          <cell r="DS27"/>
          <cell r="DT27"/>
          <cell r="DU27"/>
          <cell r="DV27"/>
          <cell r="DW27"/>
          <cell r="DX27"/>
          <cell r="DY27"/>
          <cell r="DZ27"/>
          <cell r="EA27"/>
          <cell r="EB27"/>
          <cell r="EC27"/>
          <cell r="ED27"/>
          <cell r="EE27"/>
          <cell r="EF27"/>
          <cell r="EG27"/>
          <cell r="EH27"/>
          <cell r="EI27"/>
          <cell r="EJ27" t="str">
            <v>ACTIVO</v>
          </cell>
          <cell r="EK27" t="str">
            <v>B</v>
          </cell>
          <cell r="EL27" t="str">
            <v/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</row>
        <row r="28">
          <cell r="F28">
            <v>107363</v>
          </cell>
          <cell r="G28" t="str">
            <v>CAJA PTG 15PP SISA SYCOR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>
            <v>400</v>
          </cell>
          <cell r="AI28">
            <v>800</v>
          </cell>
          <cell r="AJ28">
            <v>2450</v>
          </cell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>
            <v>1000</v>
          </cell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>
            <v>100</v>
          </cell>
          <cell r="CP28"/>
          <cell r="CQ28"/>
          <cell r="CR28"/>
          <cell r="CS28"/>
          <cell r="CT28"/>
          <cell r="CU28">
            <v>1975</v>
          </cell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K28"/>
          <cell r="DL28"/>
          <cell r="DM28"/>
          <cell r="DN28"/>
          <cell r="DO28"/>
          <cell r="DP28"/>
          <cell r="DQ28"/>
          <cell r="DR28"/>
          <cell r="DS28"/>
          <cell r="DT28"/>
          <cell r="DU28"/>
          <cell r="DV28"/>
          <cell r="DW28"/>
          <cell r="DX28"/>
          <cell r="DY28"/>
          <cell r="DZ28"/>
          <cell r="EA28"/>
          <cell r="EB28"/>
          <cell r="EC28"/>
          <cell r="ED28"/>
          <cell r="EE28"/>
          <cell r="EF28"/>
          <cell r="EG28"/>
          <cell r="EH28"/>
          <cell r="EI28"/>
          <cell r="EJ28" t="str">
            <v>ACTIVO</v>
          </cell>
          <cell r="EK28" t="str">
            <v>B</v>
          </cell>
          <cell r="EL28" t="str">
            <v/>
          </cell>
          <cell r="EM28">
            <v>0</v>
          </cell>
          <cell r="EN28">
            <v>0</v>
          </cell>
          <cell r="EO28">
            <v>1325.8252147247765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</row>
        <row r="29">
          <cell r="F29">
            <v>405791</v>
          </cell>
          <cell r="G29" t="str">
            <v>CAJA PTG 15PP SISA FULL CARTON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K29"/>
          <cell r="DL29"/>
          <cell r="DM29"/>
          <cell r="DN29"/>
          <cell r="DO29"/>
          <cell r="DP29"/>
          <cell r="DQ29"/>
          <cell r="DR29"/>
          <cell r="DS29"/>
          <cell r="DT29"/>
          <cell r="DU29"/>
          <cell r="DV29"/>
          <cell r="DW29"/>
          <cell r="DX29"/>
          <cell r="DY29"/>
          <cell r="DZ29"/>
          <cell r="EA29"/>
          <cell r="EB29"/>
          <cell r="EC29"/>
          <cell r="ED29"/>
          <cell r="EE29"/>
          <cell r="EF29"/>
          <cell r="EG29">
            <v>500</v>
          </cell>
          <cell r="EH29">
            <v>1000</v>
          </cell>
          <cell r="EI29"/>
          <cell r="EJ29" t="str">
            <v>ACTIVO</v>
          </cell>
          <cell r="EK29" t="str">
            <v/>
          </cell>
          <cell r="EL29" t="str">
            <v/>
          </cell>
          <cell r="EM29">
            <v>500</v>
          </cell>
          <cell r="EN29">
            <v>83.333333333333329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1250</v>
          </cell>
        </row>
        <row r="30">
          <cell r="F30">
            <v>402253</v>
          </cell>
          <cell r="G30" t="str">
            <v>CAJA TORTA MEDIANA VTM SUR</v>
          </cell>
          <cell r="H30"/>
          <cell r="I30"/>
          <cell r="J30"/>
          <cell r="K30"/>
          <cell r="L30">
            <v>1350</v>
          </cell>
          <cell r="M30"/>
          <cell r="N30"/>
          <cell r="O30">
            <v>3000</v>
          </cell>
          <cell r="P30"/>
          <cell r="Q30">
            <v>600</v>
          </cell>
          <cell r="R30">
            <v>2400</v>
          </cell>
          <cell r="S30">
            <v>600</v>
          </cell>
          <cell r="T30">
            <v>5100</v>
          </cell>
          <cell r="U30">
            <v>1950</v>
          </cell>
          <cell r="V30"/>
          <cell r="W30">
            <v>2600</v>
          </cell>
          <cell r="X30">
            <v>1775</v>
          </cell>
          <cell r="Y30"/>
          <cell r="Z30"/>
          <cell r="AA30"/>
          <cell r="AB30"/>
          <cell r="AC30">
            <v>600</v>
          </cell>
          <cell r="AD30"/>
          <cell r="AE30"/>
          <cell r="AF30"/>
          <cell r="AG30">
            <v>1200</v>
          </cell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>
            <v>1000</v>
          </cell>
          <cell r="BA30"/>
          <cell r="BB30">
            <v>1100</v>
          </cell>
          <cell r="BC30">
            <v>950</v>
          </cell>
          <cell r="BD30">
            <v>1500</v>
          </cell>
          <cell r="BE30">
            <v>1200</v>
          </cell>
          <cell r="BF30">
            <v>600</v>
          </cell>
          <cell r="BG30"/>
          <cell r="BH30"/>
          <cell r="BI30"/>
          <cell r="BJ30"/>
          <cell r="BK30">
            <v>650</v>
          </cell>
          <cell r="BL30"/>
          <cell r="BM30">
            <v>650</v>
          </cell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>
            <v>1400</v>
          </cell>
          <cell r="CK30">
            <v>500</v>
          </cell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K30"/>
          <cell r="DL30"/>
          <cell r="DM30"/>
          <cell r="DN30"/>
          <cell r="DO30"/>
          <cell r="DP30"/>
          <cell r="DQ30"/>
          <cell r="DR30"/>
          <cell r="DS30"/>
          <cell r="DT30"/>
          <cell r="DU30"/>
          <cell r="DV30"/>
          <cell r="DW30"/>
          <cell r="DX30"/>
          <cell r="DY30"/>
          <cell r="DZ30"/>
          <cell r="EA30">
            <v>1400</v>
          </cell>
          <cell r="EB30"/>
          <cell r="EC30"/>
          <cell r="ED30"/>
          <cell r="EE30"/>
          <cell r="EF30"/>
          <cell r="EG30"/>
          <cell r="EH30"/>
          <cell r="EI30"/>
          <cell r="EJ30" t="str">
            <v>ACTIVO</v>
          </cell>
          <cell r="EK30" t="str">
            <v>B</v>
          </cell>
          <cell r="EL30" t="str">
            <v/>
          </cell>
          <cell r="EM30">
            <v>1400</v>
          </cell>
          <cell r="EN30">
            <v>233.33333333333334</v>
          </cell>
          <cell r="EO30">
            <v>406.201920231798</v>
          </cell>
          <cell r="EP30">
            <v>0</v>
          </cell>
          <cell r="EQ30">
            <v>0</v>
          </cell>
          <cell r="ER30">
            <v>0</v>
          </cell>
          <cell r="ES30">
            <v>3500</v>
          </cell>
        </row>
        <row r="31">
          <cell r="F31">
            <v>107276</v>
          </cell>
          <cell r="G31" t="str">
            <v>CAJA TORTA MEDIANA PROSERVAR</v>
          </cell>
          <cell r="H31"/>
          <cell r="I31"/>
          <cell r="J31"/>
          <cell r="K31">
            <v>2018.88</v>
          </cell>
          <cell r="L31"/>
          <cell r="M31"/>
          <cell r="N31">
            <v>1000</v>
          </cell>
          <cell r="O31"/>
          <cell r="P31">
            <v>1000</v>
          </cell>
          <cell r="Q31"/>
          <cell r="R31"/>
          <cell r="S31"/>
          <cell r="T31"/>
          <cell r="U31"/>
          <cell r="V31"/>
          <cell r="W31"/>
          <cell r="X31">
            <v>800</v>
          </cell>
          <cell r="Y31">
            <v>1600</v>
          </cell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>
            <v>300</v>
          </cell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>
            <v>1500</v>
          </cell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K31"/>
          <cell r="DL31"/>
          <cell r="DM31"/>
          <cell r="DN31"/>
          <cell r="DO31"/>
          <cell r="DP31"/>
          <cell r="DQ31"/>
          <cell r="DR31"/>
          <cell r="DS31"/>
          <cell r="DT31"/>
          <cell r="DU31"/>
          <cell r="DV31">
            <v>200</v>
          </cell>
          <cell r="DW31"/>
          <cell r="DX31"/>
          <cell r="DY31"/>
          <cell r="DZ31"/>
          <cell r="EA31"/>
          <cell r="EB31"/>
          <cell r="EC31"/>
          <cell r="ED31"/>
          <cell r="EE31"/>
          <cell r="EF31"/>
          <cell r="EG31"/>
          <cell r="EH31"/>
          <cell r="EI31"/>
          <cell r="EJ31" t="str">
            <v>ACTIVO</v>
          </cell>
          <cell r="EK31" t="str">
            <v>C</v>
          </cell>
          <cell r="EL31" t="str">
            <v/>
          </cell>
          <cell r="EM31">
            <v>200</v>
          </cell>
          <cell r="EN31">
            <v>33.333333333333336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500.00000000000006</v>
          </cell>
        </row>
        <row r="32">
          <cell r="F32">
            <v>107364</v>
          </cell>
          <cell r="G32" t="str">
            <v>CAJA TORTA MEDIANA SYCOR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>
            <v>600</v>
          </cell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>
            <v>500</v>
          </cell>
          <cell r="BJ32">
            <v>1000</v>
          </cell>
          <cell r="BK32"/>
          <cell r="BL32"/>
          <cell r="BM32"/>
          <cell r="BN32">
            <v>601</v>
          </cell>
          <cell r="BO32"/>
          <cell r="BP32">
            <v>650</v>
          </cell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>
            <v>500</v>
          </cell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>
            <v>3000</v>
          </cell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K32"/>
          <cell r="DL32"/>
          <cell r="DM32"/>
          <cell r="DN32">
            <v>500</v>
          </cell>
          <cell r="DO32"/>
          <cell r="DP32">
            <v>700</v>
          </cell>
          <cell r="DQ32"/>
          <cell r="DR32"/>
          <cell r="DS32"/>
          <cell r="DT32"/>
          <cell r="DU32"/>
          <cell r="DV32"/>
          <cell r="DW32"/>
          <cell r="DX32">
            <v>1000</v>
          </cell>
          <cell r="DY32"/>
          <cell r="DZ32"/>
          <cell r="EA32"/>
          <cell r="EB32"/>
          <cell r="EC32"/>
          <cell r="ED32"/>
          <cell r="EE32"/>
          <cell r="EF32"/>
          <cell r="EG32"/>
          <cell r="EH32"/>
          <cell r="EI32"/>
          <cell r="EJ32" t="str">
            <v>ACTIVO</v>
          </cell>
          <cell r="EK32" t="str">
            <v>B</v>
          </cell>
          <cell r="EL32" t="str">
            <v/>
          </cell>
          <cell r="EM32">
            <v>733.33333333333337</v>
          </cell>
          <cell r="EN32">
            <v>122.22222222222223</v>
          </cell>
          <cell r="EO32">
            <v>976.8521723713709</v>
          </cell>
          <cell r="EP32">
            <v>0</v>
          </cell>
          <cell r="EQ32">
            <v>0</v>
          </cell>
          <cell r="ER32">
            <v>0</v>
          </cell>
          <cell r="ES32">
            <v>1833.3333333333335</v>
          </cell>
        </row>
        <row r="33">
          <cell r="F33">
            <v>107366</v>
          </cell>
          <cell r="G33" t="str">
            <v>CAJA MADRE DE PLANCHAS (PL) SYCOR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>
            <v>400</v>
          </cell>
          <cell r="AQ33">
            <v>500</v>
          </cell>
          <cell r="AR33">
            <v>500</v>
          </cell>
          <cell r="AS33"/>
          <cell r="AT33">
            <v>500</v>
          </cell>
          <cell r="AU33"/>
          <cell r="AV33"/>
          <cell r="AW33"/>
          <cell r="AX33">
            <v>400</v>
          </cell>
          <cell r="AY33"/>
          <cell r="AZ33"/>
          <cell r="BA33"/>
          <cell r="BB33"/>
          <cell r="BC33">
            <v>900</v>
          </cell>
          <cell r="BD33"/>
          <cell r="BE33"/>
          <cell r="BF33"/>
          <cell r="BG33"/>
          <cell r="BH33"/>
          <cell r="BI33"/>
          <cell r="BJ33">
            <v>325</v>
          </cell>
          <cell r="BK33"/>
          <cell r="BL33"/>
          <cell r="BM33"/>
          <cell r="BN33"/>
          <cell r="BO33"/>
          <cell r="BP33"/>
          <cell r="BQ33"/>
          <cell r="BR33">
            <v>500</v>
          </cell>
          <cell r="BS33"/>
          <cell r="BT33"/>
          <cell r="BU33"/>
          <cell r="BV33"/>
          <cell r="BW33"/>
          <cell r="BX33"/>
          <cell r="BY33"/>
          <cell r="BZ33"/>
          <cell r="CA33"/>
          <cell r="CB33">
            <v>500</v>
          </cell>
          <cell r="CC33"/>
          <cell r="CD33"/>
          <cell r="CE33"/>
          <cell r="CF33">
            <v>500</v>
          </cell>
          <cell r="CG33"/>
          <cell r="CH33"/>
          <cell r="CI33">
            <v>600</v>
          </cell>
          <cell r="CJ33">
            <v>300</v>
          </cell>
          <cell r="CK33"/>
          <cell r="CL33">
            <v>250</v>
          </cell>
          <cell r="CM33"/>
          <cell r="CN33"/>
          <cell r="CO33"/>
          <cell r="CP33"/>
          <cell r="CQ33">
            <v>300</v>
          </cell>
          <cell r="CR33"/>
          <cell r="CS33">
            <v>500</v>
          </cell>
          <cell r="CT33"/>
          <cell r="CU33">
            <v>600</v>
          </cell>
          <cell r="CV33"/>
          <cell r="CW33"/>
          <cell r="CX33"/>
          <cell r="CY33">
            <v>400</v>
          </cell>
          <cell r="CZ33">
            <v>500</v>
          </cell>
          <cell r="DA33"/>
          <cell r="DB33"/>
          <cell r="DC33"/>
          <cell r="DD33"/>
          <cell r="DE33"/>
          <cell r="DF33"/>
          <cell r="DG33"/>
          <cell r="DH33">
            <v>500</v>
          </cell>
          <cell r="DI33"/>
          <cell r="DJ33">
            <v>400</v>
          </cell>
          <cell r="DK33"/>
          <cell r="DL33"/>
          <cell r="DM33">
            <v>250</v>
          </cell>
          <cell r="DN33"/>
          <cell r="DO33"/>
          <cell r="DP33"/>
          <cell r="DQ33"/>
          <cell r="DR33">
            <v>400</v>
          </cell>
          <cell r="DS33"/>
          <cell r="DT33"/>
          <cell r="DU33"/>
          <cell r="DV33"/>
          <cell r="DW33">
            <v>500</v>
          </cell>
          <cell r="DX33"/>
          <cell r="DY33">
            <v>500</v>
          </cell>
          <cell r="DZ33"/>
          <cell r="EA33"/>
          <cell r="EB33"/>
          <cell r="EC33">
            <v>300</v>
          </cell>
          <cell r="ED33"/>
          <cell r="EE33"/>
          <cell r="EF33">
            <v>400</v>
          </cell>
          <cell r="EG33"/>
          <cell r="EH33"/>
          <cell r="EI33"/>
          <cell r="EJ33" t="str">
            <v>ACTIVO</v>
          </cell>
          <cell r="EK33" t="str">
            <v>C</v>
          </cell>
          <cell r="EL33">
            <v>400</v>
          </cell>
          <cell r="EM33">
            <v>392.85714285714283</v>
          </cell>
          <cell r="EN33">
            <v>65.476190476190467</v>
          </cell>
          <cell r="EO33">
            <v>116.43750387092766</v>
          </cell>
          <cell r="EP33">
            <v>1325</v>
          </cell>
          <cell r="EQ33">
            <v>956504.25</v>
          </cell>
          <cell r="ER33">
            <v>3.372727272727273</v>
          </cell>
          <cell r="ES33">
            <v>982.142857142857</v>
          </cell>
        </row>
        <row r="34">
          <cell r="F34">
            <v>403308</v>
          </cell>
          <cell r="G34" t="str">
            <v>CAJA MADRE DE PLANCHAS (PL) PAIMASA</v>
          </cell>
          <cell r="H34"/>
          <cell r="I34">
            <v>400</v>
          </cell>
          <cell r="J34"/>
          <cell r="K34"/>
          <cell r="L34">
            <v>800</v>
          </cell>
          <cell r="M34"/>
          <cell r="N34"/>
          <cell r="O34"/>
          <cell r="P34">
            <v>400</v>
          </cell>
          <cell r="Q34"/>
          <cell r="R34">
            <v>400</v>
          </cell>
          <cell r="S34"/>
          <cell r="T34"/>
          <cell r="U34"/>
          <cell r="V34">
            <v>800</v>
          </cell>
          <cell r="W34"/>
          <cell r="X34">
            <v>400</v>
          </cell>
          <cell r="Y34"/>
          <cell r="Z34"/>
          <cell r="AA34"/>
          <cell r="AB34"/>
          <cell r="AC34">
            <v>400</v>
          </cell>
          <cell r="AD34"/>
          <cell r="AE34"/>
          <cell r="AF34">
            <v>400</v>
          </cell>
          <cell r="AG34">
            <v>400</v>
          </cell>
          <cell r="AH34"/>
          <cell r="AI34"/>
          <cell r="AJ34"/>
          <cell r="AK34">
            <v>400</v>
          </cell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>
            <v>500</v>
          </cell>
          <cell r="BC34"/>
          <cell r="BD34">
            <v>500</v>
          </cell>
          <cell r="BE34"/>
          <cell r="BF34"/>
          <cell r="BG34"/>
          <cell r="BH34"/>
          <cell r="BI34"/>
          <cell r="BJ34"/>
          <cell r="BK34"/>
          <cell r="BL34"/>
          <cell r="BM34"/>
          <cell r="BN34">
            <v>400</v>
          </cell>
          <cell r="BO34"/>
          <cell r="BP34"/>
          <cell r="BQ34"/>
          <cell r="BR34"/>
          <cell r="BS34"/>
          <cell r="BT34"/>
          <cell r="BU34"/>
          <cell r="BV34"/>
          <cell r="BW34">
            <v>500</v>
          </cell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K34"/>
          <cell r="DL34"/>
          <cell r="DM34"/>
          <cell r="DN34"/>
          <cell r="DO34"/>
          <cell r="DP34"/>
          <cell r="DQ34"/>
          <cell r="DR34"/>
          <cell r="DS34"/>
          <cell r="DT34"/>
          <cell r="DU34"/>
          <cell r="DV34"/>
          <cell r="DW34"/>
          <cell r="DX34"/>
          <cell r="DY34"/>
          <cell r="DZ34"/>
          <cell r="EA34"/>
          <cell r="EB34"/>
          <cell r="EC34"/>
          <cell r="ED34"/>
          <cell r="EE34"/>
          <cell r="EF34"/>
          <cell r="EG34"/>
          <cell r="EH34"/>
          <cell r="EI34"/>
          <cell r="EJ34" t="str">
            <v>ACTIVO</v>
          </cell>
          <cell r="EK34" t="str">
            <v>C</v>
          </cell>
          <cell r="EL34">
            <v>400</v>
          </cell>
          <cell r="EM34">
            <v>0</v>
          </cell>
          <cell r="EN34">
            <v>0</v>
          </cell>
          <cell r="EO34">
            <v>70.710678118654755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</row>
        <row r="35">
          <cell r="F35">
            <v>107367</v>
          </cell>
          <cell r="G35" t="str">
            <v>CAJA DE ENCOMIENDA (EN) SYCOR</v>
          </cell>
          <cell r="H35">
            <v>400</v>
          </cell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>
            <v>400</v>
          </cell>
          <cell r="AD35">
            <v>400</v>
          </cell>
          <cell r="AE35"/>
          <cell r="AF35">
            <v>400</v>
          </cell>
          <cell r="AG35"/>
          <cell r="AH35">
            <v>400</v>
          </cell>
          <cell r="AI35"/>
          <cell r="AJ35">
            <v>400</v>
          </cell>
          <cell r="AK35">
            <v>400</v>
          </cell>
          <cell r="AL35">
            <v>400</v>
          </cell>
          <cell r="AM35">
            <v>500</v>
          </cell>
          <cell r="AN35">
            <v>400</v>
          </cell>
          <cell r="AO35">
            <v>500</v>
          </cell>
          <cell r="AP35">
            <v>400</v>
          </cell>
          <cell r="AQ35"/>
          <cell r="AR35">
            <v>900</v>
          </cell>
          <cell r="AS35"/>
          <cell r="AT35"/>
          <cell r="AU35">
            <v>400</v>
          </cell>
          <cell r="AV35"/>
          <cell r="AW35">
            <v>800</v>
          </cell>
          <cell r="AX35">
            <v>400</v>
          </cell>
          <cell r="AY35">
            <v>400</v>
          </cell>
          <cell r="AZ35"/>
          <cell r="BA35">
            <v>400</v>
          </cell>
          <cell r="BB35">
            <v>400</v>
          </cell>
          <cell r="BC35"/>
          <cell r="BD35">
            <v>800</v>
          </cell>
          <cell r="BE35">
            <v>220</v>
          </cell>
          <cell r="BF35">
            <v>400</v>
          </cell>
          <cell r="BG35"/>
          <cell r="BH35"/>
          <cell r="BI35">
            <v>400</v>
          </cell>
          <cell r="BJ35"/>
          <cell r="BK35">
            <v>800</v>
          </cell>
          <cell r="BL35"/>
          <cell r="BM35"/>
          <cell r="BN35"/>
          <cell r="BO35"/>
          <cell r="BP35"/>
          <cell r="BQ35"/>
          <cell r="BR35">
            <v>400</v>
          </cell>
          <cell r="BS35">
            <v>550</v>
          </cell>
          <cell r="BT35">
            <v>950</v>
          </cell>
          <cell r="BU35"/>
          <cell r="BV35"/>
          <cell r="BW35">
            <v>500</v>
          </cell>
          <cell r="BX35">
            <v>1000</v>
          </cell>
          <cell r="BY35"/>
          <cell r="BZ35">
            <v>500</v>
          </cell>
          <cell r="CA35">
            <v>500</v>
          </cell>
          <cell r="CB35"/>
          <cell r="CC35">
            <v>550</v>
          </cell>
          <cell r="CD35"/>
          <cell r="CE35">
            <v>500</v>
          </cell>
          <cell r="CF35">
            <v>400</v>
          </cell>
          <cell r="CG35">
            <v>400</v>
          </cell>
          <cell r="CH35">
            <v>500</v>
          </cell>
          <cell r="CI35"/>
          <cell r="CJ35">
            <v>400</v>
          </cell>
          <cell r="CK35"/>
          <cell r="CL35">
            <v>225</v>
          </cell>
          <cell r="CM35"/>
          <cell r="CN35"/>
          <cell r="CO35">
            <v>700</v>
          </cell>
          <cell r="CP35">
            <v>300</v>
          </cell>
          <cell r="CQ35">
            <v>400</v>
          </cell>
          <cell r="CR35"/>
          <cell r="CS35">
            <v>500</v>
          </cell>
          <cell r="CT35"/>
          <cell r="CU35"/>
          <cell r="CV35">
            <v>1000</v>
          </cell>
          <cell r="CW35"/>
          <cell r="CX35"/>
          <cell r="CY35"/>
          <cell r="CZ35"/>
          <cell r="DA35"/>
          <cell r="DB35"/>
          <cell r="DC35"/>
          <cell r="DD35">
            <v>1000</v>
          </cell>
          <cell r="DE35"/>
          <cell r="DF35">
            <v>500</v>
          </cell>
          <cell r="DG35"/>
          <cell r="DH35"/>
          <cell r="DI35">
            <v>500</v>
          </cell>
          <cell r="DJ35"/>
          <cell r="DK35">
            <v>500</v>
          </cell>
          <cell r="DL35"/>
          <cell r="DM35"/>
          <cell r="DN35">
            <v>400</v>
          </cell>
          <cell r="DO35">
            <v>400</v>
          </cell>
          <cell r="DP35"/>
          <cell r="DQ35"/>
          <cell r="DR35"/>
          <cell r="DS35"/>
          <cell r="DT35">
            <v>400</v>
          </cell>
          <cell r="DU35"/>
          <cell r="DV35">
            <v>800</v>
          </cell>
          <cell r="DW35"/>
          <cell r="DX35"/>
          <cell r="DY35"/>
          <cell r="DZ35"/>
          <cell r="EA35">
            <v>400</v>
          </cell>
          <cell r="EB35"/>
          <cell r="EC35">
            <v>500</v>
          </cell>
          <cell r="ED35"/>
          <cell r="EE35">
            <v>500</v>
          </cell>
          <cell r="EF35">
            <v>900</v>
          </cell>
          <cell r="EG35"/>
          <cell r="EH35"/>
          <cell r="EI35"/>
          <cell r="EJ35" t="str">
            <v>ACTIVO</v>
          </cell>
          <cell r="EK35" t="str">
            <v>C</v>
          </cell>
          <cell r="EL35">
            <v>400</v>
          </cell>
          <cell r="EM35">
            <v>530</v>
          </cell>
          <cell r="EN35">
            <v>88.333333333333329</v>
          </cell>
          <cell r="EO35">
            <v>230.46717461945661</v>
          </cell>
          <cell r="EP35">
            <v>2800</v>
          </cell>
          <cell r="EQ35">
            <v>2494128</v>
          </cell>
          <cell r="ER35">
            <v>5.283018867924528</v>
          </cell>
          <cell r="ES35">
            <v>1325</v>
          </cell>
        </row>
        <row r="36">
          <cell r="F36">
            <v>403301</v>
          </cell>
          <cell r="G36" t="str">
            <v>CAJA DE ENCOMIENDA (EN) PAIMASA</v>
          </cell>
          <cell r="H36">
            <v>400</v>
          </cell>
          <cell r="I36"/>
          <cell r="J36">
            <v>400</v>
          </cell>
          <cell r="K36">
            <v>400</v>
          </cell>
          <cell r="L36">
            <v>400</v>
          </cell>
          <cell r="M36"/>
          <cell r="N36">
            <v>400</v>
          </cell>
          <cell r="O36">
            <v>400</v>
          </cell>
          <cell r="P36"/>
          <cell r="Q36">
            <v>800</v>
          </cell>
          <cell r="R36"/>
          <cell r="S36">
            <v>400</v>
          </cell>
          <cell r="T36"/>
          <cell r="U36">
            <v>400</v>
          </cell>
          <cell r="V36">
            <v>400</v>
          </cell>
          <cell r="W36">
            <v>400</v>
          </cell>
          <cell r="X36"/>
          <cell r="Y36">
            <v>400</v>
          </cell>
          <cell r="Z36">
            <v>400</v>
          </cell>
          <cell r="AA36"/>
          <cell r="AB36">
            <v>400</v>
          </cell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K36"/>
          <cell r="DL36"/>
          <cell r="DM36"/>
          <cell r="DN36"/>
          <cell r="DO36"/>
          <cell r="DP36"/>
          <cell r="DQ36"/>
          <cell r="DR36"/>
          <cell r="DS36"/>
          <cell r="DT36"/>
          <cell r="DU36"/>
          <cell r="DV36"/>
          <cell r="DW36"/>
          <cell r="DX36"/>
          <cell r="DY36"/>
          <cell r="DZ36"/>
          <cell r="EA36"/>
          <cell r="EB36"/>
          <cell r="EC36"/>
          <cell r="ED36"/>
          <cell r="EE36"/>
          <cell r="EF36"/>
          <cell r="EG36"/>
          <cell r="EH36"/>
          <cell r="EI36"/>
          <cell r="EJ36" t="str">
            <v>SIN USO</v>
          </cell>
          <cell r="EK36" t="str">
            <v/>
          </cell>
          <cell r="EL36" t="str">
            <v/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</row>
        <row r="37">
          <cell r="F37">
            <v>501146</v>
          </cell>
          <cell r="G37" t="str">
            <v>CAJA PLASTICA AZUL QUINTA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>
            <v>245</v>
          </cell>
          <cell r="Y37">
            <v>1263</v>
          </cell>
          <cell r="Z37">
            <v>912</v>
          </cell>
          <cell r="AA37">
            <v>230</v>
          </cell>
          <cell r="AB37">
            <v>602</v>
          </cell>
          <cell r="AC37">
            <v>734</v>
          </cell>
          <cell r="AD37">
            <v>468</v>
          </cell>
          <cell r="AE37">
            <v>202</v>
          </cell>
          <cell r="AF37">
            <v>10</v>
          </cell>
          <cell r="AG37"/>
          <cell r="AH37">
            <v>770</v>
          </cell>
          <cell r="AI37"/>
          <cell r="AJ37"/>
          <cell r="AK37">
            <v>262</v>
          </cell>
          <cell r="AL37">
            <v>437</v>
          </cell>
          <cell r="AM37">
            <v>1152</v>
          </cell>
          <cell r="AN37">
            <v>285</v>
          </cell>
          <cell r="AO37"/>
          <cell r="AP37"/>
          <cell r="AQ37">
            <v>649</v>
          </cell>
          <cell r="AR37">
            <v>101</v>
          </cell>
          <cell r="AS37">
            <v>155</v>
          </cell>
          <cell r="AT37">
            <v>991</v>
          </cell>
          <cell r="AU37">
            <v>276</v>
          </cell>
          <cell r="AV37"/>
          <cell r="AW37">
            <v>315</v>
          </cell>
          <cell r="AX37">
            <v>150</v>
          </cell>
          <cell r="AY37">
            <v>384</v>
          </cell>
          <cell r="AZ37">
            <v>180</v>
          </cell>
          <cell r="BA37">
            <v>150</v>
          </cell>
          <cell r="BB37"/>
          <cell r="BC37">
            <v>150</v>
          </cell>
          <cell r="BD37">
            <v>1200</v>
          </cell>
          <cell r="BE37">
            <v>543</v>
          </cell>
          <cell r="BF37">
            <v>785</v>
          </cell>
          <cell r="BG37">
            <v>850</v>
          </cell>
          <cell r="BH37"/>
          <cell r="BI37">
            <v>157</v>
          </cell>
          <cell r="BJ37"/>
          <cell r="BK37">
            <v>200</v>
          </cell>
          <cell r="BL37">
            <v>936</v>
          </cell>
          <cell r="BM37">
            <v>520</v>
          </cell>
          <cell r="BN37">
            <v>450</v>
          </cell>
          <cell r="BO37"/>
          <cell r="BP37">
            <v>240</v>
          </cell>
          <cell r="BQ37"/>
          <cell r="BR37"/>
          <cell r="BS37"/>
          <cell r="BT37">
            <v>1016</v>
          </cell>
          <cell r="BU37">
            <v>180</v>
          </cell>
          <cell r="BV37">
            <v>172</v>
          </cell>
          <cell r="BW37"/>
          <cell r="BX37"/>
          <cell r="BY37">
            <v>225</v>
          </cell>
          <cell r="BZ37">
            <v>267</v>
          </cell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  <cell r="CQ37"/>
          <cell r="CR37"/>
          <cell r="CS37"/>
          <cell r="CT37"/>
          <cell r="CU37"/>
          <cell r="CV37"/>
          <cell r="CW37"/>
          <cell r="CX37"/>
          <cell r="CY37"/>
          <cell r="CZ37"/>
          <cell r="DA37"/>
          <cell r="DB37"/>
          <cell r="DC37"/>
          <cell r="DD37"/>
          <cell r="DE37"/>
          <cell r="DF37"/>
          <cell r="DG37"/>
          <cell r="DH37"/>
          <cell r="DI37"/>
          <cell r="DJ37"/>
          <cell r="DK37"/>
          <cell r="DL37"/>
          <cell r="DM37"/>
          <cell r="DN37"/>
          <cell r="DO37"/>
          <cell r="DP37"/>
          <cell r="DQ37"/>
          <cell r="DR37"/>
          <cell r="DS37"/>
          <cell r="DT37"/>
          <cell r="DU37"/>
          <cell r="DV37"/>
          <cell r="DW37"/>
          <cell r="DX37"/>
          <cell r="DY37"/>
          <cell r="DZ37"/>
          <cell r="EA37"/>
          <cell r="EB37"/>
          <cell r="EC37"/>
          <cell r="ED37"/>
          <cell r="EE37"/>
          <cell r="EF37"/>
          <cell r="EG37"/>
          <cell r="EH37"/>
          <cell r="EI37"/>
          <cell r="EJ37" t="str">
            <v>SIN USO</v>
          </cell>
          <cell r="EK37" t="str">
            <v>B</v>
          </cell>
          <cell r="EL37" t="str">
            <v/>
          </cell>
          <cell r="EM37">
            <v>0</v>
          </cell>
          <cell r="EN37">
            <v>0</v>
          </cell>
          <cell r="EO37">
            <v>309.33388845300243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</row>
        <row r="38">
          <cell r="F38">
            <v>403310</v>
          </cell>
          <cell r="G38" t="str">
            <v>CAJA  PTG AZUL 15PP ALTA</v>
          </cell>
          <cell r="H38">
            <v>400</v>
          </cell>
          <cell r="I38"/>
          <cell r="J38"/>
          <cell r="K38">
            <v>500</v>
          </cell>
          <cell r="L38">
            <v>500</v>
          </cell>
          <cell r="M38"/>
          <cell r="N38"/>
          <cell r="O38"/>
          <cell r="P38">
            <v>500</v>
          </cell>
          <cell r="Q38"/>
          <cell r="R38"/>
          <cell r="S38">
            <v>400</v>
          </cell>
          <cell r="T38">
            <v>400</v>
          </cell>
          <cell r="U38"/>
          <cell r="V38">
            <v>400</v>
          </cell>
          <cell r="W38"/>
          <cell r="X38">
            <v>400</v>
          </cell>
          <cell r="Y38"/>
          <cell r="Z38"/>
          <cell r="AA38">
            <v>400</v>
          </cell>
          <cell r="AB38"/>
          <cell r="AC38"/>
          <cell r="AD38">
            <v>400</v>
          </cell>
          <cell r="AE38"/>
          <cell r="AF38"/>
          <cell r="AG38">
            <v>400</v>
          </cell>
          <cell r="AH38">
            <v>0</v>
          </cell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>
            <v>500</v>
          </cell>
          <cell r="AT38"/>
          <cell r="AU38"/>
          <cell r="AV38"/>
          <cell r="AW38"/>
          <cell r="AX38">
            <v>400</v>
          </cell>
          <cell r="AY38"/>
          <cell r="AZ38"/>
          <cell r="BA38"/>
          <cell r="BB38"/>
          <cell r="BC38">
            <v>1000</v>
          </cell>
          <cell r="BD38">
            <v>1200</v>
          </cell>
          <cell r="BE38">
            <v>350</v>
          </cell>
          <cell r="BF38"/>
          <cell r="BG38"/>
          <cell r="BH38"/>
          <cell r="BI38"/>
          <cell r="BJ38"/>
          <cell r="BK38">
            <v>500</v>
          </cell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K38"/>
          <cell r="DL38"/>
          <cell r="DM38"/>
          <cell r="DN38"/>
          <cell r="DO38"/>
          <cell r="DP38"/>
          <cell r="DQ38"/>
          <cell r="DR38"/>
          <cell r="DS38"/>
          <cell r="DT38"/>
          <cell r="DU38"/>
          <cell r="DV38"/>
          <cell r="DW38"/>
          <cell r="DX38"/>
          <cell r="DY38"/>
          <cell r="DZ38"/>
          <cell r="EA38"/>
          <cell r="EB38"/>
          <cell r="EC38"/>
          <cell r="ED38"/>
          <cell r="EE38"/>
          <cell r="EF38"/>
          <cell r="EG38"/>
          <cell r="EH38"/>
          <cell r="EI38"/>
          <cell r="EJ38" t="str">
            <v>SIN USO</v>
          </cell>
          <cell r="EK38" t="str">
            <v>C</v>
          </cell>
          <cell r="EL38">
            <v>400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</row>
        <row r="39">
          <cell r="F39">
            <v>107307</v>
          </cell>
          <cell r="G39" t="str">
            <v>CAJA PTG AZUL 15PP ASTRA</v>
          </cell>
          <cell r="H39"/>
          <cell r="I39">
            <v>400</v>
          </cell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K39"/>
          <cell r="DL39"/>
          <cell r="DM39"/>
          <cell r="DN39"/>
          <cell r="DO39"/>
          <cell r="DP39"/>
          <cell r="DQ39"/>
          <cell r="DR39"/>
          <cell r="DS39"/>
          <cell r="DT39"/>
          <cell r="DU39"/>
          <cell r="DV39"/>
          <cell r="DW39"/>
          <cell r="DX39"/>
          <cell r="DY39"/>
          <cell r="DZ39"/>
          <cell r="EA39"/>
          <cell r="EB39"/>
          <cell r="EC39"/>
          <cell r="ED39"/>
          <cell r="EE39"/>
          <cell r="EF39"/>
          <cell r="EG39"/>
          <cell r="EH39"/>
          <cell r="EI39"/>
          <cell r="EJ39" t="str">
            <v>ACTIVO</v>
          </cell>
          <cell r="EK39" t="str">
            <v/>
          </cell>
          <cell r="EL39" t="str">
            <v/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</row>
        <row r="40">
          <cell r="F40">
            <v>107361</v>
          </cell>
          <cell r="G40" t="str">
            <v>CAJA  PTG AZUL 15PP ALTA SYCOR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>
            <v>1</v>
          </cell>
          <cell r="AI40">
            <v>399</v>
          </cell>
          <cell r="AJ40"/>
          <cell r="AK40"/>
          <cell r="AL40">
            <v>500</v>
          </cell>
          <cell r="AM40">
            <v>500</v>
          </cell>
          <cell r="AN40"/>
          <cell r="AO40">
            <v>500</v>
          </cell>
          <cell r="AP40">
            <v>500</v>
          </cell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>
            <v>0</v>
          </cell>
          <cell r="BT40">
            <v>500</v>
          </cell>
          <cell r="BU40"/>
          <cell r="BV40"/>
          <cell r="BW40"/>
          <cell r="BX40"/>
          <cell r="BY40"/>
          <cell r="BZ40">
            <v>1000</v>
          </cell>
          <cell r="CA40">
            <v>500</v>
          </cell>
          <cell r="CB40"/>
          <cell r="CC40">
            <v>1000</v>
          </cell>
          <cell r="CD40"/>
          <cell r="CE40"/>
          <cell r="CF40"/>
          <cell r="CG40"/>
          <cell r="CH40">
            <v>500</v>
          </cell>
          <cell r="CI40"/>
          <cell r="CJ40"/>
          <cell r="CK40"/>
          <cell r="CL40"/>
          <cell r="CM40"/>
          <cell r="CN40">
            <v>1000</v>
          </cell>
          <cell r="CO40"/>
          <cell r="CP40"/>
          <cell r="CQ40"/>
          <cell r="CR40"/>
          <cell r="CS40"/>
          <cell r="CT40"/>
          <cell r="CU40"/>
          <cell r="CV40"/>
          <cell r="CW40">
            <v>500</v>
          </cell>
          <cell r="CX40"/>
          <cell r="CY40"/>
          <cell r="CZ40"/>
          <cell r="DA40"/>
          <cell r="DB40">
            <v>900</v>
          </cell>
          <cell r="DC40">
            <v>500</v>
          </cell>
          <cell r="DD40"/>
          <cell r="DE40"/>
          <cell r="DF40">
            <v>500</v>
          </cell>
          <cell r="DG40">
            <v>500</v>
          </cell>
          <cell r="DH40"/>
          <cell r="DI40"/>
          <cell r="DJ40"/>
          <cell r="DK40"/>
          <cell r="DL40"/>
          <cell r="DM40"/>
          <cell r="DN40"/>
          <cell r="DO40"/>
          <cell r="DP40">
            <v>1000</v>
          </cell>
          <cell r="DQ40"/>
          <cell r="DR40"/>
          <cell r="DS40"/>
          <cell r="DT40"/>
          <cell r="DU40"/>
          <cell r="DV40"/>
          <cell r="DW40"/>
          <cell r="DX40"/>
          <cell r="DY40"/>
          <cell r="DZ40"/>
          <cell r="EA40"/>
          <cell r="EB40"/>
          <cell r="EC40"/>
          <cell r="ED40"/>
          <cell r="EE40"/>
          <cell r="EF40"/>
          <cell r="EG40"/>
          <cell r="EH40"/>
          <cell r="EI40"/>
          <cell r="EJ40" t="str">
            <v>ACTIVO</v>
          </cell>
          <cell r="EK40" t="str">
            <v>C</v>
          </cell>
          <cell r="EL40" t="str">
            <v/>
          </cell>
          <cell r="EM40">
            <v>1000</v>
          </cell>
          <cell r="EN40">
            <v>166.66666666666666</v>
          </cell>
          <cell r="EO40">
            <v>301.00840620497735</v>
          </cell>
          <cell r="EP40">
            <v>3598</v>
          </cell>
          <cell r="EQ40">
            <v>2104830</v>
          </cell>
          <cell r="ER40">
            <v>3.5979999999999999</v>
          </cell>
          <cell r="ES40">
            <v>2500</v>
          </cell>
        </row>
        <row r="41">
          <cell r="F41">
            <v>107365</v>
          </cell>
          <cell r="G41" t="str">
            <v>CAJA PRODUCTO SECO (PS) SYCOR</v>
          </cell>
          <cell r="H41">
            <v>500</v>
          </cell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>
            <v>600</v>
          </cell>
          <cell r="AD41">
            <v>600</v>
          </cell>
          <cell r="AE41"/>
          <cell r="AF41">
            <v>1050</v>
          </cell>
          <cell r="AG41">
            <v>400</v>
          </cell>
          <cell r="AH41">
            <v>450</v>
          </cell>
          <cell r="AI41">
            <v>1300</v>
          </cell>
          <cell r="AJ41">
            <v>1250</v>
          </cell>
          <cell r="AK41">
            <v>800</v>
          </cell>
          <cell r="AL41">
            <v>1647</v>
          </cell>
          <cell r="AM41">
            <v>1000</v>
          </cell>
          <cell r="AN41">
            <v>500</v>
          </cell>
          <cell r="AO41">
            <v>1000</v>
          </cell>
          <cell r="AP41">
            <v>1500</v>
          </cell>
          <cell r="AQ41">
            <v>1000</v>
          </cell>
          <cell r="AR41">
            <v>2500</v>
          </cell>
          <cell r="AS41">
            <v>500</v>
          </cell>
          <cell r="AT41">
            <v>1000</v>
          </cell>
          <cell r="AU41">
            <v>1000</v>
          </cell>
          <cell r="AV41">
            <v>2000</v>
          </cell>
          <cell r="AW41">
            <v>500</v>
          </cell>
          <cell r="AX41">
            <v>1500</v>
          </cell>
          <cell r="AY41">
            <v>500</v>
          </cell>
          <cell r="AZ41">
            <v>1000</v>
          </cell>
          <cell r="BA41"/>
          <cell r="BB41">
            <v>2000</v>
          </cell>
          <cell r="BC41">
            <v>500</v>
          </cell>
          <cell r="BD41">
            <v>2000</v>
          </cell>
          <cell r="BE41">
            <v>250</v>
          </cell>
          <cell r="BF41">
            <v>1500</v>
          </cell>
          <cell r="BG41"/>
          <cell r="BH41">
            <v>500</v>
          </cell>
          <cell r="BI41">
            <v>50</v>
          </cell>
          <cell r="BJ41">
            <v>2000</v>
          </cell>
          <cell r="BK41">
            <v>1500</v>
          </cell>
          <cell r="BL41">
            <v>500</v>
          </cell>
          <cell r="BM41">
            <v>1500</v>
          </cell>
          <cell r="BN41">
            <v>2000</v>
          </cell>
          <cell r="BO41"/>
          <cell r="BP41">
            <v>2500</v>
          </cell>
          <cell r="BQ41"/>
          <cell r="BR41">
            <v>500</v>
          </cell>
          <cell r="BS41">
            <v>366</v>
          </cell>
          <cell r="BT41">
            <v>1970</v>
          </cell>
          <cell r="BU41">
            <v>500</v>
          </cell>
          <cell r="BV41">
            <v>500</v>
          </cell>
          <cell r="BW41">
            <v>1000</v>
          </cell>
          <cell r="BX41">
            <v>1525</v>
          </cell>
          <cell r="BY41">
            <v>1500</v>
          </cell>
          <cell r="BZ41">
            <v>576</v>
          </cell>
          <cell r="CA41">
            <v>2000</v>
          </cell>
          <cell r="CB41">
            <v>1000</v>
          </cell>
          <cell r="CC41">
            <v>1500</v>
          </cell>
          <cell r="CD41">
            <v>3500</v>
          </cell>
          <cell r="CE41"/>
          <cell r="CF41">
            <v>1000</v>
          </cell>
          <cell r="CG41">
            <v>500</v>
          </cell>
          <cell r="CH41">
            <v>1500</v>
          </cell>
          <cell r="CI41">
            <v>75</v>
          </cell>
          <cell r="CJ41"/>
          <cell r="CK41">
            <v>1925</v>
          </cell>
          <cell r="CL41">
            <v>2000</v>
          </cell>
          <cell r="CM41">
            <v>1000</v>
          </cell>
          <cell r="CN41">
            <v>1000</v>
          </cell>
          <cell r="CO41">
            <v>2038</v>
          </cell>
          <cell r="CP41">
            <v>1000</v>
          </cell>
          <cell r="CQ41">
            <v>1500</v>
          </cell>
          <cell r="CR41">
            <v>1000</v>
          </cell>
          <cell r="CS41"/>
          <cell r="CT41">
            <v>1500</v>
          </cell>
          <cell r="CU41">
            <v>2200</v>
          </cell>
          <cell r="CV41"/>
          <cell r="CW41">
            <v>500</v>
          </cell>
          <cell r="CX41">
            <v>500</v>
          </cell>
          <cell r="CY41">
            <v>1509</v>
          </cell>
          <cell r="CZ41">
            <v>500</v>
          </cell>
          <cell r="DA41"/>
          <cell r="DB41">
            <v>1000</v>
          </cell>
          <cell r="DC41">
            <v>1000</v>
          </cell>
          <cell r="DD41">
            <v>1000</v>
          </cell>
          <cell r="DE41">
            <v>500</v>
          </cell>
          <cell r="DF41"/>
          <cell r="DG41">
            <v>643</v>
          </cell>
          <cell r="DH41">
            <v>1000</v>
          </cell>
          <cell r="DI41">
            <v>500</v>
          </cell>
          <cell r="DJ41">
            <v>586</v>
          </cell>
          <cell r="DK41"/>
          <cell r="DL41">
            <v>1000</v>
          </cell>
          <cell r="DM41">
            <v>1500</v>
          </cell>
          <cell r="DN41">
            <v>1000</v>
          </cell>
          <cell r="DO41">
            <v>1000</v>
          </cell>
          <cell r="DP41"/>
          <cell r="DQ41">
            <v>1000</v>
          </cell>
          <cell r="DR41">
            <v>2235</v>
          </cell>
          <cell r="DS41">
            <v>500</v>
          </cell>
          <cell r="DT41"/>
          <cell r="DU41">
            <v>1500</v>
          </cell>
          <cell r="DV41">
            <v>500</v>
          </cell>
          <cell r="DW41">
            <v>500</v>
          </cell>
          <cell r="DX41">
            <v>1500</v>
          </cell>
          <cell r="DY41">
            <v>500</v>
          </cell>
          <cell r="DZ41">
            <v>1089</v>
          </cell>
          <cell r="EA41">
            <v>1500</v>
          </cell>
          <cell r="EB41">
            <v>1500</v>
          </cell>
          <cell r="EC41"/>
          <cell r="ED41">
            <v>589</v>
          </cell>
          <cell r="EE41">
            <v>500</v>
          </cell>
          <cell r="EF41">
            <v>2500</v>
          </cell>
          <cell r="EG41">
            <v>500</v>
          </cell>
          <cell r="EH41">
            <v>4001</v>
          </cell>
          <cell r="EI41">
            <v>500</v>
          </cell>
          <cell r="EJ41" t="str">
            <v>ACTIVO</v>
          </cell>
          <cell r="EK41" t="str">
            <v>B</v>
          </cell>
          <cell r="EL41">
            <v>400</v>
          </cell>
          <cell r="EM41">
            <v>1047.5714285714287</v>
          </cell>
          <cell r="EN41">
            <v>174.5952380952381</v>
          </cell>
          <cell r="EO41">
            <v>715.20111461282988</v>
          </cell>
          <cell r="EP41">
            <v>2191</v>
          </cell>
          <cell r="EQ41">
            <v>1080163</v>
          </cell>
          <cell r="ER41">
            <v>2.091504159279967</v>
          </cell>
          <cell r="ES41">
            <v>2618.9285714285716</v>
          </cell>
        </row>
        <row r="42">
          <cell r="F42">
            <v>403306</v>
          </cell>
          <cell r="G42" t="str">
            <v>CAJA PRODUCTO SECO (PS) PAIMASA</v>
          </cell>
          <cell r="H42">
            <v>600</v>
          </cell>
          <cell r="I42"/>
          <cell r="J42">
            <v>575</v>
          </cell>
          <cell r="K42">
            <v>600</v>
          </cell>
          <cell r="L42">
            <v>1200</v>
          </cell>
          <cell r="M42"/>
          <cell r="N42">
            <v>600</v>
          </cell>
          <cell r="O42"/>
          <cell r="P42">
            <v>1200</v>
          </cell>
          <cell r="Q42">
            <v>425</v>
          </cell>
          <cell r="R42">
            <v>600</v>
          </cell>
          <cell r="S42"/>
          <cell r="T42">
            <v>600</v>
          </cell>
          <cell r="U42">
            <v>1200</v>
          </cell>
          <cell r="V42">
            <v>600</v>
          </cell>
          <cell r="W42">
            <v>600</v>
          </cell>
          <cell r="X42">
            <v>600</v>
          </cell>
          <cell r="Y42">
            <v>1200</v>
          </cell>
          <cell r="Z42">
            <v>600</v>
          </cell>
          <cell r="AA42">
            <v>600</v>
          </cell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/>
          <cell r="AR42"/>
          <cell r="AS42"/>
          <cell r="AT42"/>
          <cell r="AU42"/>
          <cell r="AV42"/>
          <cell r="AW42"/>
          <cell r="AX42"/>
          <cell r="AY42"/>
          <cell r="AZ42"/>
          <cell r="BA42"/>
          <cell r="BB42"/>
          <cell r="BC42"/>
          <cell r="BD42"/>
          <cell r="BE42"/>
          <cell r="BF42"/>
          <cell r="BG42"/>
          <cell r="BH42"/>
          <cell r="BI42"/>
          <cell r="BJ42"/>
          <cell r="BK42"/>
          <cell r="BL42"/>
          <cell r="BM42"/>
          <cell r="BN42"/>
          <cell r="BO42"/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  <cell r="BZ42"/>
          <cell r="CA42"/>
          <cell r="CB42"/>
          <cell r="CC42"/>
          <cell r="CD42"/>
          <cell r="CE42"/>
          <cell r="CF42"/>
          <cell r="CG42"/>
          <cell r="CH42"/>
          <cell r="CI42"/>
          <cell r="CJ42"/>
          <cell r="CK42"/>
          <cell r="CL42"/>
          <cell r="CM42"/>
          <cell r="CN42"/>
          <cell r="CO42"/>
          <cell r="CP42"/>
          <cell r="CQ42"/>
          <cell r="CR42"/>
          <cell r="CS42"/>
          <cell r="CT42"/>
          <cell r="CU42"/>
          <cell r="CV42"/>
          <cell r="CW42"/>
          <cell r="CX42"/>
          <cell r="CY42"/>
          <cell r="CZ42"/>
          <cell r="DA42"/>
          <cell r="DB42"/>
          <cell r="DC42"/>
          <cell r="DD42"/>
          <cell r="DE42"/>
          <cell r="DF42"/>
          <cell r="DG42"/>
          <cell r="DH42"/>
          <cell r="DI42"/>
          <cell r="DJ42"/>
          <cell r="DK42"/>
          <cell r="DL42"/>
          <cell r="DM42"/>
          <cell r="DN42"/>
          <cell r="DO42"/>
          <cell r="DP42"/>
          <cell r="DQ42"/>
          <cell r="DR42"/>
          <cell r="DS42"/>
          <cell r="DT42"/>
          <cell r="DU42"/>
          <cell r="DV42"/>
          <cell r="DW42"/>
          <cell r="DX42"/>
          <cell r="DY42"/>
          <cell r="DZ42"/>
          <cell r="EA42"/>
          <cell r="EB42"/>
          <cell r="EC42"/>
          <cell r="ED42"/>
          <cell r="EE42"/>
          <cell r="EF42"/>
          <cell r="EG42"/>
          <cell r="EH42"/>
          <cell r="EI42"/>
          <cell r="EJ42" t="str">
            <v>ACTIVO</v>
          </cell>
          <cell r="EK42" t="str">
            <v/>
          </cell>
          <cell r="EL42" t="str">
            <v/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</row>
        <row r="43">
          <cell r="F43">
            <v>405419</v>
          </cell>
          <cell r="G43" t="str">
            <v>CAJA DOS TORTAS PROSERVAR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>
            <v>1050</v>
          </cell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  <cell r="CL43"/>
          <cell r="CM43"/>
          <cell r="CN43"/>
          <cell r="CO43"/>
          <cell r="CP43"/>
          <cell r="CQ43"/>
          <cell r="CR43"/>
          <cell r="CS43"/>
          <cell r="CT43"/>
          <cell r="CU43"/>
          <cell r="CV43"/>
          <cell r="CW43"/>
          <cell r="CX43"/>
          <cell r="CY43"/>
          <cell r="CZ43"/>
          <cell r="DA43"/>
          <cell r="DB43"/>
          <cell r="DC43"/>
          <cell r="DD43"/>
          <cell r="DE43"/>
          <cell r="DF43"/>
          <cell r="DG43"/>
          <cell r="DH43"/>
          <cell r="DI43"/>
          <cell r="DJ43"/>
          <cell r="DK43"/>
          <cell r="DL43"/>
          <cell r="DM43"/>
          <cell r="DN43"/>
          <cell r="DO43"/>
          <cell r="DP43"/>
          <cell r="DQ43"/>
          <cell r="DR43"/>
          <cell r="DS43"/>
          <cell r="DT43"/>
          <cell r="DU43"/>
          <cell r="DV43"/>
          <cell r="DW43"/>
          <cell r="DX43"/>
          <cell r="DY43"/>
          <cell r="DZ43"/>
          <cell r="EA43"/>
          <cell r="EB43"/>
          <cell r="EC43"/>
          <cell r="ED43"/>
          <cell r="EE43"/>
          <cell r="EF43"/>
          <cell r="EG43"/>
          <cell r="EH43"/>
          <cell r="EI43"/>
          <cell r="EJ43" t="str">
            <v>SIN USO</v>
          </cell>
          <cell r="EK43" t="str">
            <v>C</v>
          </cell>
          <cell r="EL43"/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</row>
        <row r="44">
          <cell r="F44">
            <v>405503</v>
          </cell>
          <cell r="G44" t="str">
            <v>CAJA PASTELES ASTRA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>
            <v>1970</v>
          </cell>
          <cell r="BP44"/>
          <cell r="BQ44"/>
          <cell r="BR44"/>
          <cell r="BS44"/>
          <cell r="BT44"/>
          <cell r="BU44"/>
          <cell r="BV44">
            <v>1125</v>
          </cell>
          <cell r="BW44"/>
          <cell r="BX44"/>
          <cell r="BY44"/>
          <cell r="BZ44"/>
          <cell r="CA44"/>
          <cell r="CB44"/>
          <cell r="CC44"/>
          <cell r="CD44">
            <v>1200</v>
          </cell>
          <cell r="CE44"/>
          <cell r="CF44">
            <v>625</v>
          </cell>
          <cell r="CG44">
            <v>600</v>
          </cell>
          <cell r="CH44"/>
          <cell r="CI44"/>
          <cell r="CJ44"/>
          <cell r="CK44"/>
          <cell r="CL44"/>
          <cell r="CM44"/>
          <cell r="CN44"/>
          <cell r="CO44">
            <v>858</v>
          </cell>
          <cell r="CP44"/>
          <cell r="CQ44"/>
          <cell r="CR44"/>
          <cell r="CS44"/>
          <cell r="CT44"/>
          <cell r="CU44">
            <v>750</v>
          </cell>
          <cell r="CV44"/>
          <cell r="CW44">
            <v>1375</v>
          </cell>
          <cell r="CX44"/>
          <cell r="CY44"/>
          <cell r="CZ44"/>
          <cell r="DA44">
            <v>893</v>
          </cell>
          <cell r="DB44"/>
          <cell r="DC44"/>
          <cell r="DD44"/>
          <cell r="DE44"/>
          <cell r="DF44"/>
          <cell r="DG44"/>
          <cell r="DH44"/>
          <cell r="DI44"/>
          <cell r="DJ44"/>
          <cell r="DK44"/>
          <cell r="DL44"/>
          <cell r="DM44"/>
          <cell r="DN44"/>
          <cell r="DO44"/>
          <cell r="DP44"/>
          <cell r="DQ44"/>
          <cell r="DR44">
            <v>550</v>
          </cell>
          <cell r="DS44"/>
          <cell r="DT44"/>
          <cell r="DU44">
            <v>950</v>
          </cell>
          <cell r="DV44"/>
          <cell r="DW44"/>
          <cell r="DX44"/>
          <cell r="DY44"/>
          <cell r="DZ44"/>
          <cell r="EA44"/>
          <cell r="EB44">
            <v>362</v>
          </cell>
          <cell r="EC44">
            <v>362</v>
          </cell>
          <cell r="ED44"/>
          <cell r="EE44"/>
          <cell r="EF44"/>
          <cell r="EG44"/>
          <cell r="EH44"/>
          <cell r="EI44">
            <v>500</v>
          </cell>
          <cell r="EJ44" t="str">
            <v>ACTIVO</v>
          </cell>
          <cell r="EK44" t="str">
            <v>C</v>
          </cell>
          <cell r="EL44" t="str">
            <v/>
          </cell>
          <cell r="EM44">
            <v>556</v>
          </cell>
          <cell r="EN44">
            <v>92.666666666666671</v>
          </cell>
          <cell r="EO44">
            <v>435.09539183953672</v>
          </cell>
          <cell r="EP44">
            <v>362</v>
          </cell>
          <cell r="EQ44">
            <v>147334</v>
          </cell>
          <cell r="ER44">
            <v>0.65107913669064743</v>
          </cell>
          <cell r="ES44">
            <v>1390</v>
          </cell>
        </row>
        <row r="45">
          <cell r="F45">
            <v>403315</v>
          </cell>
          <cell r="G45" t="str">
            <v>CAJA DE PASTELES PAIMASA</v>
          </cell>
          <cell r="H45"/>
          <cell r="I45"/>
          <cell r="J45"/>
          <cell r="K45"/>
          <cell r="L45"/>
          <cell r="M45"/>
          <cell r="N45"/>
          <cell r="O45">
            <v>2150</v>
          </cell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>
            <v>450</v>
          </cell>
          <cell r="AD45"/>
          <cell r="AE45"/>
          <cell r="AF45"/>
          <cell r="AG45"/>
          <cell r="AH45"/>
          <cell r="AI45">
            <v>800</v>
          </cell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>
            <v>1250</v>
          </cell>
          <cell r="AU45"/>
          <cell r="AV45"/>
          <cell r="AW45"/>
          <cell r="AX45"/>
          <cell r="AY45"/>
          <cell r="AZ45"/>
          <cell r="BA45"/>
          <cell r="BB45"/>
          <cell r="BC45">
            <v>1250</v>
          </cell>
          <cell r="BD45"/>
          <cell r="BE45"/>
          <cell r="BF45"/>
          <cell r="BG45"/>
          <cell r="BH45"/>
          <cell r="BI45">
            <v>1250</v>
          </cell>
          <cell r="BJ45"/>
          <cell r="BK45">
            <v>1250</v>
          </cell>
          <cell r="BL45"/>
          <cell r="BM45"/>
          <cell r="BN45"/>
          <cell r="BO45"/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  <cell r="CL45"/>
          <cell r="CM45"/>
          <cell r="CN45"/>
          <cell r="CO45"/>
          <cell r="CP45"/>
          <cell r="CQ45"/>
          <cell r="CR45"/>
          <cell r="CS45"/>
          <cell r="CT45"/>
          <cell r="CU45"/>
          <cell r="CV45"/>
          <cell r="CW45"/>
          <cell r="CX45"/>
          <cell r="CY45"/>
          <cell r="CZ45"/>
          <cell r="DA45"/>
          <cell r="DB45"/>
          <cell r="DC45"/>
          <cell r="DD45"/>
          <cell r="DE45"/>
          <cell r="DF45"/>
          <cell r="DG45"/>
          <cell r="DH45"/>
          <cell r="DI45"/>
          <cell r="DJ45"/>
          <cell r="DK45"/>
          <cell r="DL45"/>
          <cell r="DM45"/>
          <cell r="DN45"/>
          <cell r="DO45"/>
          <cell r="DP45"/>
          <cell r="DQ45"/>
          <cell r="DR45"/>
          <cell r="DS45"/>
          <cell r="DT45"/>
          <cell r="DU45"/>
          <cell r="DV45"/>
          <cell r="DW45"/>
          <cell r="DX45"/>
          <cell r="DY45"/>
          <cell r="DZ45"/>
          <cell r="EA45"/>
          <cell r="EB45"/>
          <cell r="EC45"/>
          <cell r="ED45"/>
          <cell r="EE45"/>
          <cell r="EF45"/>
          <cell r="EG45"/>
          <cell r="EH45"/>
          <cell r="EI45"/>
          <cell r="EJ45" t="str">
            <v>ACTIVO</v>
          </cell>
          <cell r="EK45" t="str">
            <v>C</v>
          </cell>
          <cell r="EL45">
            <v>1250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</row>
        <row r="46">
          <cell r="F46">
            <v>405696</v>
          </cell>
          <cell r="G46" t="str">
            <v>CAJA PASTELES 600X325X120 ASTRA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N46"/>
          <cell r="AO46"/>
          <cell r="AP46"/>
          <cell r="AQ46"/>
          <cell r="AR46"/>
          <cell r="AS46"/>
          <cell r="AT46"/>
          <cell r="AU46"/>
          <cell r="AV46"/>
          <cell r="AW46"/>
          <cell r="AX46"/>
          <cell r="AY46"/>
          <cell r="AZ46"/>
          <cell r="BA46"/>
          <cell r="BB46"/>
          <cell r="BC46"/>
          <cell r="BD46"/>
          <cell r="BE46"/>
          <cell r="BF46"/>
          <cell r="BG46"/>
          <cell r="BH46"/>
          <cell r="BI46"/>
          <cell r="BJ46"/>
          <cell r="BK46"/>
          <cell r="BL46"/>
          <cell r="BM46"/>
          <cell r="BN46"/>
          <cell r="BO46"/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  <cell r="CC46"/>
          <cell r="CD46"/>
          <cell r="CE46"/>
          <cell r="CF46"/>
          <cell r="CG46"/>
          <cell r="CH46"/>
          <cell r="CI46"/>
          <cell r="CJ46"/>
          <cell r="CK46"/>
          <cell r="CL46"/>
          <cell r="CM46"/>
          <cell r="CN46"/>
          <cell r="CO46"/>
          <cell r="CP46"/>
          <cell r="CQ46"/>
          <cell r="CR46"/>
          <cell r="CS46"/>
          <cell r="CT46"/>
          <cell r="CU46"/>
          <cell r="CV46"/>
          <cell r="CW46"/>
          <cell r="CX46"/>
          <cell r="CY46"/>
          <cell r="CZ46"/>
          <cell r="DA46"/>
          <cell r="DB46"/>
          <cell r="DC46"/>
          <cell r="DD46"/>
          <cell r="DE46"/>
          <cell r="DF46"/>
          <cell r="DG46"/>
          <cell r="DH46"/>
          <cell r="DI46"/>
          <cell r="DJ46">
            <v>500</v>
          </cell>
          <cell r="DK46"/>
          <cell r="DL46"/>
          <cell r="DM46"/>
          <cell r="DN46"/>
          <cell r="DO46"/>
          <cell r="DP46"/>
          <cell r="DQ46"/>
          <cell r="DR46"/>
          <cell r="DS46"/>
          <cell r="DT46"/>
          <cell r="DU46"/>
          <cell r="DV46"/>
          <cell r="DW46"/>
          <cell r="DX46"/>
          <cell r="DY46">
            <v>600</v>
          </cell>
          <cell r="DZ46"/>
          <cell r="EA46"/>
          <cell r="EB46">
            <v>500</v>
          </cell>
          <cell r="EC46"/>
          <cell r="ED46"/>
          <cell r="EE46"/>
          <cell r="EF46"/>
          <cell r="EG46"/>
          <cell r="EH46"/>
          <cell r="EI46"/>
          <cell r="EJ46" t="str">
            <v>ACTIVO</v>
          </cell>
          <cell r="EK46" t="str">
            <v/>
          </cell>
          <cell r="EL46" t="str">
            <v/>
          </cell>
          <cell r="EM46">
            <v>533.33333333333337</v>
          </cell>
          <cell r="EN46">
            <v>88.8888888888889</v>
          </cell>
          <cell r="EO46">
            <v>0</v>
          </cell>
          <cell r="EP46">
            <v>659</v>
          </cell>
          <cell r="EQ46">
            <v>395400</v>
          </cell>
          <cell r="ER46">
            <v>1.235625</v>
          </cell>
          <cell r="ES46">
            <v>1333.3333333333335</v>
          </cell>
        </row>
        <row r="47">
          <cell r="F47"/>
          <cell r="G47"/>
          <cell r="H47">
            <v>2300</v>
          </cell>
          <cell r="I47">
            <v>800</v>
          </cell>
          <cell r="J47">
            <v>975</v>
          </cell>
          <cell r="K47">
            <v>3518.88</v>
          </cell>
          <cell r="L47">
            <v>4250</v>
          </cell>
          <cell r="M47"/>
          <cell r="N47">
            <v>2000</v>
          </cell>
          <cell r="O47">
            <v>5550</v>
          </cell>
          <cell r="P47">
            <v>3600</v>
          </cell>
          <cell r="Q47">
            <v>1825</v>
          </cell>
          <cell r="R47">
            <v>3900</v>
          </cell>
          <cell r="S47">
            <v>1400</v>
          </cell>
          <cell r="T47">
            <v>12600</v>
          </cell>
          <cell r="U47">
            <v>3550</v>
          </cell>
          <cell r="V47">
            <v>2200</v>
          </cell>
          <cell r="W47">
            <v>4100</v>
          </cell>
          <cell r="X47">
            <v>5419.79</v>
          </cell>
          <cell r="Y47">
            <v>4463</v>
          </cell>
          <cell r="Z47">
            <v>4412</v>
          </cell>
          <cell r="AA47">
            <v>1230</v>
          </cell>
          <cell r="AB47">
            <v>1002</v>
          </cell>
          <cell r="AC47">
            <v>3184</v>
          </cell>
          <cell r="AD47">
            <v>3668</v>
          </cell>
          <cell r="AE47">
            <v>1702</v>
          </cell>
          <cell r="AF47">
            <v>1860</v>
          </cell>
          <cell r="AG47">
            <v>2850</v>
          </cell>
          <cell r="AH47">
            <v>2466</v>
          </cell>
          <cell r="AI47">
            <v>3299</v>
          </cell>
          <cell r="AJ47">
            <v>4700</v>
          </cell>
          <cell r="AK47">
            <v>1862</v>
          </cell>
          <cell r="AL47">
            <v>3284</v>
          </cell>
          <cell r="AM47">
            <v>3152</v>
          </cell>
          <cell r="AN47">
            <v>1185</v>
          </cell>
          <cell r="AO47">
            <v>2000</v>
          </cell>
          <cell r="AP47">
            <v>2800</v>
          </cell>
          <cell r="AQ47">
            <v>2149</v>
          </cell>
          <cell r="AR47">
            <v>4001</v>
          </cell>
          <cell r="AS47">
            <v>1155</v>
          </cell>
          <cell r="AT47">
            <v>3741</v>
          </cell>
          <cell r="AU47">
            <v>1676</v>
          </cell>
          <cell r="AV47">
            <v>2000</v>
          </cell>
          <cell r="AW47">
            <v>1615</v>
          </cell>
          <cell r="AX47">
            <v>4350</v>
          </cell>
          <cell r="AY47">
            <v>1284</v>
          </cell>
          <cell r="AZ47">
            <v>3180</v>
          </cell>
          <cell r="BA47">
            <v>1550</v>
          </cell>
          <cell r="BB47">
            <v>4000</v>
          </cell>
          <cell r="BC47">
            <v>4750</v>
          </cell>
          <cell r="BD47">
            <v>8550</v>
          </cell>
          <cell r="BE47">
            <v>2563</v>
          </cell>
          <cell r="BF47">
            <v>3735</v>
          </cell>
          <cell r="BG47">
            <v>850</v>
          </cell>
          <cell r="BH47">
            <v>500</v>
          </cell>
          <cell r="BI47">
            <v>2857</v>
          </cell>
          <cell r="BJ47">
            <v>3325</v>
          </cell>
          <cell r="BK47">
            <v>4900</v>
          </cell>
          <cell r="BL47">
            <v>1436</v>
          </cell>
          <cell r="BM47">
            <v>3720</v>
          </cell>
          <cell r="BN47">
            <v>3451</v>
          </cell>
          <cell r="BO47">
            <v>1970</v>
          </cell>
          <cell r="BP47">
            <v>3890</v>
          </cell>
          <cell r="BQ47"/>
          <cell r="BR47">
            <v>1400</v>
          </cell>
          <cell r="BS47">
            <v>916</v>
          </cell>
          <cell r="BT47">
            <v>4436</v>
          </cell>
          <cell r="BU47">
            <v>680</v>
          </cell>
          <cell r="BV47">
            <v>1797</v>
          </cell>
          <cell r="BW47">
            <v>2000</v>
          </cell>
          <cell r="BX47">
            <v>2525</v>
          </cell>
          <cell r="BY47">
            <v>1725</v>
          </cell>
          <cell r="BZ47">
            <v>2343</v>
          </cell>
          <cell r="CA47">
            <v>3000</v>
          </cell>
          <cell r="CB47">
            <v>1500</v>
          </cell>
          <cell r="CC47">
            <v>3550</v>
          </cell>
          <cell r="CD47">
            <v>6200</v>
          </cell>
          <cell r="CE47">
            <v>500</v>
          </cell>
          <cell r="CF47">
            <v>5525</v>
          </cell>
          <cell r="CG47">
            <v>2500</v>
          </cell>
          <cell r="CH47">
            <v>3000</v>
          </cell>
          <cell r="CI47">
            <v>1175</v>
          </cell>
          <cell r="CJ47">
            <v>2600</v>
          </cell>
          <cell r="CK47">
            <v>3925</v>
          </cell>
          <cell r="CL47">
            <v>2975</v>
          </cell>
          <cell r="CM47">
            <v>1000</v>
          </cell>
          <cell r="CN47">
            <v>2000</v>
          </cell>
          <cell r="CO47">
            <v>3696</v>
          </cell>
          <cell r="CP47">
            <v>1300</v>
          </cell>
          <cell r="CQ47">
            <v>2200</v>
          </cell>
          <cell r="CR47">
            <v>1500</v>
          </cell>
          <cell r="CS47">
            <v>1000</v>
          </cell>
          <cell r="CT47">
            <v>2000</v>
          </cell>
          <cell r="CU47">
            <v>9466</v>
          </cell>
          <cell r="CV47">
            <v>1000</v>
          </cell>
          <cell r="CW47">
            <v>2375</v>
          </cell>
          <cell r="CX47">
            <v>500</v>
          </cell>
          <cell r="CY47">
            <v>1909</v>
          </cell>
          <cell r="CZ47">
            <v>1000</v>
          </cell>
          <cell r="DA47">
            <v>1393</v>
          </cell>
          <cell r="DB47">
            <v>1900</v>
          </cell>
          <cell r="DC47">
            <v>1500</v>
          </cell>
          <cell r="DD47">
            <v>2000</v>
          </cell>
          <cell r="DE47">
            <v>500</v>
          </cell>
          <cell r="DF47">
            <v>1000</v>
          </cell>
          <cell r="DG47">
            <v>1143</v>
          </cell>
          <cell r="DH47">
            <v>1500</v>
          </cell>
          <cell r="DI47">
            <v>1000</v>
          </cell>
          <cell r="DJ47">
            <v>1486</v>
          </cell>
          <cell r="DK47">
            <v>500</v>
          </cell>
          <cell r="DL47">
            <v>1000</v>
          </cell>
          <cell r="DM47">
            <v>2250</v>
          </cell>
          <cell r="DN47">
            <v>2400</v>
          </cell>
          <cell r="DO47">
            <v>1400</v>
          </cell>
          <cell r="DP47">
            <v>1700</v>
          </cell>
          <cell r="DQ47">
            <v>1000</v>
          </cell>
          <cell r="DR47">
            <v>3185</v>
          </cell>
          <cell r="DS47">
            <v>500</v>
          </cell>
          <cell r="DT47">
            <v>400</v>
          </cell>
          <cell r="DU47">
            <v>2450</v>
          </cell>
          <cell r="DV47">
            <v>1500</v>
          </cell>
          <cell r="DW47">
            <v>1000</v>
          </cell>
          <cell r="DX47">
            <v>2500</v>
          </cell>
          <cell r="DY47">
            <v>2100</v>
          </cell>
          <cell r="DZ47">
            <v>1089</v>
          </cell>
          <cell r="EA47">
            <v>3800</v>
          </cell>
          <cell r="EB47">
            <v>2362</v>
          </cell>
          <cell r="EC47">
            <v>1162</v>
          </cell>
          <cell r="ED47">
            <v>589</v>
          </cell>
          <cell r="EE47">
            <v>1000</v>
          </cell>
          <cell r="EF47">
            <v>4300</v>
          </cell>
          <cell r="EG47">
            <v>1500</v>
          </cell>
          <cell r="EH47">
            <v>6001</v>
          </cell>
          <cell r="EI47">
            <v>1000</v>
          </cell>
          <cell r="EJ47" t="str">
            <v>ACTIVO</v>
          </cell>
          <cell r="EK47" t="str">
            <v/>
          </cell>
          <cell r="EL47" t="str">
            <v/>
          </cell>
          <cell r="EM47">
            <v>1686.92</v>
          </cell>
          <cell r="EN47">
            <v>281.15333333333336</v>
          </cell>
          <cell r="EO47">
            <v>1651.0775259224913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</row>
        <row r="48">
          <cell r="F48">
            <v>107316</v>
          </cell>
          <cell r="G48" t="str">
            <v>PLANCHA DE CARTON 1X1,20 ASTRA</v>
          </cell>
          <cell r="H48"/>
          <cell r="I48">
            <v>415</v>
          </cell>
          <cell r="J48">
            <v>932</v>
          </cell>
          <cell r="K48">
            <v>500</v>
          </cell>
          <cell r="L48">
            <v>500</v>
          </cell>
          <cell r="M48">
            <v>652</v>
          </cell>
          <cell r="N48">
            <v>961</v>
          </cell>
          <cell r="O48">
            <v>400</v>
          </cell>
          <cell r="P48"/>
          <cell r="Q48"/>
          <cell r="R48"/>
          <cell r="S48"/>
          <cell r="T48"/>
          <cell r="U48"/>
          <cell r="V48"/>
          <cell r="W48"/>
          <cell r="X48"/>
          <cell r="Y48">
            <v>500</v>
          </cell>
          <cell r="Z48">
            <v>500</v>
          </cell>
          <cell r="AA48">
            <v>500</v>
          </cell>
          <cell r="AB48"/>
          <cell r="AC48"/>
          <cell r="AD48"/>
          <cell r="AE48"/>
          <cell r="AF48"/>
          <cell r="AG48"/>
          <cell r="AH48"/>
          <cell r="AI48">
            <v>500</v>
          </cell>
          <cell r="AJ48">
            <v>500</v>
          </cell>
          <cell r="AK48">
            <v>500</v>
          </cell>
          <cell r="AL48">
            <v>800</v>
          </cell>
          <cell r="AM48">
            <v>400</v>
          </cell>
          <cell r="AN48">
            <v>500</v>
          </cell>
          <cell r="AO48">
            <v>800</v>
          </cell>
          <cell r="AP48">
            <v>400</v>
          </cell>
          <cell r="AQ48">
            <v>800</v>
          </cell>
          <cell r="AR48"/>
          <cell r="AS48"/>
          <cell r="AT48">
            <v>500</v>
          </cell>
          <cell r="AU48">
            <v>1205</v>
          </cell>
          <cell r="AV48">
            <v>800</v>
          </cell>
          <cell r="AW48"/>
          <cell r="AX48">
            <v>2200</v>
          </cell>
          <cell r="AY48">
            <v>900</v>
          </cell>
          <cell r="AZ48">
            <v>1400</v>
          </cell>
          <cell r="BA48"/>
          <cell r="BB48">
            <v>1600</v>
          </cell>
          <cell r="BC48">
            <v>1201</v>
          </cell>
          <cell r="BD48">
            <v>800</v>
          </cell>
          <cell r="BE48">
            <v>1035</v>
          </cell>
          <cell r="BF48">
            <v>400</v>
          </cell>
          <cell r="BG48">
            <v>500</v>
          </cell>
          <cell r="BH48">
            <v>1200</v>
          </cell>
          <cell r="BI48">
            <v>600</v>
          </cell>
          <cell r="BJ48">
            <v>1800</v>
          </cell>
          <cell r="BK48">
            <v>500</v>
          </cell>
          <cell r="BL48">
            <v>1600</v>
          </cell>
          <cell r="BM48"/>
          <cell r="BN48">
            <v>1000</v>
          </cell>
          <cell r="BO48">
            <v>1000</v>
          </cell>
          <cell r="BP48">
            <v>2000</v>
          </cell>
          <cell r="BQ48">
            <v>450</v>
          </cell>
          <cell r="BR48">
            <v>1350</v>
          </cell>
          <cell r="BS48">
            <v>1409</v>
          </cell>
          <cell r="BT48">
            <v>450</v>
          </cell>
          <cell r="BU48">
            <v>400</v>
          </cell>
          <cell r="BV48">
            <v>1300</v>
          </cell>
          <cell r="BW48">
            <v>500</v>
          </cell>
          <cell r="BX48">
            <v>1650</v>
          </cell>
          <cell r="BY48">
            <v>900</v>
          </cell>
          <cell r="BZ48">
            <v>740</v>
          </cell>
          <cell r="CA48">
            <v>1000</v>
          </cell>
          <cell r="CB48">
            <v>1000</v>
          </cell>
          <cell r="CC48">
            <v>1000</v>
          </cell>
          <cell r="CD48"/>
          <cell r="CE48">
            <v>1500</v>
          </cell>
          <cell r="CF48">
            <v>500</v>
          </cell>
          <cell r="CG48">
            <v>2000</v>
          </cell>
          <cell r="CH48">
            <v>1000</v>
          </cell>
          <cell r="CI48">
            <v>1000</v>
          </cell>
          <cell r="CJ48">
            <v>1500</v>
          </cell>
          <cell r="CK48">
            <v>1000</v>
          </cell>
          <cell r="CL48">
            <v>1197</v>
          </cell>
          <cell r="CM48">
            <v>1000</v>
          </cell>
          <cell r="CN48">
            <v>1500</v>
          </cell>
          <cell r="CO48">
            <v>1500</v>
          </cell>
          <cell r="CP48">
            <v>980</v>
          </cell>
          <cell r="CQ48">
            <v>930</v>
          </cell>
          <cell r="CR48">
            <v>1480</v>
          </cell>
          <cell r="CS48"/>
          <cell r="CT48">
            <v>900</v>
          </cell>
          <cell r="CU48">
            <v>1000</v>
          </cell>
          <cell r="CV48">
            <v>500</v>
          </cell>
          <cell r="CW48">
            <v>580</v>
          </cell>
          <cell r="CX48">
            <v>500</v>
          </cell>
          <cell r="CY48">
            <v>1000</v>
          </cell>
          <cell r="CZ48">
            <v>1000</v>
          </cell>
          <cell r="DA48">
            <v>500</v>
          </cell>
          <cell r="DB48">
            <v>500</v>
          </cell>
          <cell r="DC48">
            <v>1500</v>
          </cell>
          <cell r="DD48">
            <v>520</v>
          </cell>
          <cell r="DE48">
            <v>1000</v>
          </cell>
          <cell r="DF48">
            <v>541</v>
          </cell>
          <cell r="DG48">
            <v>500</v>
          </cell>
          <cell r="DH48">
            <v>900</v>
          </cell>
          <cell r="DI48"/>
          <cell r="DJ48">
            <v>500</v>
          </cell>
          <cell r="DK48">
            <v>1000</v>
          </cell>
          <cell r="DL48">
            <v>500</v>
          </cell>
          <cell r="DM48">
            <v>2000</v>
          </cell>
          <cell r="DN48"/>
          <cell r="DO48">
            <v>1000</v>
          </cell>
          <cell r="DP48">
            <v>500</v>
          </cell>
          <cell r="DQ48">
            <v>500</v>
          </cell>
          <cell r="DR48">
            <v>500</v>
          </cell>
          <cell r="DS48">
            <v>1400</v>
          </cell>
          <cell r="DT48"/>
          <cell r="DU48">
            <v>1000</v>
          </cell>
          <cell r="DV48">
            <v>1000</v>
          </cell>
          <cell r="DW48">
            <v>1000</v>
          </cell>
          <cell r="DX48">
            <v>1000</v>
          </cell>
          <cell r="DY48">
            <v>1000</v>
          </cell>
          <cell r="DZ48">
            <v>500</v>
          </cell>
          <cell r="EA48">
            <v>1000</v>
          </cell>
          <cell r="EB48">
            <v>500</v>
          </cell>
          <cell r="EC48">
            <v>500</v>
          </cell>
          <cell r="ED48">
            <v>1078.5390479999999</v>
          </cell>
          <cell r="EE48"/>
          <cell r="EF48">
            <v>500</v>
          </cell>
          <cell r="EG48"/>
          <cell r="EH48"/>
          <cell r="EI48"/>
          <cell r="EJ48" t="str">
            <v>ACTIVO</v>
          </cell>
          <cell r="EK48" t="str">
            <v>B</v>
          </cell>
          <cell r="EL48">
            <v>400</v>
          </cell>
          <cell r="EM48">
            <v>848.92695239999989</v>
          </cell>
          <cell r="EN48">
            <v>141.48782539999999</v>
          </cell>
          <cell r="EO48">
            <v>433.40202433061802</v>
          </cell>
          <cell r="EP48">
            <v>120</v>
          </cell>
          <cell r="EQ48">
            <v>73320</v>
          </cell>
          <cell r="ER48">
            <v>0.14135491830097774</v>
          </cell>
          <cell r="ES48">
            <v>2122.3173809999998</v>
          </cell>
        </row>
        <row r="49">
          <cell r="F49">
            <v>405793</v>
          </cell>
          <cell r="G49" t="str">
            <v>PLANCHA DE CARTON 1X1,20 FULL CARTON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  <cell r="CR49"/>
          <cell r="CS49"/>
          <cell r="CT49"/>
          <cell r="CU49"/>
          <cell r="CV49"/>
          <cell r="CW49"/>
          <cell r="CX49"/>
          <cell r="CY49"/>
          <cell r="CZ49"/>
          <cell r="DA49"/>
          <cell r="DB49"/>
          <cell r="DC49"/>
          <cell r="DD49"/>
          <cell r="DE49"/>
          <cell r="DF49"/>
          <cell r="DG49"/>
          <cell r="DH49"/>
          <cell r="DI49"/>
          <cell r="DJ49"/>
          <cell r="DK49"/>
          <cell r="DL49"/>
          <cell r="DM49"/>
          <cell r="DN49"/>
          <cell r="DO49"/>
          <cell r="DP49"/>
          <cell r="DQ49"/>
          <cell r="DR49"/>
          <cell r="DS49"/>
          <cell r="DT49"/>
          <cell r="DU49"/>
          <cell r="DV49"/>
          <cell r="DW49"/>
          <cell r="DX49"/>
          <cell r="DY49"/>
          <cell r="DZ49"/>
          <cell r="EA49"/>
          <cell r="EB49"/>
          <cell r="EC49"/>
          <cell r="ED49"/>
          <cell r="EE49"/>
          <cell r="EF49">
            <v>750</v>
          </cell>
          <cell r="EG49">
            <v>1650</v>
          </cell>
          <cell r="EH49">
            <v>860</v>
          </cell>
          <cell r="EI49">
            <v>1000</v>
          </cell>
          <cell r="EJ49" t="str">
            <v>ACTIVO</v>
          </cell>
          <cell r="EK49" t="str">
            <v/>
          </cell>
          <cell r="EL49" t="str">
            <v/>
          </cell>
          <cell r="EM49">
            <v>1200</v>
          </cell>
          <cell r="EN49">
            <v>200</v>
          </cell>
          <cell r="EO49">
            <v>0</v>
          </cell>
          <cell r="EP49">
            <v>1260</v>
          </cell>
          <cell r="EQ49">
            <v>777835.8</v>
          </cell>
          <cell r="ER49">
            <v>1.05</v>
          </cell>
          <cell r="ES49">
            <v>3000</v>
          </cell>
        </row>
        <row r="50">
          <cell r="F50">
            <v>403395</v>
          </cell>
          <cell r="G50" t="str">
            <v>PLANCHA DE CARTON 1X1,20 PROSERVAR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>
            <v>500</v>
          </cell>
          <cell r="AF50">
            <v>500</v>
          </cell>
          <cell r="AG50">
            <v>1000</v>
          </cell>
          <cell r="AH50"/>
          <cell r="AI50">
            <v>500</v>
          </cell>
          <cell r="AJ50"/>
          <cell r="AK50"/>
          <cell r="AL50">
            <v>1000</v>
          </cell>
          <cell r="AM50"/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  <cell r="AZ50"/>
          <cell r="BA50"/>
          <cell r="BB50"/>
          <cell r="BC50"/>
          <cell r="BD50"/>
          <cell r="BE50"/>
          <cell r="BF50"/>
          <cell r="BG50"/>
          <cell r="BH50"/>
          <cell r="BI50"/>
          <cell r="BJ50"/>
          <cell r="BK50"/>
          <cell r="BL50"/>
          <cell r="BM50"/>
          <cell r="BN50"/>
          <cell r="BO50"/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  <cell r="CH50"/>
          <cell r="CI50"/>
          <cell r="CJ50"/>
          <cell r="CK50"/>
          <cell r="CL50"/>
          <cell r="CM50"/>
          <cell r="CN50"/>
          <cell r="CO50"/>
          <cell r="CP50"/>
          <cell r="CQ50"/>
          <cell r="CR50"/>
          <cell r="CS50"/>
          <cell r="CT50"/>
          <cell r="CU50"/>
          <cell r="CV50"/>
          <cell r="CW50"/>
          <cell r="CX50"/>
          <cell r="CY50"/>
          <cell r="CZ50"/>
          <cell r="DA50"/>
          <cell r="DB50"/>
          <cell r="DC50"/>
          <cell r="DD50"/>
          <cell r="DE50"/>
          <cell r="DF50"/>
          <cell r="DG50"/>
          <cell r="DH50"/>
          <cell r="DI50"/>
          <cell r="DJ50"/>
          <cell r="DK50"/>
          <cell r="DL50"/>
          <cell r="DM50"/>
          <cell r="DN50"/>
          <cell r="DO50"/>
          <cell r="DP50"/>
          <cell r="DQ50"/>
          <cell r="DR50"/>
          <cell r="DS50"/>
          <cell r="DT50"/>
          <cell r="DU50"/>
          <cell r="DV50"/>
          <cell r="DW50"/>
          <cell r="DX50"/>
          <cell r="DY50"/>
          <cell r="DZ50"/>
          <cell r="EA50"/>
          <cell r="EB50"/>
          <cell r="EC50"/>
          <cell r="ED50"/>
          <cell r="EE50"/>
          <cell r="EF50"/>
          <cell r="EG50"/>
          <cell r="EH50"/>
          <cell r="EI50"/>
          <cell r="EJ50" t="str">
            <v>ACTIVO</v>
          </cell>
          <cell r="EK50" t="str">
            <v/>
          </cell>
          <cell r="EL50" t="str">
            <v/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</row>
        <row r="51">
          <cell r="F51">
            <v>403266</v>
          </cell>
          <cell r="G51" t="str">
            <v>PLANCHA DE CARTON 1X1,20 EHLAN</v>
          </cell>
          <cell r="H51"/>
          <cell r="I51"/>
          <cell r="J51"/>
          <cell r="K51"/>
          <cell r="L51"/>
          <cell r="M51"/>
          <cell r="N51"/>
          <cell r="O51">
            <v>400</v>
          </cell>
          <cell r="P51">
            <v>1000</v>
          </cell>
          <cell r="Q51">
            <v>520</v>
          </cell>
          <cell r="R51">
            <v>400</v>
          </cell>
          <cell r="S51">
            <v>500</v>
          </cell>
          <cell r="T51">
            <v>1000</v>
          </cell>
          <cell r="U51"/>
          <cell r="V51">
            <v>500</v>
          </cell>
          <cell r="W51">
            <v>1000</v>
          </cell>
          <cell r="X51">
            <v>1000</v>
          </cell>
          <cell r="Y51">
            <v>500</v>
          </cell>
          <cell r="Z51"/>
          <cell r="AA51"/>
          <cell r="AB51">
            <v>1000</v>
          </cell>
          <cell r="AC51">
            <v>1000</v>
          </cell>
          <cell r="AD51">
            <v>500</v>
          </cell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>
            <v>800</v>
          </cell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  <cell r="CL51"/>
          <cell r="CM51"/>
          <cell r="CN51"/>
          <cell r="CO51"/>
          <cell r="CP51"/>
          <cell r="CQ51"/>
          <cell r="CR51"/>
          <cell r="CS51"/>
          <cell r="CT51"/>
          <cell r="CU51"/>
          <cell r="CV51"/>
          <cell r="CW51"/>
          <cell r="CX51"/>
          <cell r="CY51"/>
          <cell r="CZ51"/>
          <cell r="DA51"/>
          <cell r="DB51"/>
          <cell r="DC51"/>
          <cell r="DD51"/>
          <cell r="DE51"/>
          <cell r="DF51"/>
          <cell r="DG51"/>
          <cell r="DH51"/>
          <cell r="DI51"/>
          <cell r="DJ51"/>
          <cell r="DK51"/>
          <cell r="DL51"/>
          <cell r="DM51"/>
          <cell r="DN51"/>
          <cell r="DO51"/>
          <cell r="DP51"/>
          <cell r="DQ51"/>
          <cell r="DR51"/>
          <cell r="DS51"/>
          <cell r="DT51"/>
          <cell r="DU51"/>
          <cell r="DV51"/>
          <cell r="DW51"/>
          <cell r="DX51"/>
          <cell r="DY51"/>
          <cell r="DZ51"/>
          <cell r="EA51"/>
          <cell r="EB51"/>
          <cell r="EC51"/>
          <cell r="ED51"/>
          <cell r="EE51"/>
          <cell r="EF51"/>
          <cell r="EG51"/>
          <cell r="EH51"/>
          <cell r="EI51"/>
          <cell r="EJ51" t="str">
            <v>ACTIVO</v>
          </cell>
          <cell r="EK51" t="str">
            <v/>
          </cell>
          <cell r="EL51" t="str">
            <v/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</row>
        <row r="52">
          <cell r="F52">
            <v>403373</v>
          </cell>
          <cell r="G52" t="str">
            <v>HOJA SEPARADORA PLANCHAS PROSERVAR</v>
          </cell>
          <cell r="H52"/>
          <cell r="I52">
            <v>1290</v>
          </cell>
          <cell r="J52"/>
          <cell r="K52"/>
          <cell r="L52"/>
          <cell r="M52">
            <v>3000</v>
          </cell>
          <cell r="N52"/>
          <cell r="O52"/>
          <cell r="P52"/>
          <cell r="Q52">
            <v>2000</v>
          </cell>
          <cell r="R52"/>
          <cell r="S52"/>
          <cell r="T52"/>
          <cell r="U52">
            <v>3000</v>
          </cell>
          <cell r="V52"/>
          <cell r="W52"/>
          <cell r="X52">
            <v>3000</v>
          </cell>
          <cell r="Y52"/>
          <cell r="Z52"/>
          <cell r="AA52"/>
          <cell r="AB52"/>
          <cell r="AC52"/>
          <cell r="AD52"/>
          <cell r="AE52"/>
          <cell r="AF52"/>
          <cell r="AG52">
            <v>3000</v>
          </cell>
          <cell r="AH52"/>
          <cell r="AI52"/>
          <cell r="AJ52"/>
          <cell r="AK52">
            <v>2000</v>
          </cell>
          <cell r="AL52"/>
          <cell r="AM52"/>
          <cell r="AN52"/>
          <cell r="AO52"/>
          <cell r="AP52"/>
          <cell r="AQ52"/>
          <cell r="AR52">
            <v>3000</v>
          </cell>
          <cell r="AS52"/>
          <cell r="AT52"/>
          <cell r="AU52"/>
          <cell r="AV52">
            <v>3000</v>
          </cell>
          <cell r="AW52"/>
          <cell r="AX52"/>
          <cell r="AY52"/>
          <cell r="AZ52">
            <v>3300</v>
          </cell>
          <cell r="BA52"/>
          <cell r="BB52"/>
          <cell r="BC52">
            <v>3000</v>
          </cell>
          <cell r="BD52"/>
          <cell r="BE52">
            <v>1700</v>
          </cell>
          <cell r="BF52"/>
          <cell r="BG52"/>
          <cell r="BH52"/>
          <cell r="BI52"/>
          <cell r="BJ52"/>
          <cell r="BK52"/>
          <cell r="BL52">
            <v>3000</v>
          </cell>
          <cell r="BM52"/>
          <cell r="BN52"/>
          <cell r="BO52">
            <v>3600</v>
          </cell>
          <cell r="BP52"/>
          <cell r="BQ52"/>
          <cell r="BR52"/>
          <cell r="BS52"/>
          <cell r="BT52"/>
          <cell r="BU52"/>
          <cell r="BV52"/>
          <cell r="BW52"/>
          <cell r="BX52">
            <v>3000</v>
          </cell>
          <cell r="BY52"/>
          <cell r="BZ52"/>
          <cell r="CA52">
            <v>3000</v>
          </cell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>
            <v>3000</v>
          </cell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>
            <v>3000</v>
          </cell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K52"/>
          <cell r="DL52"/>
          <cell r="DM52">
            <v>6000</v>
          </cell>
          <cell r="DN52"/>
          <cell r="DO52">
            <v>3000</v>
          </cell>
          <cell r="DP52"/>
          <cell r="DQ52"/>
          <cell r="DR52"/>
          <cell r="DS52"/>
          <cell r="DT52"/>
          <cell r="DU52"/>
          <cell r="DV52"/>
          <cell r="DW52"/>
          <cell r="DX52"/>
          <cell r="DY52">
            <v>3000</v>
          </cell>
          <cell r="DZ52"/>
          <cell r="EA52"/>
          <cell r="EB52"/>
          <cell r="EC52"/>
          <cell r="ED52"/>
          <cell r="EE52"/>
          <cell r="EF52"/>
          <cell r="EG52"/>
          <cell r="EH52"/>
          <cell r="EI52"/>
          <cell r="EJ52" t="str">
            <v>ACTIVO</v>
          </cell>
          <cell r="EK52" t="str">
            <v>C</v>
          </cell>
          <cell r="EL52">
            <v>1800</v>
          </cell>
          <cell r="EM52">
            <v>4000</v>
          </cell>
          <cell r="EN52">
            <v>666.66666666666663</v>
          </cell>
          <cell r="EO52">
            <v>244.94897427831782</v>
          </cell>
          <cell r="EP52">
            <v>22000</v>
          </cell>
          <cell r="EQ52">
            <v>4510000</v>
          </cell>
          <cell r="ER52">
            <v>5.5</v>
          </cell>
          <cell r="ES52">
            <v>10000</v>
          </cell>
        </row>
        <row r="53">
          <cell r="F53">
            <v>403103</v>
          </cell>
          <cell r="G53" t="str">
            <v>DISCO CARTON MH 15 PP ARRIAZA</v>
          </cell>
          <cell r="H53">
            <v>6000</v>
          </cell>
          <cell r="I53"/>
          <cell r="J53">
            <v>5000</v>
          </cell>
          <cell r="K53"/>
          <cell r="L53"/>
          <cell r="M53">
            <v>11000</v>
          </cell>
          <cell r="N53"/>
          <cell r="O53"/>
          <cell r="P53"/>
          <cell r="Q53"/>
          <cell r="R53"/>
          <cell r="S53"/>
          <cell r="T53"/>
          <cell r="U53">
            <v>5000</v>
          </cell>
          <cell r="V53">
            <v>5000</v>
          </cell>
          <cell r="W53"/>
          <cell r="X53"/>
          <cell r="Y53"/>
          <cell r="Z53">
            <v>5000</v>
          </cell>
          <cell r="AA53"/>
          <cell r="AB53"/>
          <cell r="AC53"/>
          <cell r="AD53">
            <v>4000</v>
          </cell>
          <cell r="AE53">
            <v>5000</v>
          </cell>
          <cell r="AF53">
            <v>5000</v>
          </cell>
          <cell r="AG53"/>
          <cell r="AH53"/>
          <cell r="AI53"/>
          <cell r="AJ53"/>
          <cell r="AK53">
            <v>18000</v>
          </cell>
          <cell r="AL53"/>
          <cell r="AM53">
            <v>25000</v>
          </cell>
          <cell r="AN53"/>
          <cell r="AO53"/>
          <cell r="AP53">
            <v>5000</v>
          </cell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>
            <v>7000</v>
          </cell>
          <cell r="BG53"/>
          <cell r="BH53"/>
          <cell r="BI53"/>
          <cell r="BJ53"/>
          <cell r="BK53"/>
          <cell r="BL53"/>
          <cell r="BM53"/>
          <cell r="BN53">
            <v>12000</v>
          </cell>
          <cell r="BO53"/>
          <cell r="BP53"/>
          <cell r="BQ53"/>
          <cell r="BR53"/>
          <cell r="BS53"/>
          <cell r="BT53"/>
          <cell r="BU53">
            <v>12000</v>
          </cell>
          <cell r="BV53"/>
          <cell r="BW53"/>
          <cell r="BX53"/>
          <cell r="BY53"/>
          <cell r="BZ53"/>
          <cell r="CA53"/>
          <cell r="CB53">
            <v>7000</v>
          </cell>
          <cell r="CC53"/>
          <cell r="CD53">
            <v>5000</v>
          </cell>
          <cell r="CE53">
            <v>7000</v>
          </cell>
          <cell r="CF53"/>
          <cell r="CG53"/>
          <cell r="CH53">
            <v>12000</v>
          </cell>
          <cell r="CI53"/>
          <cell r="CJ53"/>
          <cell r="CK53"/>
          <cell r="CL53"/>
          <cell r="CM53"/>
          <cell r="CN53"/>
          <cell r="CO53"/>
          <cell r="CP53"/>
          <cell r="CQ53"/>
          <cell r="CR53">
            <v>15000</v>
          </cell>
          <cell r="CS53"/>
          <cell r="CT53"/>
          <cell r="CU53"/>
          <cell r="CV53"/>
          <cell r="CW53"/>
          <cell r="CX53"/>
          <cell r="CY53"/>
          <cell r="CZ53"/>
          <cell r="DA53"/>
          <cell r="DB53"/>
          <cell r="DC53"/>
          <cell r="DD53">
            <v>12000</v>
          </cell>
          <cell r="DE53"/>
          <cell r="DF53"/>
          <cell r="DG53"/>
          <cell r="DH53"/>
          <cell r="DI53"/>
          <cell r="DJ53"/>
          <cell r="DK53"/>
          <cell r="DL53"/>
          <cell r="DM53">
            <v>12000</v>
          </cell>
          <cell r="DN53"/>
          <cell r="DO53"/>
          <cell r="DP53"/>
          <cell r="DQ53"/>
          <cell r="DR53">
            <v>12000</v>
          </cell>
          <cell r="DS53"/>
          <cell r="DT53"/>
          <cell r="DU53"/>
          <cell r="DV53"/>
          <cell r="DW53"/>
          <cell r="DX53">
            <v>12000</v>
          </cell>
          <cell r="DY53"/>
          <cell r="DZ53"/>
          <cell r="EA53"/>
          <cell r="EB53"/>
          <cell r="EC53"/>
          <cell r="ED53"/>
          <cell r="EE53"/>
          <cell r="EF53"/>
          <cell r="EG53"/>
          <cell r="EH53"/>
          <cell r="EI53"/>
          <cell r="EJ53" t="str">
            <v>ACTIVO</v>
          </cell>
          <cell r="EK53" t="str">
            <v>C</v>
          </cell>
          <cell r="EL53" t="str">
            <v/>
          </cell>
          <cell r="EM53">
            <v>12000</v>
          </cell>
          <cell r="EN53">
            <v>2000</v>
          </cell>
          <cell r="EO53">
            <v>3453.7764010675951</v>
          </cell>
          <cell r="EP53">
            <v>0</v>
          </cell>
          <cell r="EQ53">
            <v>0</v>
          </cell>
          <cell r="ER53">
            <v>0</v>
          </cell>
          <cell r="ES53">
            <v>12000</v>
          </cell>
        </row>
        <row r="54">
          <cell r="F54">
            <v>403314</v>
          </cell>
          <cell r="G54" t="str">
            <v>DISCO DE PAPEL PQQ CURICO</v>
          </cell>
          <cell r="H54">
            <v>100000</v>
          </cell>
          <cell r="I54"/>
          <cell r="J54"/>
          <cell r="K54">
            <v>75000</v>
          </cell>
          <cell r="L54">
            <v>80000</v>
          </cell>
          <cell r="M54">
            <v>80000</v>
          </cell>
          <cell r="N54"/>
          <cell r="O54"/>
          <cell r="P54">
            <v>240000</v>
          </cell>
          <cell r="Q54"/>
          <cell r="R54">
            <v>350000</v>
          </cell>
          <cell r="S54">
            <v>200000</v>
          </cell>
          <cell r="T54"/>
          <cell r="U54">
            <v>150000</v>
          </cell>
          <cell r="V54"/>
          <cell r="W54"/>
          <cell r="X54"/>
          <cell r="Y54"/>
          <cell r="Z54"/>
          <cell r="AA54"/>
          <cell r="AB54">
            <v>120000</v>
          </cell>
          <cell r="AC54"/>
          <cell r="AD54">
            <v>80000</v>
          </cell>
          <cell r="AE54">
            <v>180000</v>
          </cell>
          <cell r="AF54">
            <v>90000</v>
          </cell>
          <cell r="AG54"/>
          <cell r="AH54">
            <v>90000</v>
          </cell>
          <cell r="AI54">
            <v>100000</v>
          </cell>
          <cell r="AJ54"/>
          <cell r="AK54">
            <v>200000</v>
          </cell>
          <cell r="AL54"/>
          <cell r="AM54">
            <v>220000</v>
          </cell>
          <cell r="AN54">
            <v>100000</v>
          </cell>
          <cell r="AO54"/>
          <cell r="AP54">
            <v>100000</v>
          </cell>
          <cell r="AQ54">
            <v>200000</v>
          </cell>
          <cell r="AR54"/>
          <cell r="AS54"/>
          <cell r="AT54"/>
          <cell r="AU54"/>
          <cell r="AV54">
            <v>250000</v>
          </cell>
          <cell r="AW54"/>
          <cell r="AX54">
            <v>100000</v>
          </cell>
          <cell r="AY54">
            <v>100000</v>
          </cell>
          <cell r="AZ54"/>
          <cell r="BA54">
            <v>100000</v>
          </cell>
          <cell r="BB54"/>
          <cell r="BC54">
            <v>421500</v>
          </cell>
          <cell r="BD54"/>
          <cell r="BE54">
            <v>100000</v>
          </cell>
          <cell r="BF54">
            <v>100000</v>
          </cell>
          <cell r="BG54"/>
          <cell r="BH54"/>
          <cell r="BI54">
            <v>150000</v>
          </cell>
          <cell r="BJ54"/>
          <cell r="BK54"/>
          <cell r="BL54"/>
          <cell r="BM54"/>
          <cell r="BN54"/>
          <cell r="BO54">
            <v>150000</v>
          </cell>
          <cell r="BP54">
            <v>120000</v>
          </cell>
          <cell r="BQ54"/>
          <cell r="BR54"/>
          <cell r="BS54">
            <v>100000</v>
          </cell>
          <cell r="BT54"/>
          <cell r="BU54">
            <v>70000</v>
          </cell>
          <cell r="BV54"/>
          <cell r="BW54"/>
          <cell r="BX54"/>
          <cell r="BY54"/>
          <cell r="BZ54">
            <v>240000</v>
          </cell>
          <cell r="CA54"/>
          <cell r="CB54">
            <v>120000</v>
          </cell>
          <cell r="CC54">
            <v>100000</v>
          </cell>
          <cell r="CD54">
            <v>80000</v>
          </cell>
          <cell r="CE54">
            <v>100000</v>
          </cell>
          <cell r="CF54">
            <v>40000</v>
          </cell>
          <cell r="CG54">
            <v>80000</v>
          </cell>
          <cell r="CH54">
            <v>180000</v>
          </cell>
          <cell r="CI54">
            <v>90000</v>
          </cell>
          <cell r="CJ54"/>
          <cell r="CK54"/>
          <cell r="CL54"/>
          <cell r="CM54">
            <v>90000</v>
          </cell>
          <cell r="CN54">
            <v>90000</v>
          </cell>
          <cell r="CO54">
            <v>80000</v>
          </cell>
          <cell r="CP54">
            <v>80000</v>
          </cell>
          <cell r="CQ54"/>
          <cell r="CR54">
            <v>87000</v>
          </cell>
          <cell r="CS54">
            <v>90000</v>
          </cell>
          <cell r="CT54"/>
          <cell r="CU54"/>
          <cell r="CV54"/>
          <cell r="CW54"/>
          <cell r="CX54"/>
          <cell r="CY54"/>
          <cell r="CZ54"/>
          <cell r="DA54"/>
          <cell r="DB54">
            <v>78000</v>
          </cell>
          <cell r="DC54"/>
          <cell r="DD54"/>
          <cell r="DE54"/>
          <cell r="DF54"/>
          <cell r="DG54">
            <v>99000</v>
          </cell>
          <cell r="DH54"/>
          <cell r="DI54"/>
          <cell r="DJ54"/>
          <cell r="DK54"/>
          <cell r="DL54"/>
          <cell r="DM54"/>
          <cell r="DN54"/>
          <cell r="DO54"/>
          <cell r="DP54"/>
          <cell r="DQ54"/>
          <cell r="DR54"/>
          <cell r="DS54"/>
          <cell r="DT54"/>
          <cell r="DU54"/>
          <cell r="DV54"/>
          <cell r="DW54"/>
          <cell r="DX54"/>
          <cell r="DY54"/>
          <cell r="DZ54"/>
          <cell r="EA54"/>
          <cell r="EB54"/>
          <cell r="EC54"/>
          <cell r="ED54"/>
          <cell r="EE54"/>
          <cell r="EF54"/>
          <cell r="EG54"/>
          <cell r="EH54"/>
          <cell r="EI54"/>
          <cell r="EJ54" t="str">
            <v>ACTIVO</v>
          </cell>
          <cell r="EK54" t="str">
            <v>B</v>
          </cell>
          <cell r="EL54" t="str">
            <v/>
          </cell>
          <cell r="EM54">
            <v>0</v>
          </cell>
          <cell r="EN54">
            <v>0</v>
          </cell>
          <cell r="EO54">
            <v>42741.344279544028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</row>
        <row r="55">
          <cell r="F55">
            <v>403104</v>
          </cell>
          <cell r="G55" t="str">
            <v>HUINCHA CARTON MH 8.5x75 ARRIAZA</v>
          </cell>
          <cell r="H55">
            <v>200</v>
          </cell>
          <cell r="I55">
            <v>250</v>
          </cell>
          <cell r="J55"/>
          <cell r="K55"/>
          <cell r="L55"/>
          <cell r="M55"/>
          <cell r="N55"/>
          <cell r="O55"/>
          <cell r="P55"/>
          <cell r="Q55"/>
          <cell r="R55">
            <v>200</v>
          </cell>
          <cell r="S55">
            <v>150</v>
          </cell>
          <cell r="T55"/>
          <cell r="U55"/>
          <cell r="V55"/>
          <cell r="W55"/>
          <cell r="X55"/>
          <cell r="Y55"/>
          <cell r="Z55"/>
          <cell r="AA55"/>
          <cell r="AB55">
            <v>200</v>
          </cell>
          <cell r="AC55"/>
          <cell r="AD55"/>
          <cell r="AE55"/>
          <cell r="AF55"/>
          <cell r="AG55"/>
          <cell r="AH55"/>
          <cell r="AI55"/>
          <cell r="AJ55"/>
          <cell r="AK55">
            <v>300</v>
          </cell>
          <cell r="AL55"/>
          <cell r="AM55"/>
          <cell r="AN55">
            <v>150</v>
          </cell>
          <cell r="AO55"/>
          <cell r="AP55"/>
          <cell r="AQ55">
            <v>140</v>
          </cell>
          <cell r="AR55"/>
          <cell r="AS55"/>
          <cell r="AT55"/>
          <cell r="AU55"/>
          <cell r="AV55">
            <v>200</v>
          </cell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>
            <v>300</v>
          </cell>
          <cell r="BM55"/>
          <cell r="BN55"/>
          <cell r="BO55"/>
          <cell r="BP55"/>
          <cell r="BQ55"/>
          <cell r="BR55">
            <v>300</v>
          </cell>
          <cell r="BS55"/>
          <cell r="BT55"/>
          <cell r="BU55"/>
          <cell r="BV55"/>
          <cell r="BW55">
            <v>140</v>
          </cell>
          <cell r="BX55"/>
          <cell r="BY55"/>
          <cell r="BZ55">
            <v>300</v>
          </cell>
          <cell r="CA55"/>
          <cell r="CB55">
            <v>200</v>
          </cell>
          <cell r="CC55"/>
          <cell r="CD55"/>
          <cell r="CE55"/>
          <cell r="CF55"/>
          <cell r="CG55"/>
          <cell r="CH55">
            <v>300</v>
          </cell>
          <cell r="CI55"/>
          <cell r="CJ55"/>
          <cell r="CK55"/>
          <cell r="CL55"/>
          <cell r="CM55"/>
          <cell r="CN55">
            <v>300</v>
          </cell>
          <cell r="CO55"/>
          <cell r="CP55"/>
          <cell r="CQ55"/>
          <cell r="CR55">
            <v>200</v>
          </cell>
          <cell r="CS55"/>
          <cell r="CT55"/>
          <cell r="CU55"/>
          <cell r="CV55"/>
          <cell r="CW55">
            <v>300</v>
          </cell>
          <cell r="CX55"/>
          <cell r="CY55"/>
          <cell r="CZ55"/>
          <cell r="DA55"/>
          <cell r="DB55"/>
          <cell r="DC55"/>
          <cell r="DD55">
            <v>300</v>
          </cell>
          <cell r="DE55"/>
          <cell r="DF55"/>
          <cell r="DG55"/>
          <cell r="DH55"/>
          <cell r="DI55"/>
          <cell r="DJ55"/>
          <cell r="DK55"/>
          <cell r="DL55">
            <v>300</v>
          </cell>
          <cell r="DM55"/>
          <cell r="DN55"/>
          <cell r="DO55"/>
          <cell r="DP55"/>
          <cell r="DQ55"/>
          <cell r="DR55">
            <v>300</v>
          </cell>
          <cell r="DS55"/>
          <cell r="DT55"/>
          <cell r="DU55"/>
          <cell r="DV55"/>
          <cell r="DW55">
            <v>300</v>
          </cell>
          <cell r="DX55"/>
          <cell r="DY55"/>
          <cell r="DZ55"/>
          <cell r="EA55"/>
          <cell r="EB55"/>
          <cell r="EC55"/>
          <cell r="ED55">
            <v>300</v>
          </cell>
          <cell r="EE55"/>
          <cell r="EF55"/>
          <cell r="EG55"/>
          <cell r="EH55">
            <v>300</v>
          </cell>
          <cell r="EI55"/>
          <cell r="EJ55" t="str">
            <v>ACTIVO</v>
          </cell>
          <cell r="EK55" t="str">
            <v>C</v>
          </cell>
          <cell r="EL55" t="str">
            <v/>
          </cell>
          <cell r="EM55">
            <v>300</v>
          </cell>
          <cell r="EN55">
            <v>50</v>
          </cell>
          <cell r="EO55">
            <v>60.221812216726477</v>
          </cell>
          <cell r="EP55">
            <v>0</v>
          </cell>
          <cell r="EQ55">
            <v>0</v>
          </cell>
          <cell r="ER55">
            <v>0</v>
          </cell>
          <cell r="ES55">
            <v>300</v>
          </cell>
        </row>
        <row r="56">
          <cell r="F56">
            <v>107187</v>
          </cell>
          <cell r="G56" t="str">
            <v>DISCO DE PAPEL 19CM PQQ CURICO</v>
          </cell>
          <cell r="H56"/>
          <cell r="I56"/>
          <cell r="J56">
            <v>10000</v>
          </cell>
          <cell r="K56">
            <v>24000</v>
          </cell>
          <cell r="L56">
            <v>15000</v>
          </cell>
          <cell r="M56">
            <v>15000</v>
          </cell>
          <cell r="N56"/>
          <cell r="O56"/>
          <cell r="P56">
            <v>15000</v>
          </cell>
          <cell r="Q56"/>
          <cell r="R56"/>
          <cell r="S56"/>
          <cell r="T56"/>
          <cell r="U56"/>
          <cell r="V56"/>
          <cell r="W56">
            <v>20000</v>
          </cell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K56">
            <v>20000</v>
          </cell>
          <cell r="DL56"/>
          <cell r="DM56">
            <v>30000</v>
          </cell>
          <cell r="DN56"/>
          <cell r="DO56">
            <v>30000</v>
          </cell>
          <cell r="DP56"/>
          <cell r="DQ56">
            <v>40000</v>
          </cell>
          <cell r="DR56">
            <v>24000</v>
          </cell>
          <cell r="DS56"/>
          <cell r="DT56"/>
          <cell r="DU56"/>
          <cell r="DV56">
            <v>50000</v>
          </cell>
          <cell r="DW56"/>
          <cell r="DX56"/>
          <cell r="DY56"/>
          <cell r="DZ56"/>
          <cell r="EA56"/>
          <cell r="EB56"/>
          <cell r="EC56"/>
          <cell r="ED56">
            <v>30000</v>
          </cell>
          <cell r="EE56"/>
          <cell r="EF56"/>
          <cell r="EG56"/>
          <cell r="EH56"/>
          <cell r="EI56">
            <v>20000</v>
          </cell>
          <cell r="EJ56" t="str">
            <v>SIN USO</v>
          </cell>
          <cell r="EK56" t="str">
            <v/>
          </cell>
          <cell r="EL56" t="str">
            <v/>
          </cell>
          <cell r="EM56">
            <v>32000</v>
          </cell>
          <cell r="EN56">
            <v>5333.333333333333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32000</v>
          </cell>
        </row>
        <row r="57">
          <cell r="F57">
            <v>107338</v>
          </cell>
          <cell r="G57" t="str">
            <v>LAMINA ACETATO TRANSPARENTE 7x60 CM ECOPLASTIC</v>
          </cell>
          <cell r="H57"/>
          <cell r="I57"/>
          <cell r="J57"/>
          <cell r="K57"/>
          <cell r="L57">
            <v>500</v>
          </cell>
          <cell r="M57">
            <v>1500</v>
          </cell>
          <cell r="N57"/>
          <cell r="O57"/>
          <cell r="P57"/>
          <cell r="Q57"/>
          <cell r="R57"/>
          <cell r="S57"/>
          <cell r="T57"/>
          <cell r="U57"/>
          <cell r="V57">
            <v>1000</v>
          </cell>
          <cell r="W57">
            <v>500</v>
          </cell>
          <cell r="X57"/>
          <cell r="Y57"/>
          <cell r="Z57"/>
          <cell r="AA57"/>
          <cell r="AB57"/>
          <cell r="AC57">
            <v>700</v>
          </cell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/>
          <cell r="AZ57"/>
          <cell r="BA57"/>
          <cell r="BB57"/>
          <cell r="BC57"/>
          <cell r="BD57"/>
          <cell r="BE57"/>
          <cell r="BF57"/>
          <cell r="BG57"/>
          <cell r="BH57"/>
          <cell r="BI57"/>
          <cell r="BJ57"/>
          <cell r="BK57"/>
          <cell r="BL57"/>
          <cell r="BM57"/>
          <cell r="BN57"/>
          <cell r="BO57"/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/>
          <cell r="DJ57"/>
          <cell r="DK57"/>
          <cell r="DL57"/>
          <cell r="DM57"/>
          <cell r="DN57"/>
          <cell r="DO57"/>
          <cell r="DP57"/>
          <cell r="DQ57"/>
          <cell r="DR57"/>
          <cell r="DS57"/>
          <cell r="DT57"/>
          <cell r="DU57"/>
          <cell r="DV57"/>
          <cell r="DW57"/>
          <cell r="DX57"/>
          <cell r="DY57"/>
          <cell r="DZ57"/>
          <cell r="EA57"/>
          <cell r="EB57"/>
          <cell r="EC57"/>
          <cell r="ED57"/>
          <cell r="EE57"/>
          <cell r="EF57"/>
          <cell r="EG57"/>
          <cell r="EH57"/>
          <cell r="EI57"/>
          <cell r="EJ57" t="str">
            <v>SIN USO</v>
          </cell>
          <cell r="EK57" t="str">
            <v/>
          </cell>
          <cell r="EL57" t="str">
            <v/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</row>
        <row r="58">
          <cell r="F58">
            <v>405319</v>
          </cell>
          <cell r="G58" t="str">
            <v>LAMINA ACETATO TRANSPARENTE 7x60 CM FPS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>
            <v>300</v>
          </cell>
          <cell r="AG58"/>
          <cell r="AH58">
            <v>300</v>
          </cell>
          <cell r="AI58">
            <v>250</v>
          </cell>
          <cell r="AJ58"/>
          <cell r="AK58">
            <v>550</v>
          </cell>
          <cell r="AL58">
            <v>150</v>
          </cell>
          <cell r="AM58"/>
          <cell r="AN58">
            <v>300</v>
          </cell>
          <cell r="AO58">
            <v>300</v>
          </cell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>
            <v>1000</v>
          </cell>
          <cell r="BM58"/>
          <cell r="BN58">
            <v>500</v>
          </cell>
          <cell r="BO58">
            <v>500</v>
          </cell>
          <cell r="BP58"/>
          <cell r="BQ58"/>
          <cell r="BR58">
            <v>500</v>
          </cell>
          <cell r="BS58"/>
          <cell r="BT58"/>
          <cell r="BU58"/>
          <cell r="BV58">
            <v>600</v>
          </cell>
          <cell r="BW58">
            <v>300</v>
          </cell>
          <cell r="BX58"/>
          <cell r="BY58"/>
          <cell r="BZ58"/>
          <cell r="CA58"/>
          <cell r="CB58">
            <v>300</v>
          </cell>
          <cell r="CC58">
            <v>500</v>
          </cell>
          <cell r="CD58"/>
          <cell r="CE58"/>
          <cell r="CF58">
            <v>500</v>
          </cell>
          <cell r="CG58">
            <v>600</v>
          </cell>
          <cell r="CH58"/>
          <cell r="CI58"/>
          <cell r="CJ58"/>
          <cell r="CK58"/>
          <cell r="CL58">
            <v>500</v>
          </cell>
          <cell r="CM58">
            <v>500</v>
          </cell>
          <cell r="CN58">
            <v>400</v>
          </cell>
          <cell r="CO58"/>
          <cell r="CP58">
            <v>300</v>
          </cell>
          <cell r="CQ58">
            <v>100</v>
          </cell>
          <cell r="CR58">
            <v>200</v>
          </cell>
          <cell r="CS58">
            <v>200</v>
          </cell>
          <cell r="CT58">
            <v>200</v>
          </cell>
          <cell r="CU58">
            <v>300</v>
          </cell>
          <cell r="CV58">
            <v>200</v>
          </cell>
          <cell r="CW58">
            <v>500</v>
          </cell>
          <cell r="CX58"/>
          <cell r="CY58">
            <v>300</v>
          </cell>
          <cell r="CZ58">
            <v>500</v>
          </cell>
          <cell r="DA58">
            <v>600</v>
          </cell>
          <cell r="DB58">
            <v>400</v>
          </cell>
          <cell r="DC58">
            <v>300</v>
          </cell>
          <cell r="DD58">
            <v>500</v>
          </cell>
          <cell r="DE58"/>
          <cell r="DF58"/>
          <cell r="DG58"/>
          <cell r="DH58"/>
          <cell r="DI58"/>
          <cell r="DJ58">
            <v>100</v>
          </cell>
          <cell r="DK58">
            <v>100</v>
          </cell>
          <cell r="DL58">
            <v>400</v>
          </cell>
          <cell r="DM58">
            <v>200</v>
          </cell>
          <cell r="DN58">
            <v>200</v>
          </cell>
          <cell r="DO58">
            <v>200</v>
          </cell>
          <cell r="DP58">
            <v>400</v>
          </cell>
          <cell r="DQ58"/>
          <cell r="DR58"/>
          <cell r="DS58"/>
          <cell r="DT58"/>
          <cell r="DU58"/>
          <cell r="DV58">
            <v>200</v>
          </cell>
          <cell r="DW58">
            <v>100</v>
          </cell>
          <cell r="DX58">
            <v>400</v>
          </cell>
          <cell r="DY58">
            <v>500</v>
          </cell>
          <cell r="DZ58">
            <v>100</v>
          </cell>
          <cell r="EA58"/>
          <cell r="EB58"/>
          <cell r="EC58"/>
          <cell r="ED58"/>
          <cell r="EE58"/>
          <cell r="EF58"/>
          <cell r="EG58"/>
          <cell r="EH58"/>
          <cell r="EI58">
            <v>200</v>
          </cell>
          <cell r="EJ58" t="str">
            <v>ACTIVO</v>
          </cell>
          <cell r="EK58" t="str">
            <v>C</v>
          </cell>
          <cell r="EL58">
            <v>4800</v>
          </cell>
          <cell r="EM58">
            <v>241.66666666666666</v>
          </cell>
          <cell r="EN58">
            <v>40.277777777777779</v>
          </cell>
          <cell r="EO58">
            <v>184.05065573000243</v>
          </cell>
          <cell r="EP58">
            <v>3500</v>
          </cell>
          <cell r="EQ58">
            <v>896000</v>
          </cell>
          <cell r="ER58">
            <v>14.482758620689657</v>
          </cell>
          <cell r="ES58">
            <v>241.66666666666669</v>
          </cell>
        </row>
        <row r="59">
          <cell r="F59">
            <v>404313</v>
          </cell>
          <cell r="G59" t="str">
            <v>LAMINA ACETATO TRANSPARENTE ECOPLASTIC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>
            <v>330</v>
          </cell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K59"/>
          <cell r="DL59"/>
          <cell r="DM59"/>
          <cell r="DN59"/>
          <cell r="DO59"/>
          <cell r="DP59"/>
          <cell r="DQ59"/>
          <cell r="DR59"/>
          <cell r="DS59"/>
          <cell r="DT59"/>
          <cell r="DU59"/>
          <cell r="DV59"/>
          <cell r="DW59"/>
          <cell r="DX59"/>
          <cell r="DY59"/>
          <cell r="DZ59"/>
          <cell r="EA59"/>
          <cell r="EB59"/>
          <cell r="EC59"/>
          <cell r="ED59"/>
          <cell r="EE59"/>
          <cell r="EF59"/>
          <cell r="EG59"/>
          <cell r="EH59"/>
          <cell r="EI59"/>
          <cell r="EJ59" t="str">
            <v>SIN USO</v>
          </cell>
          <cell r="EK59" t="str">
            <v/>
          </cell>
          <cell r="EL59" t="str">
            <v/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</row>
        <row r="60">
          <cell r="F60">
            <v>403014</v>
          </cell>
          <cell r="G60" t="str">
            <v>PAPEL MANTEQUILLA ARRIAZA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>
            <v>500</v>
          </cell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>
            <v>500</v>
          </cell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K60"/>
          <cell r="DL60"/>
          <cell r="DM60"/>
          <cell r="DN60"/>
          <cell r="DO60"/>
          <cell r="DP60"/>
          <cell r="DQ60"/>
          <cell r="DR60"/>
          <cell r="DS60"/>
          <cell r="DT60"/>
          <cell r="DU60"/>
          <cell r="DV60"/>
          <cell r="DW60"/>
          <cell r="DX60"/>
          <cell r="DY60"/>
          <cell r="DZ60"/>
          <cell r="EA60"/>
          <cell r="EB60"/>
          <cell r="EC60">
            <v>500</v>
          </cell>
          <cell r="ED60"/>
          <cell r="EE60"/>
          <cell r="EF60"/>
          <cell r="EG60"/>
          <cell r="EH60"/>
          <cell r="EI60"/>
          <cell r="EJ60" t="str">
            <v>ACTIVO</v>
          </cell>
          <cell r="EK60" t="str">
            <v>C</v>
          </cell>
          <cell r="EL60" t="str">
            <v/>
          </cell>
          <cell r="EM60">
            <v>500</v>
          </cell>
          <cell r="EN60">
            <v>83.333333333333329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500</v>
          </cell>
        </row>
        <row r="61">
          <cell r="F61">
            <v>403101</v>
          </cell>
          <cell r="G61" t="str">
            <v>DISCO CARTON BLANCO 19,5 JUMBO ARRIAZA</v>
          </cell>
          <cell r="H61">
            <v>43500</v>
          </cell>
          <cell r="I61">
            <v>35000</v>
          </cell>
          <cell r="J61">
            <v>42000</v>
          </cell>
          <cell r="K61">
            <v>50000</v>
          </cell>
          <cell r="L61">
            <v>47003</v>
          </cell>
          <cell r="M61">
            <v>52000</v>
          </cell>
          <cell r="N61">
            <v>42000</v>
          </cell>
          <cell r="O61">
            <v>58500</v>
          </cell>
          <cell r="P61">
            <v>32000</v>
          </cell>
          <cell r="Q61">
            <v>41000</v>
          </cell>
          <cell r="R61">
            <v>37500</v>
          </cell>
          <cell r="S61">
            <v>22000</v>
          </cell>
          <cell r="T61">
            <v>26000</v>
          </cell>
          <cell r="U61">
            <v>60500</v>
          </cell>
          <cell r="V61">
            <v>37500</v>
          </cell>
          <cell r="W61">
            <v>48000</v>
          </cell>
          <cell r="X61">
            <v>63500</v>
          </cell>
          <cell r="Y61">
            <v>34500</v>
          </cell>
          <cell r="Z61">
            <v>66500</v>
          </cell>
          <cell r="AA61">
            <v>22500</v>
          </cell>
          <cell r="AB61">
            <v>50500</v>
          </cell>
          <cell r="AC61">
            <v>36000</v>
          </cell>
          <cell r="AD61">
            <v>47500</v>
          </cell>
          <cell r="AE61">
            <v>105000</v>
          </cell>
          <cell r="AF61">
            <v>11500</v>
          </cell>
          <cell r="AG61"/>
          <cell r="AH61">
            <v>55501</v>
          </cell>
          <cell r="AI61">
            <v>65000</v>
          </cell>
          <cell r="AJ61">
            <v>45000</v>
          </cell>
          <cell r="AK61">
            <v>66000</v>
          </cell>
          <cell r="AL61">
            <v>42000</v>
          </cell>
          <cell r="AM61">
            <v>64000</v>
          </cell>
          <cell r="AN61">
            <v>59500</v>
          </cell>
          <cell r="AO61">
            <v>63500</v>
          </cell>
          <cell r="AP61">
            <v>46950</v>
          </cell>
          <cell r="AQ61">
            <v>43000</v>
          </cell>
          <cell r="AR61">
            <v>51000</v>
          </cell>
          <cell r="AS61">
            <v>26500</v>
          </cell>
          <cell r="AT61">
            <v>51720</v>
          </cell>
          <cell r="AU61">
            <v>48100</v>
          </cell>
          <cell r="AV61">
            <v>43000</v>
          </cell>
          <cell r="AW61">
            <v>47000</v>
          </cell>
          <cell r="AX61">
            <v>52500</v>
          </cell>
          <cell r="AY61">
            <v>48000</v>
          </cell>
          <cell r="AZ61">
            <v>42500</v>
          </cell>
          <cell r="BA61">
            <v>53500</v>
          </cell>
          <cell r="BB61">
            <v>47300</v>
          </cell>
          <cell r="BC61">
            <v>40501</v>
          </cell>
          <cell r="BD61">
            <v>48000</v>
          </cell>
          <cell r="BE61">
            <v>43500</v>
          </cell>
          <cell r="BF61">
            <v>60000</v>
          </cell>
          <cell r="BG61">
            <v>40000</v>
          </cell>
          <cell r="BH61">
            <v>24000</v>
          </cell>
          <cell r="BI61">
            <v>41500</v>
          </cell>
          <cell r="BJ61">
            <v>41000</v>
          </cell>
          <cell r="BK61">
            <v>59500</v>
          </cell>
          <cell r="BL61">
            <v>42500</v>
          </cell>
          <cell r="BM61">
            <v>45500</v>
          </cell>
          <cell r="BN61">
            <v>47500</v>
          </cell>
          <cell r="BO61">
            <v>48500</v>
          </cell>
          <cell r="BP61">
            <v>28500</v>
          </cell>
          <cell r="BQ61">
            <v>46000</v>
          </cell>
          <cell r="BR61">
            <v>51000</v>
          </cell>
          <cell r="BS61">
            <v>43500</v>
          </cell>
          <cell r="BT61">
            <v>55500</v>
          </cell>
          <cell r="BU61">
            <v>59500</v>
          </cell>
          <cell r="BV61">
            <v>55000</v>
          </cell>
          <cell r="BW61">
            <v>56500</v>
          </cell>
          <cell r="BX61">
            <v>83500</v>
          </cell>
          <cell r="BY61">
            <v>56000</v>
          </cell>
          <cell r="BZ61">
            <v>56000</v>
          </cell>
          <cell r="CA61">
            <v>64000</v>
          </cell>
          <cell r="CB61">
            <v>42000</v>
          </cell>
          <cell r="CC61">
            <v>51500</v>
          </cell>
          <cell r="CD61">
            <v>52000</v>
          </cell>
          <cell r="CE61">
            <v>55000</v>
          </cell>
          <cell r="CF61">
            <v>60700</v>
          </cell>
          <cell r="CG61">
            <v>48500</v>
          </cell>
          <cell r="CH61">
            <v>30500</v>
          </cell>
          <cell r="CI61">
            <v>39000</v>
          </cell>
          <cell r="CJ61">
            <v>38000</v>
          </cell>
          <cell r="CK61">
            <v>42000</v>
          </cell>
          <cell r="CL61">
            <v>43000</v>
          </cell>
          <cell r="CM61">
            <v>43000</v>
          </cell>
          <cell r="CN61">
            <v>52500</v>
          </cell>
          <cell r="CO61">
            <v>39000</v>
          </cell>
          <cell r="CP61">
            <v>46500</v>
          </cell>
          <cell r="CQ61">
            <v>54500</v>
          </cell>
          <cell r="CR61">
            <v>49500</v>
          </cell>
          <cell r="CS61">
            <v>28000</v>
          </cell>
          <cell r="CT61">
            <v>65500</v>
          </cell>
          <cell r="CU61">
            <v>41500</v>
          </cell>
          <cell r="CV61">
            <v>40000</v>
          </cell>
          <cell r="CW61">
            <v>32000</v>
          </cell>
          <cell r="CX61">
            <v>47000</v>
          </cell>
          <cell r="CY61">
            <v>33500</v>
          </cell>
          <cell r="CZ61">
            <v>44500</v>
          </cell>
          <cell r="DA61">
            <v>41000</v>
          </cell>
          <cell r="DB61">
            <v>100500</v>
          </cell>
          <cell r="DC61">
            <v>57500</v>
          </cell>
          <cell r="DD61">
            <v>32500</v>
          </cell>
          <cell r="DE61">
            <v>38000</v>
          </cell>
          <cell r="DF61">
            <v>43500</v>
          </cell>
          <cell r="DG61">
            <v>48000</v>
          </cell>
          <cell r="DH61">
            <v>18500</v>
          </cell>
          <cell r="DI61">
            <v>7500</v>
          </cell>
          <cell r="DJ61">
            <v>51500</v>
          </cell>
          <cell r="DK61">
            <v>41500</v>
          </cell>
          <cell r="DL61">
            <v>43500</v>
          </cell>
          <cell r="DM61">
            <v>41000</v>
          </cell>
          <cell r="DN61">
            <v>42000</v>
          </cell>
          <cell r="DO61">
            <v>45000</v>
          </cell>
          <cell r="DP61">
            <v>47500</v>
          </cell>
          <cell r="DQ61">
            <v>24500</v>
          </cell>
          <cell r="DR61">
            <v>33000</v>
          </cell>
          <cell r="DS61">
            <v>40000</v>
          </cell>
          <cell r="DT61">
            <v>52500</v>
          </cell>
          <cell r="DU61">
            <v>37600</v>
          </cell>
          <cell r="DV61">
            <v>36500</v>
          </cell>
          <cell r="DW61">
            <v>22500</v>
          </cell>
          <cell r="DX61">
            <v>50500</v>
          </cell>
          <cell r="DY61">
            <v>62000</v>
          </cell>
          <cell r="DZ61">
            <v>54000</v>
          </cell>
          <cell r="EA61">
            <v>28500</v>
          </cell>
          <cell r="EB61">
            <v>35500</v>
          </cell>
          <cell r="EC61">
            <v>4500</v>
          </cell>
          <cell r="ED61">
            <v>40177</v>
          </cell>
          <cell r="EE61">
            <v>13000</v>
          </cell>
          <cell r="EF61"/>
          <cell r="EG61"/>
          <cell r="EH61"/>
          <cell r="EI61"/>
          <cell r="EJ61" t="str">
            <v>ACTIVO</v>
          </cell>
          <cell r="EK61" t="str">
            <v>B</v>
          </cell>
          <cell r="EL61">
            <v>60000</v>
          </cell>
          <cell r="EM61">
            <v>37142.478260869568</v>
          </cell>
          <cell r="EN61">
            <v>6190.413043478261</v>
          </cell>
          <cell r="EO61">
            <v>13578.579562376372</v>
          </cell>
          <cell r="EP61">
            <v>0</v>
          </cell>
          <cell r="EQ61">
            <v>0</v>
          </cell>
          <cell r="ER61">
            <v>0</v>
          </cell>
          <cell r="ES61">
            <v>37142.478260869568</v>
          </cell>
        </row>
        <row r="62">
          <cell r="F62">
            <v>405740</v>
          </cell>
          <cell r="G62" t="str">
            <v>DISCO CARTON BLANCO 19 CM PRAGGA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K62"/>
          <cell r="DL62"/>
          <cell r="DM62"/>
          <cell r="DN62"/>
          <cell r="DO62"/>
          <cell r="DP62"/>
          <cell r="DQ62"/>
          <cell r="DR62"/>
          <cell r="DS62"/>
          <cell r="DT62"/>
          <cell r="DU62"/>
          <cell r="DV62"/>
          <cell r="DW62">
            <v>36000</v>
          </cell>
          <cell r="DX62">
            <v>32000</v>
          </cell>
          <cell r="DY62">
            <v>42000</v>
          </cell>
          <cell r="DZ62"/>
          <cell r="EA62">
            <v>15800</v>
          </cell>
          <cell r="EB62">
            <v>20800</v>
          </cell>
          <cell r="EC62">
            <v>34400</v>
          </cell>
          <cell r="ED62"/>
          <cell r="EE62">
            <v>22800</v>
          </cell>
          <cell r="EF62">
            <v>60400</v>
          </cell>
          <cell r="EG62">
            <v>81900</v>
          </cell>
          <cell r="EH62">
            <v>28800</v>
          </cell>
          <cell r="EI62">
            <v>84600</v>
          </cell>
          <cell r="EJ62" t="str">
            <v>ACTIVO</v>
          </cell>
          <cell r="EK62" t="str">
            <v/>
          </cell>
          <cell r="EL62" t="str">
            <v/>
          </cell>
          <cell r="EM62">
            <v>38455.555555555555</v>
          </cell>
          <cell r="EN62">
            <v>6409.2592592592591</v>
          </cell>
          <cell r="EO62">
            <v>0</v>
          </cell>
          <cell r="EP62">
            <v>50300</v>
          </cell>
          <cell r="EQ62">
            <v>1252470</v>
          </cell>
          <cell r="ER62">
            <v>1.3080034672060099</v>
          </cell>
          <cell r="ES62">
            <v>38455.555555555555</v>
          </cell>
        </row>
        <row r="63">
          <cell r="F63">
            <v>405438</v>
          </cell>
          <cell r="G63" t="str">
            <v>CARTULINA BLANCA EMPLACADA DIAMTERO 19CM ALIMPACK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>
            <v>24000</v>
          </cell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K63"/>
          <cell r="DL63"/>
          <cell r="DM63"/>
          <cell r="DN63"/>
          <cell r="DO63"/>
          <cell r="DP63"/>
          <cell r="DQ63"/>
          <cell r="DR63"/>
          <cell r="DS63"/>
          <cell r="DT63"/>
          <cell r="DU63"/>
          <cell r="DV63"/>
          <cell r="DW63"/>
          <cell r="DX63"/>
          <cell r="DY63"/>
          <cell r="DZ63"/>
          <cell r="EA63"/>
          <cell r="EB63"/>
          <cell r="EC63"/>
          <cell r="ED63"/>
          <cell r="EE63"/>
          <cell r="EF63"/>
          <cell r="EG63"/>
          <cell r="EH63"/>
          <cell r="EI63"/>
          <cell r="EJ63" t="str">
            <v>SIN USO</v>
          </cell>
          <cell r="EK63" t="str">
            <v>C</v>
          </cell>
          <cell r="EL63" t="str">
            <v/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</row>
        <row r="64">
          <cell r="F64">
            <v>405587</v>
          </cell>
          <cell r="G64" t="str">
            <v>DISCO DE PAPEL KRAFT 100GR 21CM PAPELERA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>
            <v>100000</v>
          </cell>
          <cell r="CU64">
            <v>100000</v>
          </cell>
          <cell r="CV64">
            <v>100000</v>
          </cell>
          <cell r="CW64">
            <v>100000</v>
          </cell>
          <cell r="CX64">
            <v>100000</v>
          </cell>
          <cell r="CY64">
            <v>100000</v>
          </cell>
          <cell r="CZ64"/>
          <cell r="DA64"/>
          <cell r="DB64"/>
          <cell r="DC64"/>
          <cell r="DD64">
            <v>150000</v>
          </cell>
          <cell r="DE64"/>
          <cell r="DF64">
            <v>119000</v>
          </cell>
          <cell r="DG64">
            <v>31000</v>
          </cell>
          <cell r="DH64"/>
          <cell r="DI64"/>
          <cell r="DJ64"/>
          <cell r="DK64">
            <v>100000</v>
          </cell>
          <cell r="DL64">
            <v>100000</v>
          </cell>
          <cell r="DM64">
            <v>100000</v>
          </cell>
          <cell r="DN64">
            <v>100000</v>
          </cell>
          <cell r="DO64">
            <v>100000</v>
          </cell>
          <cell r="DP64"/>
          <cell r="DQ64"/>
          <cell r="DR64"/>
          <cell r="DS64">
            <v>100000</v>
          </cell>
          <cell r="DT64"/>
          <cell r="DU64"/>
          <cell r="DV64">
            <v>100000</v>
          </cell>
          <cell r="DW64"/>
          <cell r="DX64">
            <v>200000</v>
          </cell>
          <cell r="DY64"/>
          <cell r="DZ64">
            <v>100000</v>
          </cell>
          <cell r="EA64">
            <v>29000</v>
          </cell>
          <cell r="EB64">
            <v>71000</v>
          </cell>
          <cell r="EC64">
            <v>100000</v>
          </cell>
          <cell r="ED64">
            <v>100000</v>
          </cell>
          <cell r="EE64">
            <v>100000</v>
          </cell>
          <cell r="EF64">
            <v>100000</v>
          </cell>
          <cell r="EG64"/>
          <cell r="EH64"/>
          <cell r="EI64"/>
          <cell r="EJ64" t="str">
            <v>ACTIVO</v>
          </cell>
          <cell r="EK64" t="str">
            <v>C</v>
          </cell>
          <cell r="EL64" t="str">
            <v/>
          </cell>
          <cell r="EM64">
            <v>100000</v>
          </cell>
          <cell r="EN64">
            <v>16666.666666666668</v>
          </cell>
          <cell r="EO64">
            <v>30866.648668101305</v>
          </cell>
          <cell r="EP64">
            <v>0</v>
          </cell>
          <cell r="EQ64">
            <v>0</v>
          </cell>
          <cell r="ER64">
            <v>0</v>
          </cell>
          <cell r="ES64">
            <v>116666.66666666667</v>
          </cell>
        </row>
        <row r="65">
          <cell r="F65">
            <v>405583</v>
          </cell>
          <cell r="G65" t="str">
            <v>DISCO MICROCORRUGADO EMPLACADO 19 CM DIÁMETRO ASTRA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>
            <v>32300</v>
          </cell>
          <cell r="CS65"/>
          <cell r="CT65"/>
          <cell r="CU65">
            <v>9000</v>
          </cell>
          <cell r="CV65">
            <v>15960</v>
          </cell>
          <cell r="CW65">
            <v>15000</v>
          </cell>
          <cell r="CX65">
            <v>19400</v>
          </cell>
          <cell r="CY65">
            <v>9000</v>
          </cell>
          <cell r="CZ65">
            <v>20300</v>
          </cell>
          <cell r="DA65">
            <v>3000</v>
          </cell>
          <cell r="DB65">
            <v>21600</v>
          </cell>
          <cell r="DC65">
            <v>8900</v>
          </cell>
          <cell r="DD65">
            <v>9500</v>
          </cell>
          <cell r="DE65">
            <v>24000</v>
          </cell>
          <cell r="DF65">
            <v>12879</v>
          </cell>
          <cell r="DG65"/>
          <cell r="DH65">
            <v>4000</v>
          </cell>
          <cell r="DI65">
            <v>4500</v>
          </cell>
          <cell r="DJ65">
            <v>8320</v>
          </cell>
          <cell r="DK65">
            <v>15000</v>
          </cell>
          <cell r="DL65">
            <v>5750</v>
          </cell>
          <cell r="DM65">
            <v>16500</v>
          </cell>
          <cell r="DN65">
            <v>18180</v>
          </cell>
          <cell r="DO65">
            <v>11800</v>
          </cell>
          <cell r="DP65">
            <v>12450</v>
          </cell>
          <cell r="DQ65">
            <v>13050</v>
          </cell>
          <cell r="DR65">
            <v>6950</v>
          </cell>
          <cell r="DS65">
            <v>5200</v>
          </cell>
          <cell r="DT65">
            <v>4550</v>
          </cell>
          <cell r="DU65"/>
          <cell r="DV65"/>
          <cell r="DW65">
            <v>8500</v>
          </cell>
          <cell r="DX65">
            <v>4400</v>
          </cell>
          <cell r="DY65">
            <v>4000</v>
          </cell>
          <cell r="DZ65">
            <v>7000</v>
          </cell>
          <cell r="EA65">
            <v>800</v>
          </cell>
          <cell r="EB65"/>
          <cell r="EC65">
            <v>12100</v>
          </cell>
          <cell r="ED65">
            <v>6000</v>
          </cell>
          <cell r="EE65"/>
          <cell r="EF65">
            <v>23600</v>
          </cell>
          <cell r="EG65">
            <v>40200</v>
          </cell>
          <cell r="EH65">
            <v>15200</v>
          </cell>
          <cell r="EI65">
            <v>8000</v>
          </cell>
          <cell r="EJ65" t="str">
            <v>ACTIVO</v>
          </cell>
          <cell r="EK65" t="str">
            <v>C</v>
          </cell>
          <cell r="EL65" t="str">
            <v/>
          </cell>
          <cell r="EM65">
            <v>10897.619047619048</v>
          </cell>
          <cell r="EN65">
            <v>1816.2698412698412</v>
          </cell>
          <cell r="EO65">
            <v>8224.1561419547943</v>
          </cell>
          <cell r="EP65">
            <v>151950</v>
          </cell>
          <cell r="EQ65">
            <v>7445550</v>
          </cell>
          <cell r="ER65">
            <v>13.943412715752677</v>
          </cell>
          <cell r="ES65">
            <v>27244.047619047618</v>
          </cell>
        </row>
        <row r="66">
          <cell r="F66">
            <v>107292</v>
          </cell>
          <cell r="G66" t="str">
            <v>DISCO CARTÓN CORRUGADO 19 CM EHLAN</v>
          </cell>
          <cell r="H66">
            <v>950</v>
          </cell>
          <cell r="I66"/>
          <cell r="J66">
            <v>21000</v>
          </cell>
          <cell r="K66">
            <v>22000</v>
          </cell>
          <cell r="L66">
            <v>29250</v>
          </cell>
          <cell r="M66">
            <v>64500</v>
          </cell>
          <cell r="N66">
            <v>43500</v>
          </cell>
          <cell r="O66">
            <v>21000</v>
          </cell>
          <cell r="P66">
            <v>2650</v>
          </cell>
          <cell r="Q66">
            <v>14750</v>
          </cell>
          <cell r="R66">
            <v>21000</v>
          </cell>
          <cell r="S66">
            <v>22500</v>
          </cell>
          <cell r="T66">
            <v>1800</v>
          </cell>
          <cell r="U66">
            <v>17700</v>
          </cell>
          <cell r="V66">
            <v>1450</v>
          </cell>
          <cell r="W66">
            <v>4700</v>
          </cell>
          <cell r="X66">
            <v>24750</v>
          </cell>
          <cell r="Y66">
            <v>22350</v>
          </cell>
          <cell r="Z66">
            <v>9600</v>
          </cell>
          <cell r="AA66">
            <v>1500</v>
          </cell>
          <cell r="AB66">
            <v>1750</v>
          </cell>
          <cell r="AC66">
            <v>1500</v>
          </cell>
          <cell r="AD66">
            <v>9600</v>
          </cell>
          <cell r="AE66">
            <v>3800</v>
          </cell>
          <cell r="AF66"/>
          <cell r="AG66"/>
          <cell r="AH66"/>
          <cell r="AI66"/>
          <cell r="AJ66"/>
          <cell r="AK66"/>
          <cell r="AL66"/>
          <cell r="AM66">
            <v>24000</v>
          </cell>
          <cell r="AN66"/>
          <cell r="AO66">
            <v>11250</v>
          </cell>
          <cell r="AP66"/>
          <cell r="AQ66"/>
          <cell r="AR66"/>
          <cell r="AS66"/>
          <cell r="AT66"/>
          <cell r="AU66">
            <v>1470</v>
          </cell>
          <cell r="AV66">
            <v>5970</v>
          </cell>
          <cell r="AW66"/>
          <cell r="AX66"/>
          <cell r="AY66">
            <v>10490</v>
          </cell>
          <cell r="AZ66"/>
          <cell r="BA66"/>
          <cell r="BB66"/>
          <cell r="BC66">
            <v>3700</v>
          </cell>
          <cell r="BD66">
            <v>24649</v>
          </cell>
          <cell r="BE66">
            <v>22410</v>
          </cell>
          <cell r="BF66">
            <v>39400</v>
          </cell>
          <cell r="BG66">
            <v>6700</v>
          </cell>
          <cell r="BH66">
            <v>1500</v>
          </cell>
          <cell r="BI66">
            <v>25240</v>
          </cell>
          <cell r="BJ66">
            <v>0</v>
          </cell>
          <cell r="BK66">
            <v>7200</v>
          </cell>
          <cell r="BL66">
            <v>11100</v>
          </cell>
          <cell r="BM66">
            <v>45160</v>
          </cell>
          <cell r="BN66">
            <v>11660</v>
          </cell>
          <cell r="BO66">
            <v>28820</v>
          </cell>
          <cell r="BP66">
            <v>3900</v>
          </cell>
          <cell r="BQ66">
            <v>8260</v>
          </cell>
          <cell r="BR66">
            <v>7720</v>
          </cell>
          <cell r="BS66"/>
          <cell r="BT66">
            <v>4640</v>
          </cell>
          <cell r="BU66">
            <v>24200</v>
          </cell>
          <cell r="BV66">
            <v>1400</v>
          </cell>
          <cell r="BW66">
            <v>31000</v>
          </cell>
          <cell r="BX66">
            <v>41200</v>
          </cell>
          <cell r="BY66">
            <v>15600</v>
          </cell>
          <cell r="BZ66">
            <v>14000</v>
          </cell>
          <cell r="CA66">
            <v>14550</v>
          </cell>
          <cell r="CB66">
            <v>45250</v>
          </cell>
          <cell r="CC66">
            <v>22700</v>
          </cell>
          <cell r="CD66">
            <v>13800</v>
          </cell>
          <cell r="CE66">
            <v>900</v>
          </cell>
          <cell r="CF66">
            <v>10800</v>
          </cell>
          <cell r="CG66">
            <v>22700</v>
          </cell>
          <cell r="CH66">
            <v>10100</v>
          </cell>
          <cell r="CI66">
            <v>11950</v>
          </cell>
          <cell r="CJ66">
            <v>11000</v>
          </cell>
          <cell r="CK66">
            <v>14500</v>
          </cell>
          <cell r="CL66">
            <v>32000</v>
          </cell>
          <cell r="CM66">
            <v>44200</v>
          </cell>
          <cell r="CN66">
            <v>25650</v>
          </cell>
          <cell r="CO66">
            <v>15400</v>
          </cell>
          <cell r="CP66">
            <v>18000</v>
          </cell>
          <cell r="CQ66">
            <v>41750</v>
          </cell>
          <cell r="CR66">
            <v>5450</v>
          </cell>
          <cell r="CS66">
            <v>6900</v>
          </cell>
          <cell r="CT66">
            <v>9000</v>
          </cell>
          <cell r="CU66">
            <v>25500</v>
          </cell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>
            <v>400</v>
          </cell>
          <cell r="DK66"/>
          <cell r="DL66">
            <v>10000</v>
          </cell>
          <cell r="DM66">
            <v>1000</v>
          </cell>
          <cell r="DN66"/>
          <cell r="DO66">
            <v>2000</v>
          </cell>
          <cell r="DP66">
            <v>15000</v>
          </cell>
          <cell r="DQ66">
            <v>950</v>
          </cell>
          <cell r="DR66">
            <v>10650</v>
          </cell>
          <cell r="DS66">
            <v>4500</v>
          </cell>
          <cell r="DT66">
            <v>20450</v>
          </cell>
          <cell r="DU66">
            <v>24000</v>
          </cell>
          <cell r="DV66">
            <v>39150</v>
          </cell>
          <cell r="DW66">
            <v>4000</v>
          </cell>
          <cell r="DX66">
            <v>65600</v>
          </cell>
          <cell r="DY66">
            <v>18750</v>
          </cell>
          <cell r="DZ66">
            <v>62000</v>
          </cell>
          <cell r="EA66">
            <v>1000</v>
          </cell>
          <cell r="EB66">
            <v>13150</v>
          </cell>
          <cell r="EC66">
            <v>7800</v>
          </cell>
          <cell r="ED66">
            <v>9350</v>
          </cell>
          <cell r="EE66">
            <v>12600</v>
          </cell>
          <cell r="EF66">
            <v>5400</v>
          </cell>
          <cell r="EG66"/>
          <cell r="EH66"/>
          <cell r="EI66"/>
          <cell r="EJ66" t="str">
            <v>ACTIVO</v>
          </cell>
          <cell r="EK66" t="str">
            <v>B</v>
          </cell>
          <cell r="EL66">
            <v>12000</v>
          </cell>
          <cell r="EM66">
            <v>15607.142857142857</v>
          </cell>
          <cell r="EN66">
            <v>2601.1904761904761</v>
          </cell>
          <cell r="EO66">
            <v>13150.512995232801</v>
          </cell>
          <cell r="EP66">
            <v>0</v>
          </cell>
          <cell r="EQ66">
            <v>0</v>
          </cell>
          <cell r="ER66">
            <v>0</v>
          </cell>
          <cell r="ES66">
            <v>39017.857142857145</v>
          </cell>
        </row>
        <row r="67">
          <cell r="F67">
            <v>107318</v>
          </cell>
          <cell r="G67" t="str">
            <v>DISCO CARTÓN CAFE CORRUGADO 19 CM ASTRA</v>
          </cell>
          <cell r="H67">
            <v>3700</v>
          </cell>
          <cell r="I67"/>
          <cell r="J67">
            <v>8100</v>
          </cell>
          <cell r="K67"/>
          <cell r="L67"/>
          <cell r="M67"/>
          <cell r="N67"/>
          <cell r="O67"/>
          <cell r="P67"/>
          <cell r="Q67">
            <v>1500</v>
          </cell>
          <cell r="R67">
            <v>1700</v>
          </cell>
          <cell r="S67"/>
          <cell r="T67"/>
          <cell r="U67">
            <v>6050</v>
          </cell>
          <cell r="V67">
            <v>22700</v>
          </cell>
          <cell r="W67">
            <v>21000</v>
          </cell>
          <cell r="X67">
            <v>17550</v>
          </cell>
          <cell r="Y67"/>
          <cell r="Z67"/>
          <cell r="AA67">
            <v>12000</v>
          </cell>
          <cell r="AB67">
            <v>3000</v>
          </cell>
          <cell r="AC67">
            <v>38250</v>
          </cell>
          <cell r="AD67">
            <v>19200</v>
          </cell>
          <cell r="AE67">
            <v>13150</v>
          </cell>
          <cell r="AF67">
            <v>18450</v>
          </cell>
          <cell r="AG67">
            <v>28150</v>
          </cell>
          <cell r="AH67">
            <v>27900</v>
          </cell>
          <cell r="AI67">
            <v>17250</v>
          </cell>
          <cell r="AJ67">
            <v>24716</v>
          </cell>
          <cell r="AK67">
            <v>23600</v>
          </cell>
          <cell r="AL67">
            <v>10700</v>
          </cell>
          <cell r="AM67">
            <v>24000</v>
          </cell>
          <cell r="AN67">
            <v>12000</v>
          </cell>
          <cell r="AO67">
            <v>12750</v>
          </cell>
          <cell r="AP67">
            <v>24200</v>
          </cell>
          <cell r="AQ67">
            <v>28900</v>
          </cell>
          <cell r="AR67">
            <v>37600</v>
          </cell>
          <cell r="AS67">
            <v>13500</v>
          </cell>
          <cell r="AT67">
            <v>29670</v>
          </cell>
          <cell r="AU67">
            <v>19440</v>
          </cell>
          <cell r="AV67">
            <v>44080</v>
          </cell>
          <cell r="AW67">
            <v>12000</v>
          </cell>
          <cell r="AX67">
            <v>23920</v>
          </cell>
          <cell r="AY67">
            <v>36000</v>
          </cell>
          <cell r="AZ67">
            <v>22290</v>
          </cell>
          <cell r="BA67">
            <v>23890</v>
          </cell>
          <cell r="BB67">
            <v>61970</v>
          </cell>
          <cell r="BC67">
            <v>32540</v>
          </cell>
          <cell r="BD67">
            <v>11301</v>
          </cell>
          <cell r="BE67">
            <v>800</v>
          </cell>
          <cell r="BF67">
            <v>24000</v>
          </cell>
          <cell r="BG67">
            <v>17290</v>
          </cell>
          <cell r="BH67">
            <v>1800</v>
          </cell>
          <cell r="BI67">
            <v>25860</v>
          </cell>
          <cell r="BJ67">
            <v>20250</v>
          </cell>
          <cell r="BK67">
            <v>25900</v>
          </cell>
          <cell r="BL67">
            <v>3050</v>
          </cell>
          <cell r="BM67"/>
          <cell r="BN67">
            <v>17315</v>
          </cell>
          <cell r="BO67"/>
          <cell r="BP67">
            <v>25700</v>
          </cell>
          <cell r="BQ67">
            <v>11500</v>
          </cell>
          <cell r="BR67">
            <v>500</v>
          </cell>
          <cell r="BS67">
            <v>18000</v>
          </cell>
          <cell r="BT67">
            <v>12024</v>
          </cell>
          <cell r="BU67">
            <v>19800</v>
          </cell>
          <cell r="BV67">
            <v>25200</v>
          </cell>
          <cell r="BW67"/>
          <cell r="BX67">
            <v>14100</v>
          </cell>
          <cell r="BY67">
            <v>9450</v>
          </cell>
          <cell r="BZ67"/>
          <cell r="CA67"/>
          <cell r="CB67"/>
          <cell r="CC67">
            <v>13300</v>
          </cell>
          <cell r="CD67">
            <v>17000</v>
          </cell>
          <cell r="CE67">
            <v>8480</v>
          </cell>
          <cell r="CF67"/>
          <cell r="CG67">
            <v>45000</v>
          </cell>
          <cell r="CH67">
            <v>1800</v>
          </cell>
          <cell r="CI67">
            <v>15000</v>
          </cell>
          <cell r="CJ67">
            <v>1800</v>
          </cell>
          <cell r="CK67">
            <v>18900</v>
          </cell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K67"/>
          <cell r="DL67"/>
          <cell r="DM67"/>
          <cell r="DN67"/>
          <cell r="DO67"/>
          <cell r="DP67"/>
          <cell r="DQ67"/>
          <cell r="DR67"/>
          <cell r="DS67"/>
          <cell r="DT67"/>
          <cell r="DU67"/>
          <cell r="DV67"/>
          <cell r="DW67"/>
          <cell r="DX67"/>
          <cell r="DY67"/>
          <cell r="DZ67"/>
          <cell r="EA67"/>
          <cell r="EB67"/>
          <cell r="EC67"/>
          <cell r="ED67"/>
          <cell r="EE67"/>
          <cell r="EF67"/>
          <cell r="EG67"/>
          <cell r="EH67"/>
          <cell r="EI67"/>
          <cell r="EJ67" t="str">
            <v>SIN USO</v>
          </cell>
          <cell r="EK67" t="str">
            <v>C</v>
          </cell>
          <cell r="EL67">
            <v>12000</v>
          </cell>
          <cell r="EM67">
            <v>0</v>
          </cell>
          <cell r="EN67">
            <v>0</v>
          </cell>
          <cell r="EO67">
            <v>10469.380961234645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</row>
        <row r="68">
          <cell r="F68">
            <v>405502</v>
          </cell>
          <cell r="G68" t="str">
            <v>DISCO MICROCORRUGADO 19CM ASTRA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>
            <v>500</v>
          </cell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K68"/>
          <cell r="DL68"/>
          <cell r="DM68"/>
          <cell r="DN68"/>
          <cell r="DO68"/>
          <cell r="DP68"/>
          <cell r="DQ68"/>
          <cell r="DR68"/>
          <cell r="DS68"/>
          <cell r="DT68"/>
          <cell r="DU68"/>
          <cell r="DV68"/>
          <cell r="DW68"/>
          <cell r="DX68"/>
          <cell r="DY68"/>
          <cell r="DZ68"/>
          <cell r="EA68"/>
          <cell r="EB68"/>
          <cell r="EC68"/>
          <cell r="ED68"/>
          <cell r="EE68"/>
          <cell r="EF68"/>
          <cell r="EG68"/>
          <cell r="EH68"/>
          <cell r="EI68"/>
          <cell r="EJ68" t="str">
            <v>SIN USO</v>
          </cell>
          <cell r="EK68" t="str">
            <v>C</v>
          </cell>
          <cell r="EL68" t="str">
            <v/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</row>
        <row r="69">
          <cell r="F69">
            <v>107357</v>
          </cell>
          <cell r="G69" t="str">
            <v>DISCO CARTÓN BLANCO 19 FPS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>
            <v>25000</v>
          </cell>
          <cell r="AG69">
            <v>70500</v>
          </cell>
          <cell r="AH69"/>
          <cell r="AI69"/>
          <cell r="AJ69"/>
          <cell r="AK69"/>
          <cell r="AL69"/>
          <cell r="AM69"/>
          <cell r="AN69"/>
          <cell r="AO69"/>
          <cell r="AP69">
            <v>10000</v>
          </cell>
          <cell r="AQ69"/>
          <cell r="AR69"/>
          <cell r="AS69"/>
          <cell r="AT69"/>
          <cell r="AU69"/>
          <cell r="AV69">
            <v>10000</v>
          </cell>
          <cell r="AW69"/>
          <cell r="AX69"/>
          <cell r="AY69"/>
          <cell r="AZ69"/>
          <cell r="BA69"/>
          <cell r="BB69"/>
          <cell r="BC69">
            <v>10000</v>
          </cell>
          <cell r="BD69"/>
          <cell r="BE69"/>
          <cell r="BF69"/>
          <cell r="BG69"/>
          <cell r="BH69"/>
          <cell r="BI69">
            <v>10000</v>
          </cell>
          <cell r="BJ69"/>
          <cell r="BK69"/>
          <cell r="BL69"/>
          <cell r="BM69"/>
          <cell r="BN69"/>
          <cell r="BO69">
            <v>10000</v>
          </cell>
          <cell r="BP69"/>
          <cell r="BQ69"/>
          <cell r="BR69"/>
          <cell r="BS69"/>
          <cell r="BT69">
            <v>10000</v>
          </cell>
          <cell r="BU69"/>
          <cell r="BV69"/>
          <cell r="BW69"/>
          <cell r="BX69"/>
          <cell r="BY69"/>
          <cell r="BZ69"/>
          <cell r="CA69"/>
          <cell r="CB69">
            <v>10000</v>
          </cell>
          <cell r="CC69"/>
          <cell r="CD69"/>
          <cell r="CE69"/>
          <cell r="CF69"/>
          <cell r="CG69">
            <v>6500</v>
          </cell>
          <cell r="CH69"/>
          <cell r="CI69"/>
          <cell r="CJ69"/>
          <cell r="CK69"/>
          <cell r="CL69"/>
          <cell r="CM69">
            <v>5000</v>
          </cell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K69"/>
          <cell r="DL69"/>
          <cell r="DM69"/>
          <cell r="DN69"/>
          <cell r="DO69"/>
          <cell r="DP69"/>
          <cell r="DQ69"/>
          <cell r="DR69"/>
          <cell r="DS69"/>
          <cell r="DT69"/>
          <cell r="DU69"/>
          <cell r="DV69"/>
          <cell r="DW69"/>
          <cell r="DX69"/>
          <cell r="DY69"/>
          <cell r="DZ69"/>
          <cell r="EA69"/>
          <cell r="EB69"/>
          <cell r="EC69"/>
          <cell r="ED69"/>
          <cell r="EE69"/>
          <cell r="EF69"/>
          <cell r="EG69"/>
          <cell r="EH69"/>
          <cell r="EI69"/>
          <cell r="EJ69" t="str">
            <v>SIN USO</v>
          </cell>
          <cell r="EK69" t="str">
            <v>C</v>
          </cell>
          <cell r="EL69" t="str">
            <v/>
          </cell>
          <cell r="EM69">
            <v>0</v>
          </cell>
          <cell r="EN69">
            <v>0</v>
          </cell>
          <cell r="EO69">
            <v>2245.3655975512456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</row>
        <row r="70">
          <cell r="F70">
            <v>403271</v>
          </cell>
          <cell r="G70" t="str">
            <v>DISCO CARTÓN CORRUGADO 15,5 CM EHLAN</v>
          </cell>
          <cell r="H70"/>
          <cell r="I70"/>
          <cell r="J70"/>
          <cell r="K70">
            <v>21716</v>
          </cell>
          <cell r="L70"/>
          <cell r="M70"/>
          <cell r="N70"/>
          <cell r="O70"/>
          <cell r="P70">
            <v>12100</v>
          </cell>
          <cell r="Q70"/>
          <cell r="R70"/>
          <cell r="S70"/>
          <cell r="T70"/>
          <cell r="U70"/>
          <cell r="V70"/>
          <cell r="W70">
            <v>21000</v>
          </cell>
          <cell r="X70"/>
          <cell r="Y70"/>
          <cell r="Z70">
            <v>21500</v>
          </cell>
          <cell r="AA70"/>
          <cell r="AB70"/>
          <cell r="AC70"/>
          <cell r="AD70">
            <v>750</v>
          </cell>
          <cell r="AE70"/>
          <cell r="AF70"/>
          <cell r="AG70"/>
          <cell r="AH70">
            <v>47850</v>
          </cell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>
            <v>13200</v>
          </cell>
          <cell r="AU70">
            <v>5060</v>
          </cell>
          <cell r="AV70">
            <v>200</v>
          </cell>
          <cell r="AW70">
            <v>6840</v>
          </cell>
          <cell r="AX70"/>
          <cell r="AY70">
            <v>2640</v>
          </cell>
          <cell r="AZ70">
            <v>6210</v>
          </cell>
          <cell r="BA70">
            <v>8250</v>
          </cell>
          <cell r="BB70">
            <v>6560</v>
          </cell>
          <cell r="BC70">
            <v>60150</v>
          </cell>
          <cell r="BD70">
            <v>9250</v>
          </cell>
          <cell r="BE70">
            <v>8800</v>
          </cell>
          <cell r="BF70">
            <v>1900</v>
          </cell>
          <cell r="BG70">
            <v>7400</v>
          </cell>
          <cell r="BH70">
            <v>3620</v>
          </cell>
          <cell r="BI70">
            <v>1600</v>
          </cell>
          <cell r="BJ70">
            <v>7500</v>
          </cell>
          <cell r="BK70">
            <v>14870</v>
          </cell>
          <cell r="BL70">
            <v>5200</v>
          </cell>
          <cell r="BM70">
            <v>7000</v>
          </cell>
          <cell r="BN70">
            <v>4700</v>
          </cell>
          <cell r="BO70">
            <v>6720</v>
          </cell>
          <cell r="BP70">
            <v>600</v>
          </cell>
          <cell r="BQ70">
            <v>1750</v>
          </cell>
          <cell r="BR70">
            <v>11100</v>
          </cell>
          <cell r="BS70">
            <v>15150</v>
          </cell>
          <cell r="BT70">
            <v>15200</v>
          </cell>
          <cell r="BU70">
            <v>4650</v>
          </cell>
          <cell r="BV70">
            <v>6600</v>
          </cell>
          <cell r="BW70">
            <v>3450</v>
          </cell>
          <cell r="BX70">
            <v>23250</v>
          </cell>
          <cell r="BY70">
            <v>4100</v>
          </cell>
          <cell r="BZ70">
            <v>1600</v>
          </cell>
          <cell r="CA70">
            <v>7200</v>
          </cell>
          <cell r="CB70">
            <v>7200</v>
          </cell>
          <cell r="CC70">
            <v>36800</v>
          </cell>
          <cell r="CD70">
            <v>8100</v>
          </cell>
          <cell r="CE70">
            <v>10050</v>
          </cell>
          <cell r="CF70">
            <v>18250</v>
          </cell>
          <cell r="CG70">
            <v>5750</v>
          </cell>
          <cell r="CH70">
            <v>4200</v>
          </cell>
          <cell r="CI70">
            <v>6800</v>
          </cell>
          <cell r="CJ70">
            <v>5510</v>
          </cell>
          <cell r="CK70">
            <v>4400</v>
          </cell>
          <cell r="CL70">
            <v>1700</v>
          </cell>
          <cell r="CM70">
            <v>12600</v>
          </cell>
          <cell r="CN70">
            <v>16000</v>
          </cell>
          <cell r="CO70">
            <v>6650</v>
          </cell>
          <cell r="CP70">
            <v>20500</v>
          </cell>
          <cell r="CQ70">
            <v>5200</v>
          </cell>
          <cell r="CR70">
            <v>7750</v>
          </cell>
          <cell r="CS70">
            <v>4600</v>
          </cell>
          <cell r="CT70">
            <v>10000</v>
          </cell>
          <cell r="CU70">
            <v>7900</v>
          </cell>
          <cell r="CV70">
            <v>2000</v>
          </cell>
          <cell r="CW70">
            <v>4300</v>
          </cell>
          <cell r="CX70">
            <v>11200</v>
          </cell>
          <cell r="CY70">
            <v>5100</v>
          </cell>
          <cell r="CZ70">
            <v>4300</v>
          </cell>
          <cell r="DA70">
            <v>4100</v>
          </cell>
          <cell r="DB70"/>
          <cell r="DC70">
            <v>2000</v>
          </cell>
          <cell r="DD70">
            <v>4000</v>
          </cell>
          <cell r="DE70"/>
          <cell r="DF70">
            <v>4000</v>
          </cell>
          <cell r="DG70">
            <v>8000</v>
          </cell>
          <cell r="DH70"/>
          <cell r="DI70"/>
          <cell r="DJ70">
            <v>4000</v>
          </cell>
          <cell r="DK70"/>
          <cell r="DL70">
            <v>2300</v>
          </cell>
          <cell r="DM70">
            <v>1800</v>
          </cell>
          <cell r="DN70">
            <v>2000</v>
          </cell>
          <cell r="DO70"/>
          <cell r="DP70">
            <v>24750</v>
          </cell>
          <cell r="DQ70"/>
          <cell r="DR70">
            <v>25780</v>
          </cell>
          <cell r="DS70">
            <v>4300</v>
          </cell>
          <cell r="DT70">
            <v>9803</v>
          </cell>
          <cell r="DU70"/>
          <cell r="DV70"/>
          <cell r="DW70">
            <v>27600</v>
          </cell>
          <cell r="DX70">
            <v>2550</v>
          </cell>
          <cell r="DY70"/>
          <cell r="DZ70">
            <v>8000</v>
          </cell>
          <cell r="EA70"/>
          <cell r="EB70">
            <v>200</v>
          </cell>
          <cell r="EC70"/>
          <cell r="ED70">
            <v>91</v>
          </cell>
          <cell r="EE70">
            <v>4509</v>
          </cell>
          <cell r="EF70">
            <v>1600</v>
          </cell>
          <cell r="EG70"/>
          <cell r="EH70"/>
          <cell r="EI70"/>
          <cell r="EJ70" t="str">
            <v>ACTIVO</v>
          </cell>
          <cell r="EK70" t="str">
            <v>C</v>
          </cell>
          <cell r="EL70">
            <v>16800</v>
          </cell>
          <cell r="EM70">
            <v>7952.2</v>
          </cell>
          <cell r="EN70">
            <v>1325.3666666666666</v>
          </cell>
          <cell r="EO70">
            <v>6560.8115351684964</v>
          </cell>
          <cell r="EP70">
            <v>0</v>
          </cell>
          <cell r="EQ70">
            <v>0</v>
          </cell>
          <cell r="ER70">
            <v>0</v>
          </cell>
          <cell r="ES70">
            <v>19880.5</v>
          </cell>
        </row>
        <row r="71">
          <cell r="F71">
            <v>403278</v>
          </cell>
          <cell r="G71" t="str">
            <v>DISCO CARTON CAFE CORRUGADO 15,5CM CM ASTRA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>
            <v>28336</v>
          </cell>
          <cell r="AN71"/>
          <cell r="AO71"/>
          <cell r="AP71"/>
          <cell r="AQ71"/>
          <cell r="AR71">
            <v>6530</v>
          </cell>
          <cell r="AS71">
            <v>450</v>
          </cell>
          <cell r="AT71">
            <v>6540</v>
          </cell>
          <cell r="AU71">
            <v>17014</v>
          </cell>
          <cell r="AV71">
            <v>16800</v>
          </cell>
          <cell r="AW71">
            <v>6830</v>
          </cell>
          <cell r="AX71">
            <v>13150</v>
          </cell>
          <cell r="AY71">
            <v>10600</v>
          </cell>
          <cell r="AZ71">
            <v>25700</v>
          </cell>
          <cell r="BA71">
            <v>6000</v>
          </cell>
          <cell r="BB71">
            <v>6760</v>
          </cell>
          <cell r="BC71">
            <v>19400</v>
          </cell>
          <cell r="BD71">
            <v>18900</v>
          </cell>
          <cell r="BE71">
            <v>15650</v>
          </cell>
          <cell r="BF71">
            <v>18900</v>
          </cell>
          <cell r="BG71"/>
          <cell r="BH71"/>
          <cell r="BI71"/>
          <cell r="BJ71"/>
          <cell r="BK71">
            <v>18900</v>
          </cell>
          <cell r="BL71">
            <v>3600</v>
          </cell>
          <cell r="BM71"/>
          <cell r="BN71"/>
          <cell r="BO71">
            <v>800</v>
          </cell>
          <cell r="BP71">
            <v>2000</v>
          </cell>
          <cell r="BQ71"/>
          <cell r="BR71"/>
          <cell r="BS71"/>
          <cell r="BT71"/>
          <cell r="BU71"/>
          <cell r="BV71"/>
          <cell r="BW71"/>
          <cell r="BX71"/>
          <cell r="BY71">
            <v>1600</v>
          </cell>
          <cell r="BZ71">
            <v>1600</v>
          </cell>
          <cell r="CA71">
            <v>4000</v>
          </cell>
          <cell r="CB71"/>
          <cell r="CC71">
            <v>4000</v>
          </cell>
          <cell r="CD71">
            <v>1200</v>
          </cell>
          <cell r="CE71">
            <v>1800</v>
          </cell>
          <cell r="CF71">
            <v>2100</v>
          </cell>
          <cell r="CG71">
            <v>1700</v>
          </cell>
          <cell r="CH71">
            <v>1800</v>
          </cell>
          <cell r="CI71">
            <v>24500</v>
          </cell>
          <cell r="CJ71"/>
          <cell r="CK71">
            <v>1600</v>
          </cell>
          <cell r="CL71">
            <v>19000</v>
          </cell>
          <cell r="CM71">
            <v>30500</v>
          </cell>
          <cell r="CN71">
            <v>22000</v>
          </cell>
          <cell r="CO71">
            <v>13150</v>
          </cell>
          <cell r="CP71"/>
          <cell r="CQ71"/>
          <cell r="CR71"/>
          <cell r="CS71">
            <v>18900</v>
          </cell>
          <cell r="CT71"/>
          <cell r="CU71"/>
          <cell r="CV71">
            <v>9837</v>
          </cell>
          <cell r="CW71">
            <v>22050</v>
          </cell>
          <cell r="CX71">
            <v>23550</v>
          </cell>
          <cell r="CY71"/>
          <cell r="CZ71"/>
          <cell r="DA71">
            <v>100</v>
          </cell>
          <cell r="DB71"/>
          <cell r="DC71">
            <v>350</v>
          </cell>
          <cell r="DD71">
            <v>24000</v>
          </cell>
          <cell r="DE71"/>
          <cell r="DF71"/>
          <cell r="DG71">
            <v>7200</v>
          </cell>
          <cell r="DH71"/>
          <cell r="DI71"/>
          <cell r="DJ71">
            <v>2000</v>
          </cell>
          <cell r="DK71"/>
          <cell r="DL71">
            <v>150</v>
          </cell>
          <cell r="DM71"/>
          <cell r="DN71"/>
          <cell r="DO71">
            <v>400</v>
          </cell>
          <cell r="DP71"/>
          <cell r="DQ71"/>
          <cell r="DR71">
            <v>24000</v>
          </cell>
          <cell r="DS71"/>
          <cell r="DT71"/>
          <cell r="DU71"/>
          <cell r="DV71">
            <v>4400</v>
          </cell>
          <cell r="DW71">
            <v>300</v>
          </cell>
          <cell r="DX71"/>
          <cell r="DY71"/>
          <cell r="DZ71"/>
          <cell r="EA71"/>
          <cell r="EB71"/>
          <cell r="EC71"/>
          <cell r="ED71"/>
          <cell r="EE71">
            <v>3091</v>
          </cell>
          <cell r="EF71"/>
          <cell r="EG71"/>
          <cell r="EH71"/>
          <cell r="EI71"/>
          <cell r="EJ71" t="str">
            <v>ACTIVO</v>
          </cell>
          <cell r="EK71" t="str">
            <v>C</v>
          </cell>
          <cell r="EL71">
            <v>16800</v>
          </cell>
          <cell r="EM71">
            <v>4905.8571428571431</v>
          </cell>
          <cell r="EN71">
            <v>817.64285714285722</v>
          </cell>
          <cell r="EO71">
            <v>9926.0314751744481</v>
          </cell>
          <cell r="EP71">
            <v>30509</v>
          </cell>
          <cell r="EQ71">
            <v>823743</v>
          </cell>
          <cell r="ER71">
            <v>6.2188928685827429</v>
          </cell>
          <cell r="ES71">
            <v>12264.642857142859</v>
          </cell>
        </row>
        <row r="72">
          <cell r="F72">
            <v>405582</v>
          </cell>
          <cell r="G72" t="str">
            <v>DISCO MICROCORRUGADO EMPLACADO 15,5 CM DIÁMETRO ASTRA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>
            <v>22400</v>
          </cell>
          <cell r="DG72"/>
          <cell r="DH72">
            <v>22400</v>
          </cell>
          <cell r="DI72"/>
          <cell r="DJ72">
            <v>600</v>
          </cell>
          <cell r="DK72"/>
          <cell r="DL72">
            <v>4000</v>
          </cell>
          <cell r="DM72">
            <v>2900</v>
          </cell>
          <cell r="DN72">
            <v>2000</v>
          </cell>
          <cell r="DO72">
            <v>8000</v>
          </cell>
          <cell r="DP72">
            <v>8400</v>
          </cell>
          <cell r="DQ72">
            <v>6000</v>
          </cell>
          <cell r="DR72">
            <v>1000</v>
          </cell>
          <cell r="DS72">
            <v>6000</v>
          </cell>
          <cell r="DT72">
            <v>4200</v>
          </cell>
          <cell r="DU72">
            <v>6400</v>
          </cell>
          <cell r="DV72"/>
          <cell r="DW72">
            <v>4000</v>
          </cell>
          <cell r="DX72"/>
          <cell r="DY72"/>
          <cell r="DZ72"/>
          <cell r="EA72"/>
          <cell r="EB72">
            <v>3600</v>
          </cell>
          <cell r="EC72"/>
          <cell r="ED72">
            <v>4000</v>
          </cell>
          <cell r="EE72">
            <v>3000</v>
          </cell>
          <cell r="EF72">
            <v>2000</v>
          </cell>
          <cell r="EG72">
            <v>4000</v>
          </cell>
          <cell r="EH72">
            <v>8664</v>
          </cell>
          <cell r="EI72">
            <v>1800</v>
          </cell>
          <cell r="EJ72" t="str">
            <v>ACTIVO</v>
          </cell>
          <cell r="EK72" t="str">
            <v>C</v>
          </cell>
          <cell r="EL72" t="str">
            <v/>
          </cell>
          <cell r="EM72">
            <v>4123.5294117647063</v>
          </cell>
          <cell r="EN72">
            <v>687.25490196078442</v>
          </cell>
          <cell r="EO72">
            <v>0</v>
          </cell>
          <cell r="EP72">
            <v>29536</v>
          </cell>
          <cell r="EQ72">
            <v>1447264</v>
          </cell>
          <cell r="ER72">
            <v>7.1627960057061335</v>
          </cell>
          <cell r="ES72">
            <v>10308.823529411766</v>
          </cell>
        </row>
        <row r="73">
          <cell r="F73">
            <v>393320</v>
          </cell>
          <cell r="G73" t="str">
            <v>HOJA SEPARADORA TORTA DIAMETRO 230 MMS.</v>
          </cell>
          <cell r="H73">
            <v>6000</v>
          </cell>
          <cell r="I73">
            <v>9000</v>
          </cell>
          <cell r="J73">
            <v>15000</v>
          </cell>
          <cell r="K73">
            <v>9000</v>
          </cell>
          <cell r="L73">
            <v>15000</v>
          </cell>
          <cell r="M73">
            <v>18000</v>
          </cell>
          <cell r="N73">
            <v>9000</v>
          </cell>
          <cell r="O73">
            <v>6000</v>
          </cell>
          <cell r="P73">
            <v>13500</v>
          </cell>
          <cell r="Q73">
            <v>4200</v>
          </cell>
          <cell r="R73">
            <v>22000</v>
          </cell>
          <cell r="S73">
            <v>3000</v>
          </cell>
          <cell r="T73">
            <v>12000</v>
          </cell>
          <cell r="U73">
            <v>10100</v>
          </cell>
          <cell r="V73"/>
          <cell r="W73">
            <v>12000</v>
          </cell>
          <cell r="X73">
            <v>12000</v>
          </cell>
          <cell r="Y73">
            <v>18000</v>
          </cell>
          <cell r="Z73">
            <v>15200</v>
          </cell>
          <cell r="AA73">
            <v>9900</v>
          </cell>
          <cell r="AB73">
            <v>17750</v>
          </cell>
          <cell r="AC73"/>
          <cell r="AD73"/>
          <cell r="AE73"/>
          <cell r="AF73">
            <v>3000</v>
          </cell>
          <cell r="AG73">
            <v>12000</v>
          </cell>
          <cell r="AH73"/>
          <cell r="AI73">
            <v>3000</v>
          </cell>
          <cell r="AJ73">
            <v>9000</v>
          </cell>
          <cell r="AK73"/>
          <cell r="AL73">
            <v>18000</v>
          </cell>
          <cell r="AM73">
            <v>15000</v>
          </cell>
          <cell r="AN73">
            <v>15000</v>
          </cell>
          <cell r="AO73">
            <v>6000</v>
          </cell>
          <cell r="AP73">
            <v>6600</v>
          </cell>
          <cell r="AQ73">
            <v>18000</v>
          </cell>
          <cell r="AR73">
            <v>18000</v>
          </cell>
          <cell r="AS73">
            <v>12000</v>
          </cell>
          <cell r="AT73">
            <v>7200</v>
          </cell>
          <cell r="AU73">
            <v>9000</v>
          </cell>
          <cell r="AV73">
            <v>24000</v>
          </cell>
          <cell r="AW73">
            <v>18900</v>
          </cell>
          <cell r="AX73">
            <v>15600</v>
          </cell>
          <cell r="AY73">
            <v>3850</v>
          </cell>
          <cell r="AZ73"/>
          <cell r="BA73"/>
          <cell r="BB73"/>
          <cell r="BC73">
            <v>9000</v>
          </cell>
          <cell r="BD73">
            <v>12000</v>
          </cell>
          <cell r="BE73">
            <v>15000</v>
          </cell>
          <cell r="BF73">
            <v>12600</v>
          </cell>
          <cell r="BG73">
            <v>17400</v>
          </cell>
          <cell r="BH73"/>
          <cell r="BI73"/>
          <cell r="BJ73">
            <v>7200</v>
          </cell>
          <cell r="BK73">
            <v>1800</v>
          </cell>
          <cell r="BL73">
            <v>9000</v>
          </cell>
          <cell r="BM73">
            <v>21000</v>
          </cell>
          <cell r="BN73">
            <v>18000</v>
          </cell>
          <cell r="BO73">
            <v>15000</v>
          </cell>
          <cell r="BP73">
            <v>9000</v>
          </cell>
          <cell r="BQ73">
            <v>21000</v>
          </cell>
          <cell r="BR73">
            <v>6000</v>
          </cell>
          <cell r="BS73"/>
          <cell r="BT73">
            <v>15000</v>
          </cell>
          <cell r="BU73">
            <v>21000</v>
          </cell>
          <cell r="BV73">
            <v>30750</v>
          </cell>
          <cell r="BW73">
            <v>21000</v>
          </cell>
          <cell r="BX73">
            <v>10750</v>
          </cell>
          <cell r="BY73">
            <v>12000</v>
          </cell>
          <cell r="BZ73"/>
          <cell r="CA73">
            <v>15300</v>
          </cell>
          <cell r="CB73">
            <v>9900</v>
          </cell>
          <cell r="CC73">
            <v>22000</v>
          </cell>
          <cell r="CD73">
            <v>23000</v>
          </cell>
          <cell r="CE73">
            <v>3800</v>
          </cell>
          <cell r="CF73">
            <v>3400</v>
          </cell>
          <cell r="CG73"/>
          <cell r="CH73">
            <v>15000</v>
          </cell>
          <cell r="CI73">
            <v>6000</v>
          </cell>
          <cell r="CJ73">
            <v>12000</v>
          </cell>
          <cell r="CK73">
            <v>24000</v>
          </cell>
          <cell r="CL73">
            <v>12000</v>
          </cell>
          <cell r="CM73">
            <v>6000</v>
          </cell>
          <cell r="CN73">
            <v>22920</v>
          </cell>
          <cell r="CO73">
            <v>18000</v>
          </cell>
          <cell r="CP73">
            <v>12000</v>
          </cell>
          <cell r="CQ73">
            <v>21000</v>
          </cell>
          <cell r="CR73">
            <v>21300</v>
          </cell>
          <cell r="CS73">
            <v>2700</v>
          </cell>
          <cell r="CT73"/>
          <cell r="CU73">
            <v>8100</v>
          </cell>
          <cell r="CV73">
            <v>15900</v>
          </cell>
          <cell r="CW73">
            <v>4800</v>
          </cell>
          <cell r="CX73">
            <v>11400</v>
          </cell>
          <cell r="CY73">
            <v>8400</v>
          </cell>
          <cell r="CZ73">
            <v>18000</v>
          </cell>
          <cell r="DA73">
            <v>6000</v>
          </cell>
          <cell r="DB73"/>
          <cell r="DC73">
            <v>21450</v>
          </cell>
          <cell r="DD73">
            <v>12600</v>
          </cell>
          <cell r="DE73">
            <v>7950</v>
          </cell>
          <cell r="DF73">
            <v>16800</v>
          </cell>
          <cell r="DG73">
            <v>21000</v>
          </cell>
          <cell r="DH73">
            <v>7800</v>
          </cell>
          <cell r="DI73"/>
          <cell r="DJ73">
            <v>10800</v>
          </cell>
          <cell r="DK73">
            <v>17400</v>
          </cell>
          <cell r="DL73">
            <v>22800</v>
          </cell>
          <cell r="DM73">
            <v>13394</v>
          </cell>
          <cell r="DN73">
            <v>5400</v>
          </cell>
          <cell r="DO73">
            <v>11400</v>
          </cell>
          <cell r="DP73">
            <v>19200</v>
          </cell>
          <cell r="DQ73">
            <v>12000</v>
          </cell>
          <cell r="DR73">
            <v>8400</v>
          </cell>
          <cell r="DS73">
            <v>7800</v>
          </cell>
          <cell r="DT73">
            <v>12600</v>
          </cell>
          <cell r="DU73">
            <v>24000</v>
          </cell>
          <cell r="DV73">
            <v>22200</v>
          </cell>
          <cell r="DW73">
            <v>8400</v>
          </cell>
          <cell r="DX73">
            <v>10200</v>
          </cell>
          <cell r="DY73">
            <v>17200</v>
          </cell>
          <cell r="DZ73">
            <v>29000</v>
          </cell>
          <cell r="EA73"/>
          <cell r="EB73">
            <v>29400</v>
          </cell>
          <cell r="EC73">
            <v>4000</v>
          </cell>
          <cell r="ED73">
            <v>12516</v>
          </cell>
          <cell r="EE73">
            <v>25200</v>
          </cell>
          <cell r="EF73">
            <v>15084</v>
          </cell>
          <cell r="EG73">
            <v>12011.5</v>
          </cell>
          <cell r="EH73">
            <v>14400</v>
          </cell>
          <cell r="EI73">
            <v>5400</v>
          </cell>
          <cell r="EJ73" t="str">
            <v>ACTIVO</v>
          </cell>
          <cell r="EK73" t="str">
            <v>A</v>
          </cell>
          <cell r="EL73" t="str">
            <v/>
          </cell>
          <cell r="EM73">
            <v>15235.021739130434</v>
          </cell>
          <cell r="EN73">
            <v>2539.1702898550725</v>
          </cell>
          <cell r="EO73">
            <v>6976.6246700994025</v>
          </cell>
          <cell r="EP73">
            <v>16116</v>
          </cell>
          <cell r="EQ73">
            <v>2433516</v>
          </cell>
          <cell r="ER73">
            <v>1.0578258617515992</v>
          </cell>
          <cell r="ES73">
            <v>38087.554347826088</v>
          </cell>
        </row>
        <row r="74">
          <cell r="F74">
            <v>402257</v>
          </cell>
          <cell r="G74" t="str">
            <v>HOJA SEPARADORA TORTA DIAMETRO 230 MMS ASTRA</v>
          </cell>
          <cell r="H74">
            <v>7800</v>
          </cell>
          <cell r="I74"/>
          <cell r="J74">
            <v>3000</v>
          </cell>
          <cell r="K74">
            <v>500</v>
          </cell>
          <cell r="L74">
            <v>850</v>
          </cell>
          <cell r="M74"/>
          <cell r="N74">
            <v>8900</v>
          </cell>
          <cell r="O74"/>
          <cell r="P74"/>
          <cell r="Q74">
            <v>5400</v>
          </cell>
          <cell r="R74"/>
          <cell r="S74"/>
          <cell r="T74"/>
          <cell r="U74"/>
          <cell r="V74">
            <v>15600</v>
          </cell>
          <cell r="W74">
            <v>5700</v>
          </cell>
          <cell r="X74">
            <v>3000</v>
          </cell>
          <cell r="Y74">
            <v>5097</v>
          </cell>
          <cell r="Z74"/>
          <cell r="AA74">
            <v>3300</v>
          </cell>
          <cell r="AB74">
            <v>1750</v>
          </cell>
          <cell r="AC74">
            <v>16500</v>
          </cell>
          <cell r="AD74">
            <v>28200</v>
          </cell>
          <cell r="AE74">
            <v>6300</v>
          </cell>
          <cell r="AF74">
            <v>6000</v>
          </cell>
          <cell r="AG74">
            <v>3600</v>
          </cell>
          <cell r="AH74">
            <v>18000</v>
          </cell>
          <cell r="AI74">
            <v>3600</v>
          </cell>
          <cell r="AJ74">
            <v>3600</v>
          </cell>
          <cell r="AK74">
            <v>7200</v>
          </cell>
          <cell r="AL74">
            <v>7200</v>
          </cell>
          <cell r="AM74"/>
          <cell r="AN74"/>
          <cell r="AO74">
            <v>7200</v>
          </cell>
          <cell r="AP74">
            <v>3600</v>
          </cell>
          <cell r="AQ74"/>
          <cell r="AR74">
            <v>6000</v>
          </cell>
          <cell r="AS74"/>
          <cell r="AT74">
            <v>3000</v>
          </cell>
          <cell r="AU74"/>
          <cell r="AV74">
            <v>0</v>
          </cell>
          <cell r="AW74"/>
          <cell r="AX74">
            <v>9000</v>
          </cell>
          <cell r="AY74">
            <v>29400</v>
          </cell>
          <cell r="AZ74">
            <v>7400</v>
          </cell>
          <cell r="BA74"/>
          <cell r="BB74">
            <v>18700</v>
          </cell>
          <cell r="BC74">
            <v>10201</v>
          </cell>
          <cell r="BD74"/>
          <cell r="BE74"/>
          <cell r="BF74"/>
          <cell r="BG74">
            <v>7200</v>
          </cell>
          <cell r="BH74"/>
          <cell r="BI74">
            <v>22950</v>
          </cell>
          <cell r="BJ74">
            <v>19200</v>
          </cell>
          <cell r="BK74">
            <v>13981</v>
          </cell>
          <cell r="BL74">
            <v>7200</v>
          </cell>
          <cell r="BM74"/>
          <cell r="BN74"/>
          <cell r="BO74"/>
          <cell r="BP74"/>
          <cell r="BQ74"/>
          <cell r="BR74">
            <v>6600</v>
          </cell>
          <cell r="BS74">
            <v>15700</v>
          </cell>
          <cell r="BT74">
            <v>7100</v>
          </cell>
          <cell r="BU74"/>
          <cell r="BV74"/>
          <cell r="BW74">
            <v>11000</v>
          </cell>
          <cell r="BX74">
            <v>14000</v>
          </cell>
          <cell r="BY74">
            <v>21900</v>
          </cell>
          <cell r="BZ74">
            <v>16500</v>
          </cell>
          <cell r="CA74">
            <v>10500</v>
          </cell>
          <cell r="CB74">
            <v>11750</v>
          </cell>
          <cell r="CC74"/>
          <cell r="CD74">
            <v>21900</v>
          </cell>
          <cell r="CE74">
            <v>17100</v>
          </cell>
          <cell r="CF74">
            <v>16500</v>
          </cell>
          <cell r="CG74">
            <v>21000</v>
          </cell>
          <cell r="CH74">
            <v>3000</v>
          </cell>
          <cell r="CI74">
            <v>11542</v>
          </cell>
          <cell r="CJ74">
            <v>9600</v>
          </cell>
          <cell r="CK74"/>
          <cell r="CL74">
            <v>15900</v>
          </cell>
          <cell r="CM74">
            <v>19800</v>
          </cell>
          <cell r="CN74">
            <v>3300</v>
          </cell>
          <cell r="CO74"/>
          <cell r="CP74">
            <v>3300</v>
          </cell>
          <cell r="CQ74">
            <v>3900</v>
          </cell>
          <cell r="CR74">
            <v>6600</v>
          </cell>
          <cell r="CS74">
            <v>5700</v>
          </cell>
          <cell r="CT74">
            <v>25500</v>
          </cell>
          <cell r="CU74">
            <v>14300</v>
          </cell>
          <cell r="CV74">
            <v>15475</v>
          </cell>
          <cell r="CW74">
            <v>23100</v>
          </cell>
          <cell r="CX74">
            <v>7900</v>
          </cell>
          <cell r="CY74">
            <v>4800</v>
          </cell>
          <cell r="CZ74">
            <v>9600</v>
          </cell>
          <cell r="DA74">
            <v>15600</v>
          </cell>
          <cell r="DB74">
            <v>21000</v>
          </cell>
          <cell r="DC74">
            <v>9150</v>
          </cell>
          <cell r="DD74">
            <v>8400</v>
          </cell>
          <cell r="DE74">
            <v>6000</v>
          </cell>
          <cell r="DF74">
            <v>4800</v>
          </cell>
          <cell r="DG74"/>
          <cell r="DH74">
            <v>4800</v>
          </cell>
          <cell r="DI74"/>
          <cell r="DJ74">
            <v>12000</v>
          </cell>
          <cell r="DK74">
            <v>6794</v>
          </cell>
          <cell r="DL74">
            <v>2400</v>
          </cell>
          <cell r="DM74">
            <v>16606</v>
          </cell>
          <cell r="DN74">
            <v>3000</v>
          </cell>
          <cell r="DO74"/>
          <cell r="DP74"/>
          <cell r="DQ74"/>
          <cell r="DR74">
            <v>9000</v>
          </cell>
          <cell r="DS74">
            <v>14400</v>
          </cell>
          <cell r="DT74">
            <v>3000</v>
          </cell>
          <cell r="DU74">
            <v>10800</v>
          </cell>
          <cell r="DV74"/>
          <cell r="DW74"/>
          <cell r="DX74">
            <v>31800</v>
          </cell>
          <cell r="DY74">
            <v>22600</v>
          </cell>
          <cell r="DZ74"/>
          <cell r="EA74">
            <v>10800</v>
          </cell>
          <cell r="EB74"/>
          <cell r="EC74">
            <v>44650</v>
          </cell>
          <cell r="ED74">
            <v>9524</v>
          </cell>
          <cell r="EE74"/>
          <cell r="EF74"/>
          <cell r="EG74"/>
          <cell r="EH74"/>
          <cell r="EI74"/>
          <cell r="EJ74" t="str">
            <v>ACTIVO</v>
          </cell>
          <cell r="EK74" t="str">
            <v>B</v>
          </cell>
          <cell r="EL74"/>
          <cell r="EM74">
            <v>14098.142857142857</v>
          </cell>
          <cell r="EN74">
            <v>2349.6904761904761</v>
          </cell>
          <cell r="EO74">
            <v>6540.3055490084134</v>
          </cell>
          <cell r="EP74">
            <v>0</v>
          </cell>
          <cell r="EQ74">
            <v>0</v>
          </cell>
          <cell r="ER74">
            <v>0</v>
          </cell>
          <cell r="ES74">
            <v>35245.357142857145</v>
          </cell>
        </row>
        <row r="75">
          <cell r="F75">
            <v>393321</v>
          </cell>
          <cell r="G75" t="str">
            <v>HOJA SEPARADORA TORTA MEDIANA DIAMETRO 210 MMS.</v>
          </cell>
          <cell r="H75"/>
          <cell r="I75"/>
          <cell r="J75"/>
          <cell r="K75">
            <v>3000</v>
          </cell>
          <cell r="L75">
            <v>9000</v>
          </cell>
          <cell r="M75"/>
          <cell r="N75"/>
          <cell r="O75"/>
          <cell r="P75">
            <v>3000</v>
          </cell>
          <cell r="Q75"/>
          <cell r="R75"/>
          <cell r="S75"/>
          <cell r="T75"/>
          <cell r="U75">
            <v>3000</v>
          </cell>
          <cell r="V75"/>
          <cell r="W75">
            <v>3000</v>
          </cell>
          <cell r="X75"/>
          <cell r="Y75">
            <v>3000</v>
          </cell>
          <cell r="Z75"/>
          <cell r="AA75">
            <v>3000</v>
          </cell>
          <cell r="AB75"/>
          <cell r="AC75">
            <v>3000</v>
          </cell>
          <cell r="AD75"/>
          <cell r="AE75"/>
          <cell r="AF75">
            <v>3000</v>
          </cell>
          <cell r="AG75">
            <v>3000</v>
          </cell>
          <cell r="AH75"/>
          <cell r="AI75"/>
          <cell r="AJ75">
            <v>3000</v>
          </cell>
          <cell r="AK75"/>
          <cell r="AL75">
            <v>3000</v>
          </cell>
          <cell r="AM75">
            <v>6000</v>
          </cell>
          <cell r="AN75"/>
          <cell r="AO75">
            <v>3000</v>
          </cell>
          <cell r="AP75">
            <v>6000</v>
          </cell>
          <cell r="AQ75">
            <v>72</v>
          </cell>
          <cell r="AR75">
            <v>3000</v>
          </cell>
          <cell r="AS75">
            <v>3000</v>
          </cell>
          <cell r="AT75"/>
          <cell r="AU75">
            <v>3000</v>
          </cell>
          <cell r="AV75">
            <v>328</v>
          </cell>
          <cell r="AW75"/>
          <cell r="AX75"/>
          <cell r="AY75"/>
          <cell r="AZ75">
            <v>3000</v>
          </cell>
          <cell r="BA75">
            <v>3000</v>
          </cell>
          <cell r="BB75">
            <v>9000</v>
          </cell>
          <cell r="BC75">
            <v>3000</v>
          </cell>
          <cell r="BD75">
            <v>6000</v>
          </cell>
          <cell r="BE75">
            <v>6000</v>
          </cell>
          <cell r="BF75">
            <v>6000</v>
          </cell>
          <cell r="BG75">
            <v>3000</v>
          </cell>
          <cell r="BH75"/>
          <cell r="BI75"/>
          <cell r="BJ75"/>
          <cell r="BK75">
            <v>3000</v>
          </cell>
          <cell r="BL75">
            <v>6000</v>
          </cell>
          <cell r="BM75"/>
          <cell r="BN75">
            <v>6000</v>
          </cell>
          <cell r="BO75">
            <v>6000</v>
          </cell>
          <cell r="BP75">
            <v>12000</v>
          </cell>
          <cell r="BQ75"/>
          <cell r="BR75">
            <v>6000</v>
          </cell>
          <cell r="BS75">
            <v>3000</v>
          </cell>
          <cell r="BT75">
            <v>3000</v>
          </cell>
          <cell r="BU75">
            <v>6000</v>
          </cell>
          <cell r="BV75">
            <v>7550</v>
          </cell>
          <cell r="BW75">
            <v>6000</v>
          </cell>
          <cell r="BX75">
            <v>650</v>
          </cell>
          <cell r="BY75">
            <v>6000</v>
          </cell>
          <cell r="BZ75">
            <v>6000</v>
          </cell>
          <cell r="CA75">
            <v>2000</v>
          </cell>
          <cell r="CB75">
            <v>8000</v>
          </cell>
          <cell r="CC75">
            <v>3000</v>
          </cell>
          <cell r="CD75">
            <v>6000</v>
          </cell>
          <cell r="CE75">
            <v>6000</v>
          </cell>
          <cell r="CF75">
            <v>6000</v>
          </cell>
          <cell r="CG75">
            <v>9000</v>
          </cell>
          <cell r="CH75">
            <v>3000</v>
          </cell>
          <cell r="CI75">
            <v>2500</v>
          </cell>
          <cell r="CJ75">
            <v>7800</v>
          </cell>
          <cell r="CK75">
            <v>3000</v>
          </cell>
          <cell r="CL75">
            <v>12000</v>
          </cell>
          <cell r="CM75">
            <v>9000</v>
          </cell>
          <cell r="CN75">
            <v>7220</v>
          </cell>
          <cell r="CO75">
            <v>6000</v>
          </cell>
          <cell r="CP75">
            <v>12000</v>
          </cell>
          <cell r="CQ75">
            <v>2700</v>
          </cell>
          <cell r="CR75">
            <v>5700</v>
          </cell>
          <cell r="CS75">
            <v>5400</v>
          </cell>
          <cell r="CT75">
            <v>6600</v>
          </cell>
          <cell r="CU75">
            <v>6000</v>
          </cell>
          <cell r="CV75">
            <v>2400</v>
          </cell>
          <cell r="CW75">
            <v>10200</v>
          </cell>
          <cell r="CX75"/>
          <cell r="CY75">
            <v>16800</v>
          </cell>
          <cell r="CZ75"/>
          <cell r="DA75">
            <v>2400</v>
          </cell>
          <cell r="DB75">
            <v>4800</v>
          </cell>
          <cell r="DC75">
            <v>8400</v>
          </cell>
          <cell r="DD75">
            <v>2400</v>
          </cell>
          <cell r="DE75">
            <v>6000</v>
          </cell>
          <cell r="DF75">
            <v>2400</v>
          </cell>
          <cell r="DG75">
            <v>3000</v>
          </cell>
          <cell r="DH75">
            <v>6000</v>
          </cell>
          <cell r="DI75">
            <v>3000</v>
          </cell>
          <cell r="DJ75">
            <v>3000</v>
          </cell>
          <cell r="DK75">
            <v>7200</v>
          </cell>
          <cell r="DL75">
            <v>7200</v>
          </cell>
          <cell r="DM75">
            <v>4800</v>
          </cell>
          <cell r="DN75"/>
          <cell r="DO75">
            <v>2400</v>
          </cell>
          <cell r="DP75">
            <v>4800</v>
          </cell>
          <cell r="DQ75">
            <v>2400</v>
          </cell>
          <cell r="DR75">
            <v>4800</v>
          </cell>
          <cell r="DS75">
            <v>9600</v>
          </cell>
          <cell r="DT75">
            <v>4800</v>
          </cell>
          <cell r="DU75">
            <v>4800</v>
          </cell>
          <cell r="DV75">
            <v>2400</v>
          </cell>
          <cell r="DW75">
            <v>7200</v>
          </cell>
          <cell r="DX75">
            <v>4800</v>
          </cell>
          <cell r="DY75">
            <v>2400</v>
          </cell>
          <cell r="DZ75">
            <v>7200</v>
          </cell>
          <cell r="EA75"/>
          <cell r="EB75">
            <v>2400</v>
          </cell>
          <cell r="EC75"/>
          <cell r="ED75">
            <v>7200</v>
          </cell>
          <cell r="EE75">
            <v>4800</v>
          </cell>
          <cell r="EF75">
            <v>7200</v>
          </cell>
          <cell r="EG75">
            <v>2400</v>
          </cell>
          <cell r="EH75">
            <v>13849</v>
          </cell>
          <cell r="EI75">
            <v>2400</v>
          </cell>
          <cell r="EJ75" t="str">
            <v>ACTIVO</v>
          </cell>
          <cell r="EK75" t="str">
            <v>B</v>
          </cell>
          <cell r="EL75" t="str">
            <v/>
          </cell>
          <cell r="EM75">
            <v>4854.545454545455</v>
          </cell>
          <cell r="EN75">
            <v>809.09090909090912</v>
          </cell>
          <cell r="EO75">
            <v>3202.2991438594995</v>
          </cell>
          <cell r="EP75">
            <v>2400</v>
          </cell>
          <cell r="EQ75">
            <v>362400</v>
          </cell>
          <cell r="ER75">
            <v>0.49438202247191004</v>
          </cell>
          <cell r="ES75">
            <v>12136.363636363636</v>
          </cell>
        </row>
        <row r="76">
          <cell r="F76">
            <v>393322</v>
          </cell>
          <cell r="G76" t="str">
            <v>HOJA SEPARADORA TARTALETA DIAMETRO 255 MMS.</v>
          </cell>
          <cell r="H76"/>
          <cell r="I76">
            <v>3000</v>
          </cell>
          <cell r="J76"/>
          <cell r="K76">
            <v>3000</v>
          </cell>
          <cell r="L76"/>
          <cell r="M76"/>
          <cell r="N76"/>
          <cell r="O76">
            <v>3000</v>
          </cell>
          <cell r="P76">
            <v>6000</v>
          </cell>
          <cell r="Q76"/>
          <cell r="R76"/>
          <cell r="S76"/>
          <cell r="T76"/>
          <cell r="U76"/>
          <cell r="V76"/>
          <cell r="W76">
            <v>6000</v>
          </cell>
          <cell r="X76">
            <v>3000</v>
          </cell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>
            <v>3000</v>
          </cell>
          <cell r="AK76">
            <v>3000</v>
          </cell>
          <cell r="AL76"/>
          <cell r="AM76"/>
          <cell r="AN76"/>
          <cell r="AO76"/>
          <cell r="AP76"/>
          <cell r="AQ76">
            <v>3000</v>
          </cell>
          <cell r="AR76">
            <v>3000</v>
          </cell>
          <cell r="AS76">
            <v>3000</v>
          </cell>
          <cell r="AT76"/>
          <cell r="AU76"/>
          <cell r="AV76">
            <v>3000</v>
          </cell>
          <cell r="AW76">
            <v>3000</v>
          </cell>
          <cell r="AX76">
            <v>6000</v>
          </cell>
          <cell r="AY76"/>
          <cell r="AZ76"/>
          <cell r="BA76"/>
          <cell r="BB76">
            <v>12000</v>
          </cell>
          <cell r="BC76"/>
          <cell r="BD76">
            <v>3000</v>
          </cell>
          <cell r="BE76">
            <v>6000</v>
          </cell>
          <cell r="BF76">
            <v>3000</v>
          </cell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>
            <v>3000</v>
          </cell>
          <cell r="BS76"/>
          <cell r="BT76"/>
          <cell r="BU76">
            <v>3000</v>
          </cell>
          <cell r="BV76"/>
          <cell r="BW76"/>
          <cell r="BX76"/>
          <cell r="BY76"/>
          <cell r="BZ76"/>
          <cell r="CA76"/>
          <cell r="CB76">
            <v>18000</v>
          </cell>
          <cell r="CC76"/>
          <cell r="CD76"/>
          <cell r="CE76">
            <v>2900</v>
          </cell>
          <cell r="CF76">
            <v>3000</v>
          </cell>
          <cell r="CG76">
            <v>3000</v>
          </cell>
          <cell r="CH76"/>
          <cell r="CI76">
            <v>9000</v>
          </cell>
          <cell r="CJ76">
            <v>3000</v>
          </cell>
          <cell r="CK76">
            <v>6000</v>
          </cell>
          <cell r="CL76">
            <v>12000</v>
          </cell>
          <cell r="CM76"/>
          <cell r="CN76"/>
          <cell r="CO76"/>
          <cell r="CP76"/>
          <cell r="CQ76"/>
          <cell r="CR76"/>
          <cell r="CS76"/>
          <cell r="CT76"/>
          <cell r="CU76"/>
          <cell r="CV76">
            <v>1000</v>
          </cell>
          <cell r="CW76">
            <v>3000</v>
          </cell>
          <cell r="CX76"/>
          <cell r="CY76">
            <v>10200</v>
          </cell>
          <cell r="CZ76"/>
          <cell r="DA76"/>
          <cell r="DB76"/>
          <cell r="DC76"/>
          <cell r="DD76"/>
          <cell r="DE76"/>
          <cell r="DF76">
            <v>3000</v>
          </cell>
          <cell r="DG76"/>
          <cell r="DH76">
            <v>15000</v>
          </cell>
          <cell r="DI76"/>
          <cell r="DJ76">
            <v>3000</v>
          </cell>
          <cell r="DK76"/>
          <cell r="DL76"/>
          <cell r="DM76"/>
          <cell r="DN76"/>
          <cell r="DO76"/>
          <cell r="DP76"/>
          <cell r="DQ76"/>
          <cell r="DR76"/>
          <cell r="DS76"/>
          <cell r="DT76"/>
          <cell r="DU76"/>
          <cell r="DV76"/>
          <cell r="DW76"/>
          <cell r="DX76"/>
          <cell r="DY76"/>
          <cell r="DZ76"/>
          <cell r="EA76"/>
          <cell r="EB76"/>
          <cell r="EC76"/>
          <cell r="ED76"/>
          <cell r="EE76"/>
          <cell r="EF76"/>
          <cell r="EG76"/>
          <cell r="EH76"/>
          <cell r="EI76">
            <v>3000</v>
          </cell>
          <cell r="EJ76" t="str">
            <v>ACTIVO</v>
          </cell>
          <cell r="EK76" t="str">
            <v>C</v>
          </cell>
          <cell r="EL76">
            <v>3000</v>
          </cell>
          <cell r="EM76">
            <v>3000</v>
          </cell>
          <cell r="EN76">
            <v>500</v>
          </cell>
          <cell r="EO76">
            <v>5233.9277794023865</v>
          </cell>
          <cell r="EP76">
            <v>13000</v>
          </cell>
          <cell r="EQ76">
            <v>1960530</v>
          </cell>
          <cell r="ER76">
            <v>4.333333333333333</v>
          </cell>
          <cell r="ES76">
            <v>7500</v>
          </cell>
        </row>
        <row r="77">
          <cell r="F77">
            <v>403368</v>
          </cell>
          <cell r="G77" t="str">
            <v>HOJA SENCILLA PROSERVAR</v>
          </cell>
          <cell r="H77"/>
          <cell r="I77"/>
          <cell r="J77">
            <v>2090</v>
          </cell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>
            <v>2000</v>
          </cell>
          <cell r="W77"/>
          <cell r="X77"/>
          <cell r="Y77"/>
          <cell r="Z77"/>
          <cell r="AA77"/>
          <cell r="AB77"/>
          <cell r="AC77"/>
          <cell r="AD77"/>
          <cell r="AE77">
            <v>3000</v>
          </cell>
          <cell r="AF77"/>
          <cell r="AG77"/>
          <cell r="AH77"/>
          <cell r="AI77">
            <v>3000</v>
          </cell>
          <cell r="AJ77"/>
          <cell r="AK77">
            <v>1000</v>
          </cell>
          <cell r="AL77"/>
          <cell r="AM77"/>
          <cell r="AN77"/>
          <cell r="AO77"/>
          <cell r="AP77"/>
          <cell r="AQ77">
            <v>1800</v>
          </cell>
          <cell r="AR77"/>
          <cell r="AS77"/>
          <cell r="AT77">
            <v>1800</v>
          </cell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>
            <v>1200</v>
          </cell>
          <cell r="BJ77"/>
          <cell r="BK77"/>
          <cell r="BL77"/>
          <cell r="BM77"/>
          <cell r="BN77"/>
          <cell r="BO77"/>
          <cell r="BP77">
            <v>2000</v>
          </cell>
          <cell r="BQ77"/>
          <cell r="BR77"/>
          <cell r="BS77">
            <v>2000</v>
          </cell>
          <cell r="BT77"/>
          <cell r="BU77"/>
          <cell r="BV77"/>
          <cell r="BW77"/>
          <cell r="BX77">
            <v>3600</v>
          </cell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>
            <v>3000</v>
          </cell>
          <cell r="CJ77"/>
          <cell r="CK77"/>
          <cell r="CL77"/>
          <cell r="CM77"/>
          <cell r="CN77"/>
          <cell r="CO77"/>
          <cell r="CP77"/>
          <cell r="CQ77"/>
          <cell r="CR77">
            <v>2000</v>
          </cell>
          <cell r="CS77"/>
          <cell r="CT77"/>
          <cell r="CU77"/>
          <cell r="CV77">
            <v>500</v>
          </cell>
          <cell r="CW77">
            <v>2000</v>
          </cell>
          <cell r="CX77"/>
          <cell r="CY77"/>
          <cell r="CZ77"/>
          <cell r="DA77"/>
          <cell r="DB77"/>
          <cell r="DC77">
            <v>2280</v>
          </cell>
          <cell r="DD77"/>
          <cell r="DE77"/>
          <cell r="DF77"/>
          <cell r="DG77">
            <v>3000</v>
          </cell>
          <cell r="DH77"/>
          <cell r="DI77"/>
          <cell r="DJ77"/>
          <cell r="DK77"/>
          <cell r="DL77">
            <v>1200</v>
          </cell>
          <cell r="DM77"/>
          <cell r="DN77"/>
          <cell r="DO77">
            <v>3300</v>
          </cell>
          <cell r="DP77"/>
          <cell r="DQ77"/>
          <cell r="DR77"/>
          <cell r="DS77"/>
          <cell r="DT77"/>
          <cell r="DU77"/>
          <cell r="DV77"/>
          <cell r="DW77"/>
          <cell r="DX77"/>
          <cell r="DY77"/>
          <cell r="DZ77">
            <v>1296</v>
          </cell>
          <cell r="EA77"/>
          <cell r="EB77"/>
          <cell r="EC77"/>
          <cell r="ED77"/>
          <cell r="EE77">
            <v>1800</v>
          </cell>
          <cell r="EF77"/>
          <cell r="EG77"/>
          <cell r="EH77"/>
          <cell r="EI77"/>
          <cell r="EJ77" t="str">
            <v>ACTIVO</v>
          </cell>
          <cell r="EK77" t="str">
            <v>C</v>
          </cell>
          <cell r="EL77">
            <v>3000</v>
          </cell>
          <cell r="EM77">
            <v>1899</v>
          </cell>
          <cell r="EN77">
            <v>316.5</v>
          </cell>
          <cell r="EO77">
            <v>899.30590519083728</v>
          </cell>
          <cell r="EP77">
            <v>1540</v>
          </cell>
          <cell r="EQ77">
            <v>254100</v>
          </cell>
          <cell r="ER77">
            <v>0.81095313322801477</v>
          </cell>
          <cell r="ES77">
            <v>4747.5</v>
          </cell>
        </row>
        <row r="78">
          <cell r="F78">
            <v>405132</v>
          </cell>
          <cell r="G78" t="str">
            <v>BORDE G 18,5 MEDIANO LAS VERTIENTES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>
            <v>1800</v>
          </cell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/>
          <cell r="CV78"/>
          <cell r="CW78"/>
          <cell r="CX78"/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/>
          <cell r="DJ78"/>
          <cell r="DK78"/>
          <cell r="DL78"/>
          <cell r="DM78"/>
          <cell r="DN78"/>
          <cell r="DO78"/>
          <cell r="DP78"/>
          <cell r="DQ78"/>
          <cell r="DR78"/>
          <cell r="DS78"/>
          <cell r="DT78"/>
          <cell r="DU78"/>
          <cell r="DV78"/>
          <cell r="DW78"/>
          <cell r="DX78"/>
          <cell r="DY78"/>
          <cell r="DZ78"/>
          <cell r="EA78"/>
          <cell r="EB78"/>
          <cell r="EC78"/>
          <cell r="ED78"/>
          <cell r="EE78"/>
          <cell r="EF78"/>
          <cell r="EG78"/>
          <cell r="EH78"/>
          <cell r="EI78"/>
          <cell r="EJ78" t="str">
            <v>SIN USO</v>
          </cell>
          <cell r="EK78" t="str">
            <v/>
          </cell>
          <cell r="EL78" t="str">
            <v/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</row>
        <row r="79">
          <cell r="F79">
            <v>405420</v>
          </cell>
          <cell r="G79" t="str">
            <v>MEDIO DISCO CARTON BLANCO 19,5 JUMBO ARRIAZA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>
            <v>1000</v>
          </cell>
          <cell r="AV79"/>
          <cell r="AW79">
            <v>7</v>
          </cell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>
            <v>1000</v>
          </cell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>
            <v>2000</v>
          </cell>
          <cell r="DE79"/>
          <cell r="DF79"/>
          <cell r="DG79"/>
          <cell r="DH79"/>
          <cell r="DI79"/>
          <cell r="DJ79"/>
          <cell r="DK79"/>
          <cell r="DL79"/>
          <cell r="DM79"/>
          <cell r="DN79"/>
          <cell r="DO79"/>
          <cell r="DP79"/>
          <cell r="DQ79"/>
          <cell r="DR79"/>
          <cell r="DS79"/>
          <cell r="DT79"/>
          <cell r="DU79"/>
          <cell r="DV79"/>
          <cell r="DW79"/>
          <cell r="DX79"/>
          <cell r="DY79"/>
          <cell r="DZ79"/>
          <cell r="EA79"/>
          <cell r="EB79">
            <v>2000</v>
          </cell>
          <cell r="EC79"/>
          <cell r="ED79"/>
          <cell r="EE79"/>
          <cell r="EF79"/>
          <cell r="EG79"/>
          <cell r="EH79"/>
          <cell r="EI79"/>
          <cell r="EJ79" t="str">
            <v>ACTIVO</v>
          </cell>
          <cell r="EK79" t="str">
            <v>C</v>
          </cell>
          <cell r="EL79">
            <v>0</v>
          </cell>
          <cell r="EM79">
            <v>2000</v>
          </cell>
          <cell r="EN79">
            <v>333.33333333333331</v>
          </cell>
          <cell r="EO79">
            <v>707.10678118654755</v>
          </cell>
          <cell r="EP79">
            <v>4000</v>
          </cell>
          <cell r="EQ79">
            <v>52000</v>
          </cell>
          <cell r="ER79">
            <v>2</v>
          </cell>
          <cell r="ES79">
            <v>2000</v>
          </cell>
        </row>
        <row r="80">
          <cell r="F80">
            <v>403245</v>
          </cell>
          <cell r="G80" t="str">
            <v>Borde G 220x25 VERTIENTES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>
            <v>26</v>
          </cell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K80"/>
          <cell r="DL80"/>
          <cell r="DM80"/>
          <cell r="DN80"/>
          <cell r="DO80"/>
          <cell r="DP80"/>
          <cell r="DQ80"/>
          <cell r="DR80"/>
          <cell r="DS80"/>
          <cell r="DT80"/>
          <cell r="DU80"/>
          <cell r="DV80"/>
          <cell r="DW80"/>
          <cell r="DX80"/>
          <cell r="DY80"/>
          <cell r="DZ80"/>
          <cell r="EA80"/>
          <cell r="EB80"/>
          <cell r="EC80"/>
          <cell r="ED80"/>
          <cell r="EE80"/>
          <cell r="EF80"/>
          <cell r="EG80"/>
          <cell r="EH80"/>
          <cell r="EI80"/>
          <cell r="EJ80" t="str">
            <v>SIN USO</v>
          </cell>
          <cell r="EK80" t="str">
            <v>C</v>
          </cell>
          <cell r="EL80">
            <v>300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</row>
        <row r="81">
          <cell r="F81">
            <v>403108</v>
          </cell>
          <cell r="G81" t="str">
            <v>DISCO CARTON BLANCO 17CM ARRIAZA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  <cell r="CP81"/>
          <cell r="CQ81"/>
          <cell r="CR81"/>
          <cell r="CS81"/>
          <cell r="CT81"/>
          <cell r="CU81"/>
          <cell r="CV81"/>
          <cell r="CW81"/>
          <cell r="CX81"/>
          <cell r="CY81"/>
          <cell r="CZ81"/>
          <cell r="DA81"/>
          <cell r="DB81"/>
          <cell r="DC81"/>
          <cell r="DD81"/>
          <cell r="DE81"/>
          <cell r="DF81"/>
          <cell r="DG81"/>
          <cell r="DH81"/>
          <cell r="DI81"/>
          <cell r="DJ81"/>
          <cell r="DK81"/>
          <cell r="DL81"/>
          <cell r="DM81"/>
          <cell r="DN81"/>
          <cell r="DO81"/>
          <cell r="DP81"/>
          <cell r="DQ81"/>
          <cell r="DR81"/>
          <cell r="DS81"/>
          <cell r="DT81"/>
          <cell r="DU81">
            <v>15000</v>
          </cell>
          <cell r="DV81"/>
          <cell r="DW81">
            <v>40000</v>
          </cell>
          <cell r="DX81"/>
          <cell r="DY81"/>
          <cell r="DZ81"/>
          <cell r="EA81"/>
          <cell r="EB81"/>
          <cell r="EC81"/>
          <cell r="ED81"/>
          <cell r="EE81"/>
          <cell r="EF81"/>
          <cell r="EG81"/>
          <cell r="EH81"/>
          <cell r="EI81"/>
          <cell r="EJ81" t="str">
            <v>SIN USO</v>
          </cell>
          <cell r="EK81" t="str">
            <v/>
          </cell>
          <cell r="EL81" t="str">
            <v/>
          </cell>
          <cell r="EM81">
            <v>27500</v>
          </cell>
          <cell r="EN81">
            <v>4583.333333333333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27500</v>
          </cell>
        </row>
        <row r="82">
          <cell r="F82">
            <v>403100</v>
          </cell>
          <cell r="G82" t="str">
            <v>DISCO CARTON BLANCO 24 JUMBO ARRIAZA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  <cell r="CR82"/>
          <cell r="CS82"/>
          <cell r="CT82"/>
          <cell r="CU82"/>
          <cell r="CV82"/>
          <cell r="CW82"/>
          <cell r="CX82"/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/>
          <cell r="DJ82"/>
          <cell r="DK82"/>
          <cell r="DL82"/>
          <cell r="DM82"/>
          <cell r="DN82"/>
          <cell r="DO82"/>
          <cell r="DP82"/>
          <cell r="DQ82"/>
          <cell r="DR82"/>
          <cell r="DS82"/>
          <cell r="DT82"/>
          <cell r="DU82">
            <v>15000</v>
          </cell>
          <cell r="DV82"/>
          <cell r="DW82"/>
          <cell r="DX82"/>
          <cell r="DY82"/>
          <cell r="DZ82"/>
          <cell r="EA82"/>
          <cell r="EB82"/>
          <cell r="EC82"/>
          <cell r="ED82"/>
          <cell r="EE82"/>
          <cell r="EF82"/>
          <cell r="EG82"/>
          <cell r="EH82"/>
          <cell r="EI82"/>
          <cell r="EJ82" t="str">
            <v>SIN USO</v>
          </cell>
          <cell r="EK82" t="str">
            <v/>
          </cell>
          <cell r="EL82" t="str">
            <v/>
          </cell>
          <cell r="EM82">
            <v>15000</v>
          </cell>
          <cell r="EN82">
            <v>2500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15000</v>
          </cell>
        </row>
        <row r="83">
          <cell r="F83">
            <v>107420</v>
          </cell>
          <cell r="G83" t="str">
            <v>DISCO DE PAPEL PQQ KRAFT FPS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>
            <v>1000</v>
          </cell>
          <cell r="BK83">
            <v>72000</v>
          </cell>
          <cell r="BL83">
            <v>148000</v>
          </cell>
          <cell r="BM83">
            <v>150000</v>
          </cell>
          <cell r="BN83"/>
          <cell r="BO83"/>
          <cell r="BP83">
            <v>120000</v>
          </cell>
          <cell r="BQ83"/>
          <cell r="BR83">
            <v>120000</v>
          </cell>
          <cell r="BS83"/>
          <cell r="BT83"/>
          <cell r="BU83"/>
          <cell r="BV83"/>
          <cell r="BW83"/>
          <cell r="BX83">
            <v>120000</v>
          </cell>
          <cell r="BY83"/>
          <cell r="BZ83"/>
          <cell r="CA83">
            <v>39400</v>
          </cell>
          <cell r="CB83"/>
          <cell r="CC83"/>
          <cell r="CD83">
            <v>39400</v>
          </cell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K83"/>
          <cell r="DL83"/>
          <cell r="DM83"/>
          <cell r="DN83"/>
          <cell r="DO83"/>
          <cell r="DP83"/>
          <cell r="DQ83"/>
          <cell r="DR83"/>
          <cell r="DS83"/>
          <cell r="DT83"/>
          <cell r="DU83"/>
          <cell r="DV83"/>
          <cell r="DW83"/>
          <cell r="DX83"/>
          <cell r="DY83"/>
          <cell r="DZ83"/>
          <cell r="EA83"/>
          <cell r="EB83"/>
          <cell r="EC83"/>
          <cell r="ED83"/>
          <cell r="EE83"/>
          <cell r="EF83"/>
          <cell r="EG83"/>
          <cell r="EH83"/>
          <cell r="EI83"/>
          <cell r="EJ83" t="str">
            <v>SIN USO</v>
          </cell>
          <cell r="EK83" t="str">
            <v>C</v>
          </cell>
          <cell r="EL83" t="str">
            <v/>
          </cell>
          <cell r="EM83">
            <v>0</v>
          </cell>
          <cell r="EN83">
            <v>0</v>
          </cell>
          <cell r="EO83">
            <v>53653.652666379057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</row>
        <row r="84">
          <cell r="F84">
            <v>405633</v>
          </cell>
          <cell r="G84" t="str">
            <v>LAMINAS PET TRANSPARENTE 300 MICRO 61X5 CMTS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>
            <v>100</v>
          </cell>
          <cell r="DA84">
            <v>200</v>
          </cell>
          <cell r="DB84">
            <v>400</v>
          </cell>
          <cell r="DC84">
            <v>500</v>
          </cell>
          <cell r="DD84">
            <v>300</v>
          </cell>
          <cell r="DE84">
            <v>100</v>
          </cell>
          <cell r="DF84">
            <v>100</v>
          </cell>
          <cell r="DG84"/>
          <cell r="DH84"/>
          <cell r="DI84">
            <v>100</v>
          </cell>
          <cell r="DJ84">
            <v>100</v>
          </cell>
          <cell r="DK84">
            <v>200</v>
          </cell>
          <cell r="DL84"/>
          <cell r="DM84">
            <v>400</v>
          </cell>
          <cell r="DN84">
            <v>700</v>
          </cell>
          <cell r="DO84">
            <v>100</v>
          </cell>
          <cell r="DP84">
            <v>200</v>
          </cell>
          <cell r="DQ84">
            <v>200</v>
          </cell>
          <cell r="DR84"/>
          <cell r="DS84"/>
          <cell r="DT84"/>
          <cell r="DU84"/>
          <cell r="DV84"/>
          <cell r="DW84"/>
          <cell r="DX84"/>
          <cell r="DY84"/>
          <cell r="DZ84"/>
          <cell r="EA84"/>
          <cell r="EB84"/>
          <cell r="EC84"/>
          <cell r="ED84"/>
          <cell r="EE84"/>
          <cell r="EF84"/>
          <cell r="EG84"/>
          <cell r="EH84"/>
          <cell r="EI84"/>
          <cell r="EJ84" t="str">
            <v>SIN USO</v>
          </cell>
          <cell r="EK84" t="str">
            <v>C</v>
          </cell>
          <cell r="EL84" t="str">
            <v/>
          </cell>
          <cell r="EM84">
            <v>250</v>
          </cell>
          <cell r="EN84">
            <v>41.666666666666664</v>
          </cell>
          <cell r="EO84">
            <v>161.83471874253743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</row>
        <row r="85">
          <cell r="F85">
            <v>405590</v>
          </cell>
          <cell r="G85" t="str">
            <v>VASOS CONO PAPEL FOOD PACK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>
            <v>0</v>
          </cell>
          <cell r="DG85"/>
          <cell r="DH85"/>
          <cell r="DI85"/>
          <cell r="DJ85"/>
          <cell r="DK85"/>
          <cell r="DL85"/>
          <cell r="DM85"/>
          <cell r="DN85"/>
          <cell r="DO85"/>
          <cell r="DP85"/>
          <cell r="DQ85"/>
          <cell r="DR85"/>
          <cell r="DS85"/>
          <cell r="DT85"/>
          <cell r="DU85"/>
          <cell r="DV85"/>
          <cell r="DW85"/>
          <cell r="DX85"/>
          <cell r="DY85"/>
          <cell r="DZ85"/>
          <cell r="EA85"/>
          <cell r="EB85"/>
          <cell r="EC85"/>
          <cell r="ED85"/>
          <cell r="EE85"/>
          <cell r="EF85"/>
          <cell r="EG85"/>
          <cell r="EH85"/>
          <cell r="EI85"/>
          <cell r="EJ85" t="str">
            <v>SIN USO</v>
          </cell>
          <cell r="EK85" t="str">
            <v>C</v>
          </cell>
          <cell r="EL85" t="str">
            <v/>
          </cell>
          <cell r="EM85">
            <v>0</v>
          </cell>
          <cell r="EN85">
            <v>0</v>
          </cell>
          <cell r="EO85">
            <v>0</v>
          </cell>
          <cell r="EP85">
            <v>20000</v>
          </cell>
          <cell r="EQ85">
            <v>244000</v>
          </cell>
          <cell r="ER85">
            <v>0</v>
          </cell>
          <cell r="ES85">
            <v>0</v>
          </cell>
        </row>
        <row r="86">
          <cell r="F86">
            <v>405741</v>
          </cell>
          <cell r="G86" t="str">
            <v>DISCO CARTON BLANCO 24 CM PRAGGA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K86"/>
          <cell r="DL86"/>
          <cell r="DM86"/>
          <cell r="DN86"/>
          <cell r="DO86"/>
          <cell r="DP86"/>
          <cell r="DQ86"/>
          <cell r="DR86"/>
          <cell r="DS86"/>
          <cell r="DT86"/>
          <cell r="DU86"/>
          <cell r="DV86"/>
          <cell r="DW86">
            <v>19200</v>
          </cell>
          <cell r="DX86">
            <v>30800</v>
          </cell>
          <cell r="DY86"/>
          <cell r="DZ86"/>
          <cell r="EA86"/>
          <cell r="EB86"/>
          <cell r="EC86"/>
          <cell r="ED86"/>
          <cell r="EE86"/>
          <cell r="EF86"/>
          <cell r="EG86"/>
          <cell r="EH86"/>
          <cell r="EI86"/>
          <cell r="EJ86" t="str">
            <v>SIN USO</v>
          </cell>
          <cell r="EK86" t="str">
            <v/>
          </cell>
          <cell r="EL86" t="str">
            <v/>
          </cell>
          <cell r="EM86">
            <v>25000</v>
          </cell>
          <cell r="EN86">
            <v>4166.666666666667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25000</v>
          </cell>
        </row>
        <row r="87">
          <cell r="F87">
            <v>405789</v>
          </cell>
          <cell r="G87" t="str">
            <v>HOJA SEPARADORA TORTA DIAMETRO 230 MMS FULL CARTON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K87"/>
          <cell r="DL87"/>
          <cell r="DM87"/>
          <cell r="DN87"/>
          <cell r="DO87"/>
          <cell r="DP87"/>
          <cell r="DQ87"/>
          <cell r="DR87"/>
          <cell r="DS87"/>
          <cell r="DT87"/>
          <cell r="DU87"/>
          <cell r="DV87"/>
          <cell r="DW87"/>
          <cell r="DX87"/>
          <cell r="DY87"/>
          <cell r="DZ87"/>
          <cell r="EA87"/>
          <cell r="EB87"/>
          <cell r="EC87"/>
          <cell r="ED87"/>
          <cell r="EE87">
            <v>5700</v>
          </cell>
          <cell r="EF87">
            <v>516</v>
          </cell>
          <cell r="EG87">
            <v>7200</v>
          </cell>
          <cell r="EH87"/>
          <cell r="EI87"/>
          <cell r="EJ87" t="str">
            <v>ACTIVO</v>
          </cell>
          <cell r="EK87" t="str">
            <v/>
          </cell>
          <cell r="EL87" t="str">
            <v/>
          </cell>
          <cell r="EM87">
            <v>4472</v>
          </cell>
          <cell r="EN87">
            <v>745.33333333333337</v>
          </cell>
          <cell r="EO87">
            <v>0</v>
          </cell>
          <cell r="EP87">
            <v>1284</v>
          </cell>
          <cell r="EQ87">
            <v>186180</v>
          </cell>
          <cell r="ER87">
            <v>0.28711985688729874</v>
          </cell>
          <cell r="ES87">
            <v>11180</v>
          </cell>
        </row>
        <row r="88">
          <cell r="F88">
            <v>405795</v>
          </cell>
          <cell r="G88" t="str">
            <v>DISCO MICROCORRUGADO EMPLACADO 19 CM DIÁMETRO FULL CARTON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K88"/>
          <cell r="DL88"/>
          <cell r="DM88"/>
          <cell r="DN88"/>
          <cell r="DO88"/>
          <cell r="DP88"/>
          <cell r="DQ88"/>
          <cell r="DR88"/>
          <cell r="DS88"/>
          <cell r="DT88"/>
          <cell r="DU88"/>
          <cell r="DV88"/>
          <cell r="DW88"/>
          <cell r="DX88"/>
          <cell r="DY88"/>
          <cell r="DZ88"/>
          <cell r="EA88"/>
          <cell r="EB88"/>
          <cell r="EC88"/>
          <cell r="ED88"/>
          <cell r="EE88"/>
          <cell r="EF88">
            <v>3700</v>
          </cell>
          <cell r="EG88">
            <v>4700</v>
          </cell>
          <cell r="EH88"/>
          <cell r="EI88">
            <v>6000</v>
          </cell>
          <cell r="EJ88" t="str">
            <v>ACTIVO</v>
          </cell>
          <cell r="EK88" t="str">
            <v/>
          </cell>
          <cell r="EL88" t="str">
            <v/>
          </cell>
          <cell r="EM88">
            <v>4200</v>
          </cell>
          <cell r="EN88">
            <v>700</v>
          </cell>
          <cell r="EO88">
            <v>0</v>
          </cell>
          <cell r="EP88">
            <v>4250</v>
          </cell>
          <cell r="EQ88">
            <v>208250</v>
          </cell>
          <cell r="ER88">
            <v>1.0119047619047619</v>
          </cell>
          <cell r="ES88">
            <v>10500</v>
          </cell>
        </row>
        <row r="89">
          <cell r="F89">
            <v>405794</v>
          </cell>
          <cell r="G89" t="str">
            <v>CAJA PASTELES 600X325X120 FULL CARTON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K89"/>
          <cell r="DL89"/>
          <cell r="DM89"/>
          <cell r="DN89"/>
          <cell r="DO89"/>
          <cell r="DP89"/>
          <cell r="DQ89"/>
          <cell r="DR89"/>
          <cell r="DS89"/>
          <cell r="DT89"/>
          <cell r="DU89"/>
          <cell r="DV89"/>
          <cell r="DW89"/>
          <cell r="DX89"/>
          <cell r="DY89"/>
          <cell r="DZ89"/>
          <cell r="EA89"/>
          <cell r="EB89"/>
          <cell r="EC89"/>
          <cell r="ED89"/>
          <cell r="EE89"/>
          <cell r="EF89"/>
          <cell r="EG89">
            <v>1117</v>
          </cell>
          <cell r="EH89"/>
          <cell r="EI89"/>
          <cell r="EJ89" t="str">
            <v>ACTIVO</v>
          </cell>
          <cell r="EK89" t="str">
            <v/>
          </cell>
          <cell r="EL89" t="str">
            <v/>
          </cell>
          <cell r="EM89">
            <v>1117</v>
          </cell>
          <cell r="EN89">
            <v>186.16666666666666</v>
          </cell>
          <cell r="EO89">
            <v>0</v>
          </cell>
          <cell r="EP89">
            <v>1500</v>
          </cell>
          <cell r="EQ89">
            <v>900000</v>
          </cell>
          <cell r="ER89">
            <v>1.3428827215756491</v>
          </cell>
          <cell r="ES89">
            <v>2792.5</v>
          </cell>
        </row>
        <row r="90">
          <cell r="F90"/>
          <cell r="G90"/>
          <cell r="H90">
            <v>168150</v>
          </cell>
          <cell r="I90">
            <v>48955</v>
          </cell>
          <cell r="J90">
            <v>107122</v>
          </cell>
          <cell r="K90">
            <v>208716</v>
          </cell>
          <cell r="L90">
            <v>197103</v>
          </cell>
          <cell r="M90">
            <v>245652</v>
          </cell>
          <cell r="N90">
            <v>104361</v>
          </cell>
          <cell r="O90">
            <v>89300</v>
          </cell>
          <cell r="P90">
            <v>325250</v>
          </cell>
          <cell r="Q90">
            <v>69370</v>
          </cell>
          <cell r="R90">
            <v>432800</v>
          </cell>
          <cell r="S90">
            <v>248150</v>
          </cell>
          <cell r="T90">
            <v>40800</v>
          </cell>
          <cell r="U90">
            <v>255350</v>
          </cell>
          <cell r="V90">
            <v>85750</v>
          </cell>
          <cell r="W90">
            <v>142900</v>
          </cell>
          <cell r="X90">
            <v>127800</v>
          </cell>
          <cell r="Y90">
            <v>83947</v>
          </cell>
          <cell r="Z90">
            <v>118300</v>
          </cell>
          <cell r="AA90">
            <v>52700</v>
          </cell>
          <cell r="AB90">
            <v>195950</v>
          </cell>
          <cell r="AC90">
            <v>97280</v>
          </cell>
          <cell r="AD90">
            <v>189750</v>
          </cell>
          <cell r="AE90">
            <v>317250</v>
          </cell>
          <cell r="AF90">
            <v>162750</v>
          </cell>
          <cell r="AG90">
            <v>121250</v>
          </cell>
          <cell r="AH90">
            <v>239551</v>
          </cell>
          <cell r="AI90">
            <v>193100</v>
          </cell>
          <cell r="AJ90">
            <v>88816</v>
          </cell>
          <cell r="AK90">
            <v>322150</v>
          </cell>
          <cell r="AL90">
            <v>82850</v>
          </cell>
          <cell r="AM90">
            <v>406736</v>
          </cell>
          <cell r="AN90">
            <v>187450</v>
          </cell>
          <cell r="AO90">
            <v>104800</v>
          </cell>
          <cell r="AP90">
            <v>202750</v>
          </cell>
          <cell r="AQ90">
            <v>297512</v>
          </cell>
          <cell r="AR90">
            <v>128930</v>
          </cell>
          <cell r="AS90">
            <v>58450</v>
          </cell>
          <cell r="AT90">
            <v>113630</v>
          </cell>
          <cell r="AU90">
            <v>105289</v>
          </cell>
          <cell r="AV90">
            <v>401378</v>
          </cell>
          <cell r="AW90">
            <v>94577</v>
          </cell>
          <cell r="AX90">
            <v>222370</v>
          </cell>
          <cell r="AY90">
            <v>241880</v>
          </cell>
          <cell r="AZ90">
            <v>111800</v>
          </cell>
          <cell r="BA90">
            <v>194640</v>
          </cell>
          <cell r="BB90">
            <v>163890</v>
          </cell>
          <cell r="BC90">
            <v>614193</v>
          </cell>
          <cell r="BD90">
            <v>133900</v>
          </cell>
          <cell r="BE90">
            <v>220895</v>
          </cell>
          <cell r="BF90">
            <v>273200</v>
          </cell>
          <cell r="BG90">
            <v>99490</v>
          </cell>
          <cell r="BH90">
            <v>32120</v>
          </cell>
          <cell r="BI90">
            <v>278950</v>
          </cell>
          <cell r="BJ90">
            <v>97950</v>
          </cell>
          <cell r="BK90">
            <v>217651</v>
          </cell>
          <cell r="BL90">
            <v>241550</v>
          </cell>
          <cell r="BM90">
            <v>268660</v>
          </cell>
          <cell r="BN90">
            <v>118675</v>
          </cell>
          <cell r="BO90">
            <v>270940</v>
          </cell>
          <cell r="BP90">
            <v>325700</v>
          </cell>
          <cell r="BQ90">
            <v>88960</v>
          </cell>
          <cell r="BR90">
            <v>214070</v>
          </cell>
          <cell r="BS90">
            <v>198759</v>
          </cell>
          <cell r="BT90">
            <v>123414</v>
          </cell>
          <cell r="BU90">
            <v>220550</v>
          </cell>
          <cell r="BV90">
            <v>128426</v>
          </cell>
          <cell r="BW90">
            <v>130390</v>
          </cell>
          <cell r="BX90">
            <v>315700</v>
          </cell>
          <cell r="BY90">
            <v>127550</v>
          </cell>
          <cell r="BZ90">
            <v>336740</v>
          </cell>
          <cell r="CA90">
            <v>160950</v>
          </cell>
          <cell r="CB90">
            <v>280600</v>
          </cell>
          <cell r="CC90">
            <v>254800</v>
          </cell>
          <cell r="CD90">
            <v>267400</v>
          </cell>
          <cell r="CE90">
            <v>214530</v>
          </cell>
          <cell r="CF90">
            <v>162750</v>
          </cell>
          <cell r="CG90">
            <v>245750</v>
          </cell>
          <cell r="CH90">
            <v>262700</v>
          </cell>
          <cell r="CI90">
            <v>220292</v>
          </cell>
          <cell r="CJ90">
            <v>90210</v>
          </cell>
          <cell r="CK90">
            <v>115400</v>
          </cell>
          <cell r="CL90">
            <v>149297</v>
          </cell>
          <cell r="CM90">
            <v>288600</v>
          </cell>
          <cell r="CN90">
            <v>241790</v>
          </cell>
          <cell r="CO90">
            <v>179700</v>
          </cell>
          <cell r="CP90">
            <v>193580</v>
          </cell>
          <cell r="CQ90">
            <v>130080</v>
          </cell>
          <cell r="CR90">
            <v>234480</v>
          </cell>
          <cell r="CS90">
            <v>162400</v>
          </cell>
          <cell r="CT90">
            <v>217700</v>
          </cell>
          <cell r="CU90">
            <v>213600</v>
          </cell>
          <cell r="CV90">
            <v>203772</v>
          </cell>
          <cell r="CW90">
            <v>217830</v>
          </cell>
          <cell r="CX90">
            <v>223950</v>
          </cell>
          <cell r="CY90">
            <v>189100</v>
          </cell>
          <cell r="CZ90">
            <v>98300</v>
          </cell>
          <cell r="DA90">
            <v>73500</v>
          </cell>
          <cell r="DB90">
            <v>227200</v>
          </cell>
          <cell r="DC90">
            <v>112330</v>
          </cell>
          <cell r="DD90">
            <v>259020</v>
          </cell>
          <cell r="DE90">
            <v>83050</v>
          </cell>
          <cell r="DF90">
            <v>229420</v>
          </cell>
          <cell r="DG90">
            <v>220700</v>
          </cell>
          <cell r="DH90">
            <v>79400</v>
          </cell>
          <cell r="DI90">
            <v>15100</v>
          </cell>
          <cell r="DJ90">
            <v>96320</v>
          </cell>
          <cell r="DK90">
            <v>209194</v>
          </cell>
          <cell r="DL90">
            <v>200500</v>
          </cell>
          <cell r="DM90">
            <v>248600</v>
          </cell>
          <cell r="DN90">
            <v>173480</v>
          </cell>
          <cell r="DO90">
            <v>218600</v>
          </cell>
          <cell r="DP90">
            <v>133200</v>
          </cell>
          <cell r="DQ90">
            <v>99600</v>
          </cell>
          <cell r="DR90">
            <v>160380</v>
          </cell>
          <cell r="DS90">
            <v>193200</v>
          </cell>
          <cell r="DT90">
            <v>111903</v>
          </cell>
          <cell r="DU90">
            <v>138600</v>
          </cell>
          <cell r="DV90">
            <v>255850</v>
          </cell>
          <cell r="DW90">
            <v>179100</v>
          </cell>
          <cell r="DX90">
            <v>446050</v>
          </cell>
          <cell r="DY90">
            <v>173450</v>
          </cell>
          <cell r="DZ90">
            <v>269096</v>
          </cell>
          <cell r="EA90">
            <v>86900</v>
          </cell>
          <cell r="EB90">
            <v>178550</v>
          </cell>
          <cell r="EC90">
            <v>208450</v>
          </cell>
          <cell r="ED90">
            <v>220236.53904800001</v>
          </cell>
          <cell r="EE90">
            <v>196500</v>
          </cell>
          <cell r="EF90">
            <v>220750</v>
          </cell>
          <cell r="EG90">
            <v>155178.5</v>
          </cell>
          <cell r="EH90">
            <v>82073</v>
          </cell>
          <cell r="EI90">
            <v>132400</v>
          </cell>
          <cell r="EJ90" t="str">
            <v>ACTIVO</v>
          </cell>
          <cell r="EK90" t="str">
            <v/>
          </cell>
          <cell r="EL90" t="str">
            <v/>
          </cell>
          <cell r="EM90">
            <v>183551.52156192</v>
          </cell>
          <cell r="EN90">
            <v>30591.920260319999</v>
          </cell>
          <cell r="EO90">
            <v>72713.04790575456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</row>
        <row r="91">
          <cell r="F91">
            <v>405115</v>
          </cell>
          <cell r="G91" t="str">
            <v>CREMA PASSIONATA</v>
          </cell>
          <cell r="H91">
            <v>36</v>
          </cell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>
            <v>82</v>
          </cell>
          <cell r="W91">
            <v>504</v>
          </cell>
          <cell r="X91">
            <v>95</v>
          </cell>
          <cell r="Y91">
            <v>147</v>
          </cell>
          <cell r="Z91">
            <v>157</v>
          </cell>
          <cell r="AA91">
            <v>205</v>
          </cell>
          <cell r="AB91">
            <v>379</v>
          </cell>
          <cell r="AC91">
            <v>244</v>
          </cell>
          <cell r="AD91">
            <v>628</v>
          </cell>
          <cell r="AE91">
            <v>84</v>
          </cell>
          <cell r="AF91">
            <v>241</v>
          </cell>
          <cell r="AG91">
            <v>254</v>
          </cell>
          <cell r="AH91">
            <v>430</v>
          </cell>
          <cell r="AI91">
            <v>251</v>
          </cell>
          <cell r="AJ91">
            <v>228</v>
          </cell>
          <cell r="AK91">
            <v>210</v>
          </cell>
          <cell r="AL91">
            <v>178</v>
          </cell>
          <cell r="AM91">
            <v>218</v>
          </cell>
          <cell r="AN91">
            <v>230</v>
          </cell>
          <cell r="AO91">
            <v>225</v>
          </cell>
          <cell r="AP91">
            <v>199</v>
          </cell>
          <cell r="AQ91">
            <v>248</v>
          </cell>
          <cell r="AR91">
            <v>360</v>
          </cell>
          <cell r="AS91">
            <v>119</v>
          </cell>
          <cell r="AT91">
            <v>141</v>
          </cell>
          <cell r="AU91">
            <v>191</v>
          </cell>
          <cell r="AV91">
            <v>240</v>
          </cell>
          <cell r="AW91">
            <v>366</v>
          </cell>
          <cell r="AX91">
            <v>199</v>
          </cell>
          <cell r="AY91"/>
          <cell r="AZ91">
            <v>125</v>
          </cell>
          <cell r="BA91">
            <v>68</v>
          </cell>
          <cell r="BB91">
            <v>363</v>
          </cell>
          <cell r="BC91">
            <v>230</v>
          </cell>
          <cell r="BD91">
            <v>189</v>
          </cell>
          <cell r="BE91">
            <v>166</v>
          </cell>
          <cell r="BF91">
            <v>8</v>
          </cell>
          <cell r="BG91">
            <v>187</v>
          </cell>
          <cell r="BH91">
            <v>99</v>
          </cell>
          <cell r="BI91">
            <v>144</v>
          </cell>
          <cell r="BJ91">
            <v>73</v>
          </cell>
          <cell r="BK91">
            <v>271</v>
          </cell>
          <cell r="BL91">
            <v>225</v>
          </cell>
          <cell r="BM91">
            <v>223</v>
          </cell>
          <cell r="BN91">
            <v>58</v>
          </cell>
          <cell r="BO91">
            <v>216</v>
          </cell>
          <cell r="BP91">
            <v>146</v>
          </cell>
          <cell r="BQ91">
            <v>146</v>
          </cell>
          <cell r="BR91">
            <v>174</v>
          </cell>
          <cell r="BS91">
            <v>278</v>
          </cell>
          <cell r="BT91">
            <v>174</v>
          </cell>
          <cell r="BU91">
            <v>112</v>
          </cell>
          <cell r="BV91">
            <v>52</v>
          </cell>
          <cell r="BW91">
            <v>188</v>
          </cell>
          <cell r="BX91">
            <v>500</v>
          </cell>
          <cell r="BY91">
            <v>374</v>
          </cell>
          <cell r="BZ91">
            <v>45</v>
          </cell>
          <cell r="CA91">
            <v>477</v>
          </cell>
          <cell r="CB91">
            <v>167</v>
          </cell>
          <cell r="CC91">
            <v>347</v>
          </cell>
          <cell r="CD91">
            <v>120</v>
          </cell>
          <cell r="CE91">
            <v>120</v>
          </cell>
          <cell r="CF91">
            <v>97</v>
          </cell>
          <cell r="CG91">
            <v>335</v>
          </cell>
          <cell r="CH91">
            <v>140</v>
          </cell>
          <cell r="CI91">
            <v>120</v>
          </cell>
          <cell r="CJ91">
            <v>4</v>
          </cell>
          <cell r="CK91">
            <v>151</v>
          </cell>
          <cell r="CL91">
            <v>307</v>
          </cell>
          <cell r="CM91">
            <v>55</v>
          </cell>
          <cell r="CN91">
            <v>85</v>
          </cell>
          <cell r="CO91">
            <v>275</v>
          </cell>
          <cell r="CP91">
            <v>308</v>
          </cell>
          <cell r="CQ91">
            <v>199</v>
          </cell>
          <cell r="CR91">
            <v>215</v>
          </cell>
          <cell r="CS91">
            <v>120</v>
          </cell>
          <cell r="CT91">
            <v>322</v>
          </cell>
          <cell r="CU91">
            <v>60</v>
          </cell>
          <cell r="CV91">
            <v>268</v>
          </cell>
          <cell r="CW91">
            <v>181</v>
          </cell>
          <cell r="CX91">
            <v>162</v>
          </cell>
          <cell r="CY91">
            <v>143</v>
          </cell>
          <cell r="CZ91">
            <v>126</v>
          </cell>
          <cell r="DA91">
            <v>242</v>
          </cell>
          <cell r="DB91">
            <v>83</v>
          </cell>
          <cell r="DC91">
            <v>250</v>
          </cell>
          <cell r="DD91">
            <v>138</v>
          </cell>
          <cell r="DE91">
            <v>237</v>
          </cell>
          <cell r="DF91">
            <v>164</v>
          </cell>
          <cell r="DG91">
            <v>40</v>
          </cell>
          <cell r="DH91">
            <v>40</v>
          </cell>
          <cell r="DI91"/>
          <cell r="DJ91">
            <v>277</v>
          </cell>
          <cell r="DK91">
            <v>198</v>
          </cell>
          <cell r="DL91">
            <v>232</v>
          </cell>
          <cell r="DM91">
            <v>130</v>
          </cell>
          <cell r="DN91">
            <v>184</v>
          </cell>
          <cell r="DO91">
            <v>192</v>
          </cell>
          <cell r="DP91">
            <v>186</v>
          </cell>
          <cell r="DQ91">
            <v>224</v>
          </cell>
          <cell r="DR91">
            <v>204</v>
          </cell>
          <cell r="DS91">
            <v>204</v>
          </cell>
          <cell r="DT91">
            <v>232</v>
          </cell>
          <cell r="DU91">
            <v>160</v>
          </cell>
          <cell r="DV91">
            <v>80</v>
          </cell>
          <cell r="DW91">
            <v>200</v>
          </cell>
          <cell r="DX91">
            <v>236</v>
          </cell>
          <cell r="DY91">
            <v>320</v>
          </cell>
          <cell r="DZ91">
            <v>360</v>
          </cell>
          <cell r="EA91"/>
          <cell r="EB91">
            <v>252</v>
          </cell>
          <cell r="EC91">
            <v>163</v>
          </cell>
          <cell r="ED91">
            <v>11.8</v>
          </cell>
          <cell r="EE91"/>
          <cell r="EF91"/>
          <cell r="EG91"/>
          <cell r="EH91"/>
          <cell r="EI91"/>
          <cell r="EJ91" t="str">
            <v>SIN USO</v>
          </cell>
          <cell r="EK91" t="str">
            <v>B</v>
          </cell>
          <cell r="EL91">
            <v>900</v>
          </cell>
          <cell r="EM91">
            <v>202.29000000000002</v>
          </cell>
          <cell r="EN91">
            <v>33.715000000000003</v>
          </cell>
          <cell r="EO91">
            <v>108.41647176412953</v>
          </cell>
          <cell r="EP91">
            <v>0</v>
          </cell>
          <cell r="EQ91">
            <v>0</v>
          </cell>
          <cell r="ER91">
            <v>0</v>
          </cell>
          <cell r="ES91">
            <v>101.14500000000001</v>
          </cell>
        </row>
        <row r="92">
          <cell r="F92">
            <v>103612</v>
          </cell>
          <cell r="G92" t="str">
            <v>CREMA VEGETAL MASTER MARTINI</v>
          </cell>
          <cell r="H92">
            <v>1370</v>
          </cell>
          <cell r="I92">
            <v>837</v>
          </cell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>
            <v>407</v>
          </cell>
          <cell r="AB92">
            <v>1535</v>
          </cell>
          <cell r="AC92">
            <v>2534</v>
          </cell>
          <cell r="AD92">
            <v>3297</v>
          </cell>
          <cell r="AE92">
            <v>4286</v>
          </cell>
          <cell r="AF92">
            <v>2274</v>
          </cell>
          <cell r="AG92">
            <v>2890</v>
          </cell>
          <cell r="AH92">
            <v>2393</v>
          </cell>
          <cell r="AI92">
            <v>2877</v>
          </cell>
          <cell r="AJ92">
            <v>3120</v>
          </cell>
          <cell r="AK92">
            <v>3855</v>
          </cell>
          <cell r="AL92">
            <v>2948</v>
          </cell>
          <cell r="AM92">
            <v>3767</v>
          </cell>
          <cell r="AN92">
            <v>3541</v>
          </cell>
          <cell r="AO92">
            <v>3699</v>
          </cell>
          <cell r="AP92">
            <v>3199</v>
          </cell>
          <cell r="AQ92">
            <v>3247</v>
          </cell>
          <cell r="AR92">
            <v>2963</v>
          </cell>
          <cell r="AS92">
            <v>1273</v>
          </cell>
          <cell r="AT92">
            <v>3736</v>
          </cell>
          <cell r="AU92">
            <v>3086</v>
          </cell>
          <cell r="AV92">
            <v>3238</v>
          </cell>
          <cell r="AW92">
            <v>2749</v>
          </cell>
          <cell r="AX92">
            <v>3462</v>
          </cell>
          <cell r="AY92">
            <v>3187</v>
          </cell>
          <cell r="AZ92">
            <v>3775</v>
          </cell>
          <cell r="BA92">
            <v>3789</v>
          </cell>
          <cell r="BB92">
            <v>3574</v>
          </cell>
          <cell r="BC92">
            <v>3518</v>
          </cell>
          <cell r="BD92">
            <v>4594</v>
          </cell>
          <cell r="BE92">
            <v>4580</v>
          </cell>
          <cell r="BF92">
            <v>4506.0499999999993</v>
          </cell>
          <cell r="BG92">
            <v>3556</v>
          </cell>
          <cell r="BH92">
            <v>1715</v>
          </cell>
          <cell r="BI92">
            <v>3506</v>
          </cell>
          <cell r="BJ92">
            <v>3468</v>
          </cell>
          <cell r="BK92">
            <v>3896</v>
          </cell>
          <cell r="BL92">
            <v>3381</v>
          </cell>
          <cell r="BM92">
            <v>3810</v>
          </cell>
          <cell r="BN92">
            <v>3431</v>
          </cell>
          <cell r="BO92">
            <v>3977</v>
          </cell>
          <cell r="BP92">
            <v>2991</v>
          </cell>
          <cell r="BQ92">
            <v>2877</v>
          </cell>
          <cell r="BR92">
            <v>4093</v>
          </cell>
          <cell r="BS92">
            <v>1571</v>
          </cell>
          <cell r="BT92">
            <v>3716</v>
          </cell>
          <cell r="BU92">
            <v>3415</v>
          </cell>
          <cell r="BV92">
            <v>4319</v>
          </cell>
          <cell r="BW92">
            <v>3336</v>
          </cell>
          <cell r="BX92">
            <v>3334</v>
          </cell>
          <cell r="BY92">
            <v>4228</v>
          </cell>
          <cell r="BZ92">
            <v>5558</v>
          </cell>
          <cell r="CA92">
            <v>4210</v>
          </cell>
          <cell r="CB92">
            <v>3933</v>
          </cell>
          <cell r="CC92">
            <v>2653</v>
          </cell>
          <cell r="CD92">
            <v>3690</v>
          </cell>
          <cell r="CE92">
            <v>4709</v>
          </cell>
          <cell r="CF92">
            <v>3387</v>
          </cell>
          <cell r="CG92">
            <v>3695</v>
          </cell>
          <cell r="CH92">
            <v>3164</v>
          </cell>
          <cell r="CI92">
            <v>2797</v>
          </cell>
          <cell r="CJ92">
            <v>3178</v>
          </cell>
          <cell r="CK92">
            <v>3146</v>
          </cell>
          <cell r="CL92">
            <v>3642</v>
          </cell>
          <cell r="CM92">
            <v>3390</v>
          </cell>
          <cell r="CN92">
            <v>3352</v>
          </cell>
          <cell r="CO92">
            <v>3181</v>
          </cell>
          <cell r="CP92">
            <v>3735</v>
          </cell>
          <cell r="CQ92">
            <v>3623</v>
          </cell>
          <cell r="CR92">
            <v>3531</v>
          </cell>
          <cell r="CS92">
            <v>2185</v>
          </cell>
          <cell r="CT92">
            <v>3648</v>
          </cell>
          <cell r="CU92">
            <v>3708</v>
          </cell>
          <cell r="CV92">
            <v>3870</v>
          </cell>
          <cell r="CW92">
            <v>3495</v>
          </cell>
          <cell r="CX92">
            <v>3126</v>
          </cell>
          <cell r="CY92">
            <v>3205</v>
          </cell>
          <cell r="CZ92">
            <v>3622</v>
          </cell>
          <cell r="DA92">
            <v>3158</v>
          </cell>
          <cell r="DB92">
            <v>3166</v>
          </cell>
          <cell r="DC92">
            <v>3296</v>
          </cell>
          <cell r="DD92">
            <v>2686</v>
          </cell>
          <cell r="DE92">
            <v>2841</v>
          </cell>
          <cell r="DF92">
            <v>4149</v>
          </cell>
          <cell r="DG92">
            <v>3771</v>
          </cell>
          <cell r="DH92">
            <v>1902</v>
          </cell>
          <cell r="DI92">
            <v>969</v>
          </cell>
          <cell r="DJ92">
            <v>3914</v>
          </cell>
          <cell r="DK92">
            <v>3736</v>
          </cell>
          <cell r="DL92">
            <v>3403</v>
          </cell>
          <cell r="DM92">
            <v>2966</v>
          </cell>
          <cell r="DN92">
            <v>2652</v>
          </cell>
          <cell r="DO92">
            <v>2521</v>
          </cell>
          <cell r="DP92">
            <v>2112</v>
          </cell>
          <cell r="DQ92">
            <v>1563</v>
          </cell>
          <cell r="DR92">
            <v>2005</v>
          </cell>
          <cell r="DS92">
            <v>2364</v>
          </cell>
          <cell r="DT92">
            <v>3163</v>
          </cell>
          <cell r="DU92">
            <v>2835</v>
          </cell>
          <cell r="DV92">
            <v>2282</v>
          </cell>
          <cell r="DW92">
            <v>2746</v>
          </cell>
          <cell r="DX92">
            <v>3201</v>
          </cell>
          <cell r="DY92">
            <v>3982</v>
          </cell>
          <cell r="DZ92">
            <v>3847</v>
          </cell>
          <cell r="EA92">
            <v>3098</v>
          </cell>
          <cell r="EB92">
            <v>2896</v>
          </cell>
          <cell r="EC92">
            <v>1880</v>
          </cell>
          <cell r="ED92">
            <v>2579</v>
          </cell>
          <cell r="EE92">
            <v>2796</v>
          </cell>
          <cell r="EF92">
            <v>2200</v>
          </cell>
          <cell r="EG92">
            <v>3169</v>
          </cell>
          <cell r="EH92">
            <v>3325</v>
          </cell>
          <cell r="EI92">
            <v>1861</v>
          </cell>
          <cell r="EJ92" t="str">
            <v>ACTIVO</v>
          </cell>
          <cell r="EK92" t="str">
            <v>A</v>
          </cell>
          <cell r="EL92"/>
          <cell r="EM92">
            <v>2755.16</v>
          </cell>
          <cell r="EN92">
            <v>459.19333333333333</v>
          </cell>
          <cell r="EO92">
            <v>682.94100039060095</v>
          </cell>
          <cell r="EP92">
            <v>2061</v>
          </cell>
          <cell r="EQ92">
            <v>5358600</v>
          </cell>
          <cell r="ER92">
            <v>0.74805092989154898</v>
          </cell>
          <cell r="ES92">
            <v>1377.58</v>
          </cell>
        </row>
        <row r="93">
          <cell r="F93">
            <v>107098</v>
          </cell>
          <cell r="G93" t="str">
            <v>CREMA PASTELERA ESPECIAL PURATOS</v>
          </cell>
          <cell r="H93">
            <v>670</v>
          </cell>
          <cell r="I93">
            <v>400</v>
          </cell>
          <cell r="J93">
            <v>460</v>
          </cell>
          <cell r="K93">
            <v>495</v>
          </cell>
          <cell r="L93">
            <v>460</v>
          </cell>
          <cell r="M93">
            <v>650</v>
          </cell>
          <cell r="N93">
            <v>570</v>
          </cell>
          <cell r="O93">
            <v>590</v>
          </cell>
          <cell r="P93">
            <v>1620</v>
          </cell>
          <cell r="Q93">
            <v>1180</v>
          </cell>
          <cell r="R93">
            <v>1250</v>
          </cell>
          <cell r="S93">
            <v>1801</v>
          </cell>
          <cell r="T93">
            <v>1380</v>
          </cell>
          <cell r="U93">
            <v>1559</v>
          </cell>
          <cell r="V93">
            <v>1250</v>
          </cell>
          <cell r="W93">
            <v>1620</v>
          </cell>
          <cell r="X93">
            <v>1180</v>
          </cell>
          <cell r="Y93">
            <v>3530</v>
          </cell>
          <cell r="Z93">
            <v>3500</v>
          </cell>
          <cell r="AA93">
            <v>2580</v>
          </cell>
          <cell r="AB93">
            <v>1380</v>
          </cell>
          <cell r="AC93">
            <v>1250</v>
          </cell>
          <cell r="AD93">
            <v>2730</v>
          </cell>
          <cell r="AE93">
            <v>3670</v>
          </cell>
          <cell r="AF93">
            <v>1090</v>
          </cell>
          <cell r="AG93">
            <v>1340</v>
          </cell>
          <cell r="AH93">
            <v>1262</v>
          </cell>
          <cell r="AI93">
            <v>1578</v>
          </cell>
          <cell r="AJ93">
            <v>1680</v>
          </cell>
          <cell r="AK93">
            <v>1470</v>
          </cell>
          <cell r="AL93">
            <v>2380</v>
          </cell>
          <cell r="AM93">
            <v>1840</v>
          </cell>
          <cell r="AN93">
            <v>1550</v>
          </cell>
          <cell r="AO93">
            <v>1530</v>
          </cell>
          <cell r="AP93">
            <v>1200</v>
          </cell>
          <cell r="AQ93">
            <v>1400</v>
          </cell>
          <cell r="AR93">
            <v>1860</v>
          </cell>
          <cell r="AS93">
            <v>370</v>
          </cell>
          <cell r="AT93">
            <v>1680</v>
          </cell>
          <cell r="AU93">
            <v>1380</v>
          </cell>
          <cell r="AV93">
            <v>1720</v>
          </cell>
          <cell r="AW93">
            <v>1190</v>
          </cell>
          <cell r="AX93">
            <v>1520</v>
          </cell>
          <cell r="AY93">
            <v>1350</v>
          </cell>
          <cell r="AZ93">
            <v>1300</v>
          </cell>
          <cell r="BA93">
            <v>1670</v>
          </cell>
          <cell r="BB93">
            <v>1170</v>
          </cell>
          <cell r="BC93">
            <v>1420</v>
          </cell>
          <cell r="BD93">
            <v>1530</v>
          </cell>
          <cell r="BE93">
            <v>1204.5</v>
          </cell>
          <cell r="BF93">
            <v>1940</v>
          </cell>
          <cell r="BG93">
            <v>1790</v>
          </cell>
          <cell r="BH93">
            <v>640</v>
          </cell>
          <cell r="BI93">
            <v>1500</v>
          </cell>
          <cell r="BJ93">
            <v>1270</v>
          </cell>
          <cell r="BK93">
            <v>2010</v>
          </cell>
          <cell r="BL93">
            <v>1930</v>
          </cell>
          <cell r="BM93">
            <v>1750</v>
          </cell>
          <cell r="BN93">
            <v>1980</v>
          </cell>
          <cell r="BO93">
            <v>1240</v>
          </cell>
          <cell r="BP93">
            <v>1520</v>
          </cell>
          <cell r="BQ93">
            <v>1450</v>
          </cell>
          <cell r="BR93">
            <v>2070</v>
          </cell>
          <cell r="BS93">
            <v>1710</v>
          </cell>
          <cell r="BT93">
            <v>1650</v>
          </cell>
          <cell r="BU93">
            <v>1580</v>
          </cell>
          <cell r="BV93">
            <v>1710</v>
          </cell>
          <cell r="BW93">
            <v>1460</v>
          </cell>
          <cell r="BX93">
            <v>1840</v>
          </cell>
          <cell r="BY93">
            <v>2010</v>
          </cell>
          <cell r="BZ93">
            <v>2590</v>
          </cell>
          <cell r="CA93">
            <v>1090</v>
          </cell>
          <cell r="CB93">
            <v>1510</v>
          </cell>
          <cell r="CC93">
            <v>1440</v>
          </cell>
          <cell r="CD93">
            <v>1500</v>
          </cell>
          <cell r="CE93">
            <v>2470</v>
          </cell>
          <cell r="CF93">
            <v>1210</v>
          </cell>
          <cell r="CG93">
            <v>1660</v>
          </cell>
          <cell r="CH93">
            <v>1840</v>
          </cell>
          <cell r="CI93">
            <v>2570</v>
          </cell>
          <cell r="CJ93">
            <v>1980</v>
          </cell>
          <cell r="CK93">
            <v>1530</v>
          </cell>
          <cell r="CL93">
            <v>1380</v>
          </cell>
          <cell r="CM93">
            <v>2050</v>
          </cell>
          <cell r="CN93">
            <v>1570</v>
          </cell>
          <cell r="CO93">
            <v>1840</v>
          </cell>
          <cell r="CP93">
            <v>1530</v>
          </cell>
          <cell r="CQ93">
            <v>1650</v>
          </cell>
          <cell r="CR93">
            <v>1860</v>
          </cell>
          <cell r="CS93">
            <v>480</v>
          </cell>
          <cell r="CT93">
            <v>1860</v>
          </cell>
          <cell r="CU93">
            <v>1790</v>
          </cell>
          <cell r="CV93">
            <v>2350</v>
          </cell>
          <cell r="CW93">
            <v>1570</v>
          </cell>
          <cell r="CX93">
            <v>1540</v>
          </cell>
          <cell r="CY93">
            <v>1820</v>
          </cell>
          <cell r="CZ93">
            <v>1620</v>
          </cell>
          <cell r="DA93">
            <v>1760</v>
          </cell>
          <cell r="DB93">
            <v>1390</v>
          </cell>
          <cell r="DC93">
            <v>1750</v>
          </cell>
          <cell r="DD93">
            <v>1810</v>
          </cell>
          <cell r="DE93">
            <v>1360</v>
          </cell>
          <cell r="DF93">
            <v>2110</v>
          </cell>
          <cell r="DG93">
            <v>1540</v>
          </cell>
          <cell r="DH93">
            <v>730</v>
          </cell>
          <cell r="DI93">
            <v>560</v>
          </cell>
          <cell r="DJ93">
            <v>1990</v>
          </cell>
          <cell r="DK93">
            <v>1620</v>
          </cell>
          <cell r="DL93">
            <v>1570</v>
          </cell>
          <cell r="DM93">
            <v>1460</v>
          </cell>
          <cell r="DN93">
            <v>1580</v>
          </cell>
          <cell r="DO93">
            <v>2000</v>
          </cell>
          <cell r="DP93">
            <v>1710</v>
          </cell>
          <cell r="DQ93">
            <v>1420</v>
          </cell>
          <cell r="DR93">
            <v>1850</v>
          </cell>
          <cell r="DS93">
            <v>1870</v>
          </cell>
          <cell r="DT93">
            <v>1510</v>
          </cell>
          <cell r="DU93">
            <v>1960</v>
          </cell>
          <cell r="DV93">
            <v>2000</v>
          </cell>
          <cell r="DW93">
            <v>1580</v>
          </cell>
          <cell r="DX93">
            <v>1740</v>
          </cell>
          <cell r="DY93">
            <v>2070</v>
          </cell>
          <cell r="DZ93">
            <v>2200</v>
          </cell>
          <cell r="EA93">
            <v>3410</v>
          </cell>
          <cell r="EB93">
            <v>2040</v>
          </cell>
          <cell r="EC93">
            <v>1720</v>
          </cell>
          <cell r="ED93">
            <v>2180</v>
          </cell>
          <cell r="EE93">
            <v>2070</v>
          </cell>
          <cell r="EF93">
            <v>1857</v>
          </cell>
          <cell r="EG93">
            <v>2860</v>
          </cell>
          <cell r="EH93">
            <v>2350</v>
          </cell>
          <cell r="EI93">
            <v>1090</v>
          </cell>
          <cell r="EJ93" t="str">
            <v>ACTIVO</v>
          </cell>
          <cell r="EK93" t="str">
            <v>A</v>
          </cell>
          <cell r="EL93">
            <v>800</v>
          </cell>
          <cell r="EM93">
            <v>1873.08</v>
          </cell>
          <cell r="EN93">
            <v>312.18</v>
          </cell>
          <cell r="EO93">
            <v>412.57976314636392</v>
          </cell>
          <cell r="EP93">
            <v>1700</v>
          </cell>
          <cell r="EQ93">
            <v>5440000</v>
          </cell>
          <cell r="ER93">
            <v>0.90759604501676383</v>
          </cell>
          <cell r="ES93">
            <v>936.54</v>
          </cell>
        </row>
        <row r="94">
          <cell r="F94">
            <v>107104</v>
          </cell>
          <cell r="G94" t="str">
            <v>CREMA LACTEA DIWATTS</v>
          </cell>
          <cell r="H94">
            <v>8990</v>
          </cell>
          <cell r="I94">
            <v>6572</v>
          </cell>
          <cell r="J94">
            <v>5213</v>
          </cell>
          <cell r="K94">
            <v>6382</v>
          </cell>
          <cell r="L94">
            <v>8709</v>
          </cell>
          <cell r="M94">
            <v>7346</v>
          </cell>
          <cell r="N94">
            <v>6776</v>
          </cell>
          <cell r="O94">
            <v>5965</v>
          </cell>
          <cell r="P94">
            <v>6104</v>
          </cell>
          <cell r="Q94">
            <v>8228</v>
          </cell>
          <cell r="R94">
            <v>9812</v>
          </cell>
          <cell r="S94">
            <v>6285</v>
          </cell>
          <cell r="T94">
            <v>5871</v>
          </cell>
          <cell r="U94">
            <v>8530</v>
          </cell>
          <cell r="V94">
            <v>12069</v>
          </cell>
          <cell r="W94">
            <v>6686</v>
          </cell>
          <cell r="X94">
            <v>10494</v>
          </cell>
          <cell r="Y94">
            <v>7988</v>
          </cell>
          <cell r="Z94">
            <v>13239</v>
          </cell>
          <cell r="AA94">
            <v>7237</v>
          </cell>
          <cell r="AB94">
            <v>7979</v>
          </cell>
          <cell r="AC94">
            <v>7461</v>
          </cell>
          <cell r="AD94">
            <v>9982</v>
          </cell>
          <cell r="AE94">
            <v>12730</v>
          </cell>
          <cell r="AF94">
            <v>6608</v>
          </cell>
          <cell r="AG94">
            <v>8435</v>
          </cell>
          <cell r="AH94">
            <v>6878</v>
          </cell>
          <cell r="AI94">
            <v>8929</v>
          </cell>
          <cell r="AJ94">
            <v>9268</v>
          </cell>
          <cell r="AK94">
            <v>10395</v>
          </cell>
          <cell r="AL94">
            <v>8811</v>
          </cell>
          <cell r="AM94">
            <v>11074</v>
          </cell>
          <cell r="AN94">
            <v>10525</v>
          </cell>
          <cell r="AO94">
            <v>11099</v>
          </cell>
          <cell r="AP94">
            <v>9354</v>
          </cell>
          <cell r="AQ94">
            <v>10047</v>
          </cell>
          <cell r="AR94">
            <v>9496</v>
          </cell>
          <cell r="AS94">
            <v>3812</v>
          </cell>
          <cell r="AT94">
            <v>11146</v>
          </cell>
          <cell r="AU94">
            <v>9415</v>
          </cell>
          <cell r="AV94">
            <v>9927</v>
          </cell>
          <cell r="AW94">
            <v>8053</v>
          </cell>
          <cell r="AX94">
            <v>10666</v>
          </cell>
          <cell r="AY94">
            <v>9367</v>
          </cell>
          <cell r="AZ94">
            <v>11370</v>
          </cell>
          <cell r="BA94">
            <v>11420</v>
          </cell>
          <cell r="BB94">
            <v>10733</v>
          </cell>
          <cell r="BC94">
            <v>10738</v>
          </cell>
          <cell r="BD94">
            <v>12168</v>
          </cell>
          <cell r="BE94">
            <v>14776</v>
          </cell>
          <cell r="BF94">
            <v>14398.150000000001</v>
          </cell>
          <cell r="BG94">
            <v>10648</v>
          </cell>
          <cell r="BH94">
            <v>5141</v>
          </cell>
          <cell r="BI94">
            <v>11379</v>
          </cell>
          <cell r="BJ94">
            <v>11402</v>
          </cell>
          <cell r="BK94">
            <v>11917</v>
          </cell>
          <cell r="BL94">
            <v>10124</v>
          </cell>
          <cell r="BM94">
            <v>11394</v>
          </cell>
          <cell r="BN94">
            <v>10753</v>
          </cell>
          <cell r="BO94">
            <v>11678</v>
          </cell>
          <cell r="BP94">
            <v>8983</v>
          </cell>
          <cell r="BQ94">
            <v>8851</v>
          </cell>
          <cell r="BR94">
            <v>12137</v>
          </cell>
          <cell r="BS94">
            <v>10376</v>
          </cell>
          <cell r="BT94">
            <v>11815</v>
          </cell>
          <cell r="BU94">
            <v>10450</v>
          </cell>
          <cell r="BV94">
            <v>13896</v>
          </cell>
          <cell r="BW94">
            <v>10284</v>
          </cell>
          <cell r="BX94">
            <v>9972</v>
          </cell>
          <cell r="BY94">
            <v>12718</v>
          </cell>
          <cell r="BZ94">
            <v>16698</v>
          </cell>
          <cell r="CA94">
            <v>12416</v>
          </cell>
          <cell r="CB94">
            <v>11750</v>
          </cell>
          <cell r="CC94">
            <v>8071</v>
          </cell>
          <cell r="CD94">
            <v>10856</v>
          </cell>
          <cell r="CE94">
            <v>14380</v>
          </cell>
          <cell r="CF94">
            <v>9004</v>
          </cell>
          <cell r="CG94">
            <v>10992</v>
          </cell>
          <cell r="CH94">
            <v>10178</v>
          </cell>
          <cell r="CI94">
            <v>9038</v>
          </cell>
          <cell r="CJ94">
            <v>10014</v>
          </cell>
          <cell r="CK94">
            <v>9672</v>
          </cell>
          <cell r="CL94">
            <v>11174</v>
          </cell>
          <cell r="CM94">
            <v>9719</v>
          </cell>
          <cell r="CN94">
            <v>11445</v>
          </cell>
          <cell r="CO94">
            <v>9219</v>
          </cell>
          <cell r="CP94">
            <v>11030</v>
          </cell>
          <cell r="CQ94">
            <v>10953</v>
          </cell>
          <cell r="CR94">
            <v>10605</v>
          </cell>
          <cell r="CS94">
            <v>6568</v>
          </cell>
          <cell r="CT94">
            <v>10966</v>
          </cell>
          <cell r="CU94">
            <v>11336</v>
          </cell>
          <cell r="CV94">
            <v>11742</v>
          </cell>
          <cell r="CW94">
            <v>10505</v>
          </cell>
          <cell r="CX94">
            <v>9458</v>
          </cell>
          <cell r="CY94">
            <v>9710</v>
          </cell>
          <cell r="CZ94">
            <v>11403</v>
          </cell>
          <cell r="DA94">
            <v>9806</v>
          </cell>
          <cell r="DB94">
            <v>9669</v>
          </cell>
          <cell r="DC94">
            <v>9812</v>
          </cell>
          <cell r="DD94">
            <v>8044</v>
          </cell>
          <cell r="DE94">
            <v>8755</v>
          </cell>
          <cell r="DF94">
            <v>13499</v>
          </cell>
          <cell r="DG94">
            <v>11369</v>
          </cell>
          <cell r="DH94">
            <v>5458</v>
          </cell>
          <cell r="DI94">
            <v>2939</v>
          </cell>
          <cell r="DJ94">
            <v>11670</v>
          </cell>
          <cell r="DK94">
            <v>11131</v>
          </cell>
          <cell r="DL94">
            <v>10045</v>
          </cell>
          <cell r="DM94">
            <v>8672</v>
          </cell>
          <cell r="DN94">
            <v>9213</v>
          </cell>
          <cell r="DO94">
            <v>11516</v>
          </cell>
          <cell r="DP94">
            <v>8631</v>
          </cell>
          <cell r="DQ94">
            <v>6455</v>
          </cell>
          <cell r="DR94">
            <v>8352</v>
          </cell>
          <cell r="DS94">
            <v>8744</v>
          </cell>
          <cell r="DT94">
            <v>11883</v>
          </cell>
          <cell r="DU94">
            <v>10577</v>
          </cell>
          <cell r="DV94">
            <v>8658</v>
          </cell>
          <cell r="DW94">
            <v>9948</v>
          </cell>
          <cell r="DX94">
            <v>11313</v>
          </cell>
          <cell r="DY94">
            <v>13147</v>
          </cell>
          <cell r="DZ94">
            <v>14366</v>
          </cell>
          <cell r="EA94">
            <v>11008</v>
          </cell>
          <cell r="EB94">
            <v>10952</v>
          </cell>
          <cell r="EC94">
            <v>7761</v>
          </cell>
          <cell r="ED94">
            <v>9991</v>
          </cell>
          <cell r="EE94">
            <v>9490</v>
          </cell>
          <cell r="EF94">
            <v>9879</v>
          </cell>
          <cell r="EG94">
            <v>11942</v>
          </cell>
          <cell r="EH94">
            <v>11296</v>
          </cell>
          <cell r="EI94">
            <v>6717</v>
          </cell>
          <cell r="EJ94" t="str">
            <v>ACTIVO</v>
          </cell>
          <cell r="EK94" t="str">
            <v>A</v>
          </cell>
          <cell r="EL94">
            <v>624</v>
          </cell>
          <cell r="EM94">
            <v>9931.32</v>
          </cell>
          <cell r="EN94">
            <v>1655.22</v>
          </cell>
          <cell r="EO94">
            <v>1969.2577845627411</v>
          </cell>
          <cell r="EP94">
            <v>3451</v>
          </cell>
          <cell r="EQ94">
            <v>11664380</v>
          </cell>
          <cell r="ER94">
            <v>0.3474865375398235</v>
          </cell>
          <cell r="ES94">
            <v>4965.66</v>
          </cell>
        </row>
        <row r="95">
          <cell r="F95">
            <v>107142</v>
          </cell>
          <cell r="G95" t="str">
            <v>CREMA LACTEA SOPROLE</v>
          </cell>
          <cell r="H95">
            <v>389</v>
          </cell>
          <cell r="I95">
            <v>1423</v>
          </cell>
          <cell r="J95">
            <v>1171</v>
          </cell>
          <cell r="K95">
            <v>1067</v>
          </cell>
          <cell r="L95">
            <v>829</v>
          </cell>
          <cell r="M95">
            <v>1072</v>
          </cell>
          <cell r="N95">
            <v>1112</v>
          </cell>
          <cell r="O95">
            <v>1008</v>
          </cell>
          <cell r="P95">
            <v>686</v>
          </cell>
          <cell r="Q95">
            <v>570</v>
          </cell>
          <cell r="R95">
            <v>911</v>
          </cell>
          <cell r="S95">
            <v>376</v>
          </cell>
          <cell r="T95">
            <v>807</v>
          </cell>
          <cell r="U95">
            <v>1047</v>
          </cell>
          <cell r="V95">
            <v>522</v>
          </cell>
          <cell r="W95">
            <v>675</v>
          </cell>
          <cell r="X95">
            <v>940</v>
          </cell>
          <cell r="Y95">
            <v>479</v>
          </cell>
          <cell r="Z95">
            <v>367</v>
          </cell>
          <cell r="AA95">
            <v>854</v>
          </cell>
          <cell r="AB95">
            <v>1109</v>
          </cell>
          <cell r="AC95">
            <v>667</v>
          </cell>
          <cell r="AD95">
            <v>707</v>
          </cell>
          <cell r="AE95">
            <v>497</v>
          </cell>
          <cell r="AF95">
            <v>760</v>
          </cell>
          <cell r="AG95">
            <v>906</v>
          </cell>
          <cell r="AH95">
            <v>1477</v>
          </cell>
          <cell r="AI95">
            <v>539</v>
          </cell>
          <cell r="AJ95">
            <v>819</v>
          </cell>
          <cell r="AK95">
            <v>1250</v>
          </cell>
          <cell r="AL95">
            <v>549</v>
          </cell>
          <cell r="AM95">
            <v>401</v>
          </cell>
          <cell r="AN95">
            <v>1014</v>
          </cell>
          <cell r="AO95">
            <v>781</v>
          </cell>
          <cell r="AP95">
            <v>499</v>
          </cell>
          <cell r="AQ95">
            <v>134</v>
          </cell>
          <cell r="AR95">
            <v>321</v>
          </cell>
          <cell r="AS95">
            <v>65</v>
          </cell>
          <cell r="AT95">
            <v>887</v>
          </cell>
          <cell r="AU95">
            <v>779</v>
          </cell>
          <cell r="AV95">
            <v>1764</v>
          </cell>
          <cell r="AW95">
            <v>512</v>
          </cell>
          <cell r="AX95">
            <v>1141</v>
          </cell>
          <cell r="AY95">
            <v>987</v>
          </cell>
          <cell r="AZ95">
            <v>1253</v>
          </cell>
          <cell r="BA95">
            <v>318</v>
          </cell>
          <cell r="BB95">
            <v>1397</v>
          </cell>
          <cell r="BC95">
            <v>940</v>
          </cell>
          <cell r="BD95">
            <v>380</v>
          </cell>
          <cell r="BE95">
            <v>479</v>
          </cell>
          <cell r="BF95">
            <v>937</v>
          </cell>
          <cell r="BG95">
            <v>601</v>
          </cell>
          <cell r="BH95">
            <v>128</v>
          </cell>
          <cell r="BI95">
            <v>1063</v>
          </cell>
          <cell r="BJ95">
            <v>530</v>
          </cell>
          <cell r="BK95">
            <v>1074</v>
          </cell>
          <cell r="BL95">
            <v>877</v>
          </cell>
          <cell r="BM95">
            <v>741</v>
          </cell>
          <cell r="BN95">
            <v>328</v>
          </cell>
          <cell r="BO95">
            <v>478</v>
          </cell>
          <cell r="BP95">
            <v>503</v>
          </cell>
          <cell r="BQ95">
            <v>1666</v>
          </cell>
          <cell r="BR95">
            <v>740</v>
          </cell>
          <cell r="BS95">
            <v>689</v>
          </cell>
          <cell r="BT95">
            <v>1272</v>
          </cell>
          <cell r="BU95">
            <v>801</v>
          </cell>
          <cell r="BV95">
            <v>668</v>
          </cell>
          <cell r="BW95">
            <v>977</v>
          </cell>
          <cell r="BX95">
            <v>477</v>
          </cell>
          <cell r="BY95">
            <v>731</v>
          </cell>
          <cell r="BZ95">
            <v>206</v>
          </cell>
          <cell r="CA95">
            <v>761</v>
          </cell>
          <cell r="CB95">
            <v>1408</v>
          </cell>
          <cell r="CC95">
            <v>925</v>
          </cell>
          <cell r="CD95">
            <v>454</v>
          </cell>
          <cell r="CE95">
            <v>153</v>
          </cell>
          <cell r="CF95">
            <v>104</v>
          </cell>
          <cell r="CG95">
            <v>1180</v>
          </cell>
          <cell r="CH95">
            <v>372</v>
          </cell>
          <cell r="CI95">
            <v>215</v>
          </cell>
          <cell r="CJ95">
            <v>1070</v>
          </cell>
          <cell r="CK95">
            <v>782</v>
          </cell>
          <cell r="CL95">
            <v>177</v>
          </cell>
          <cell r="CM95">
            <v>1090</v>
          </cell>
          <cell r="CN95">
            <v>796</v>
          </cell>
          <cell r="CO95">
            <v>504</v>
          </cell>
          <cell r="CP95">
            <v>619</v>
          </cell>
          <cell r="CQ95">
            <v>1293</v>
          </cell>
          <cell r="CR95">
            <v>735</v>
          </cell>
          <cell r="CS95">
            <v>132</v>
          </cell>
          <cell r="CT95">
            <v>656</v>
          </cell>
          <cell r="CU95">
            <v>811</v>
          </cell>
          <cell r="CV95">
            <v>1216</v>
          </cell>
          <cell r="CW95">
            <v>693</v>
          </cell>
          <cell r="CX95">
            <v>1280</v>
          </cell>
          <cell r="CY95">
            <v>771</v>
          </cell>
          <cell r="CZ95">
            <v>792</v>
          </cell>
          <cell r="DA95">
            <v>929</v>
          </cell>
          <cell r="DB95">
            <v>850</v>
          </cell>
          <cell r="DC95">
            <v>881</v>
          </cell>
          <cell r="DD95">
            <v>498</v>
          </cell>
          <cell r="DE95">
            <v>816</v>
          </cell>
          <cell r="DF95">
            <v>580</v>
          </cell>
          <cell r="DG95">
            <v>633</v>
          </cell>
          <cell r="DH95">
            <v>287</v>
          </cell>
          <cell r="DI95">
            <v>300</v>
          </cell>
          <cell r="DJ95">
            <v>702</v>
          </cell>
          <cell r="DK95">
            <v>1507</v>
          </cell>
          <cell r="DL95">
            <v>1166</v>
          </cell>
          <cell r="DM95">
            <v>1101</v>
          </cell>
          <cell r="DN95">
            <v>862</v>
          </cell>
          <cell r="DO95">
            <v>901</v>
          </cell>
          <cell r="DP95">
            <v>1047</v>
          </cell>
          <cell r="DQ95">
            <v>711</v>
          </cell>
          <cell r="DR95">
            <v>522</v>
          </cell>
          <cell r="DS95">
            <v>533</v>
          </cell>
          <cell r="DT95">
            <v>285</v>
          </cell>
          <cell r="DU95">
            <v>1055</v>
          </cell>
          <cell r="DV95">
            <v>1133</v>
          </cell>
          <cell r="DW95">
            <v>1947</v>
          </cell>
          <cell r="DX95">
            <v>1082</v>
          </cell>
          <cell r="DY95">
            <v>2119</v>
          </cell>
          <cell r="DZ95">
            <v>1638</v>
          </cell>
          <cell r="EA95">
            <v>444</v>
          </cell>
          <cell r="EB95">
            <v>1057</v>
          </cell>
          <cell r="EC95">
            <v>849</v>
          </cell>
          <cell r="ED95">
            <v>1491.126</v>
          </cell>
          <cell r="EE95">
            <v>1281</v>
          </cell>
          <cell r="EF95">
            <v>957</v>
          </cell>
          <cell r="EG95">
            <v>1365</v>
          </cell>
          <cell r="EH95">
            <v>1113</v>
          </cell>
          <cell r="EI95">
            <v>1265</v>
          </cell>
          <cell r="EJ95" t="str">
            <v>ACTIVO</v>
          </cell>
          <cell r="EK95" t="str">
            <v>A</v>
          </cell>
          <cell r="EL95">
            <v>528</v>
          </cell>
          <cell r="EM95">
            <v>1042.2050400000001</v>
          </cell>
          <cell r="EN95">
            <v>173.70084</v>
          </cell>
          <cell r="EO95">
            <v>356.91169483503131</v>
          </cell>
          <cell r="EP95">
            <v>827</v>
          </cell>
          <cell r="EQ95">
            <v>2687750</v>
          </cell>
          <cell r="ER95">
            <v>0.79350988362136488</v>
          </cell>
          <cell r="ES95">
            <v>521.10252000000003</v>
          </cell>
        </row>
        <row r="96">
          <cell r="F96">
            <v>107209</v>
          </cell>
          <cell r="G96" t="str">
            <v>CREMA WHIP TOPPIN RICH</v>
          </cell>
          <cell r="H96">
            <v>2356</v>
          </cell>
          <cell r="I96">
            <v>5940</v>
          </cell>
          <cell r="J96">
            <v>5564</v>
          </cell>
          <cell r="K96">
            <v>5860</v>
          </cell>
          <cell r="L96">
            <v>3880</v>
          </cell>
          <cell r="M96">
            <v>4428</v>
          </cell>
          <cell r="N96">
            <v>4948</v>
          </cell>
          <cell r="O96">
            <v>5316</v>
          </cell>
          <cell r="P96">
            <v>3336</v>
          </cell>
          <cell r="Q96">
            <v>3264</v>
          </cell>
          <cell r="R96">
            <v>3792</v>
          </cell>
          <cell r="S96">
            <v>1723</v>
          </cell>
          <cell r="T96">
            <v>3380</v>
          </cell>
          <cell r="U96">
            <v>5440</v>
          </cell>
          <cell r="V96">
            <v>2168</v>
          </cell>
          <cell r="W96">
            <v>4748</v>
          </cell>
          <cell r="X96">
            <v>4340</v>
          </cell>
          <cell r="Y96">
            <v>2712</v>
          </cell>
          <cell r="Z96">
            <v>1960</v>
          </cell>
          <cell r="AA96">
            <v>4612.5</v>
          </cell>
          <cell r="AB96">
            <v>5979.5</v>
          </cell>
          <cell r="AC96">
            <v>4308</v>
          </cell>
          <cell r="AD96">
            <v>4360</v>
          </cell>
          <cell r="AE96">
            <v>2648</v>
          </cell>
          <cell r="AF96">
            <v>4007</v>
          </cell>
          <cell r="AG96">
            <v>5020</v>
          </cell>
          <cell r="AH96">
            <v>3517</v>
          </cell>
          <cell r="AI96">
            <v>4019</v>
          </cell>
          <cell r="AJ96">
            <v>5060</v>
          </cell>
          <cell r="AK96">
            <v>6764</v>
          </cell>
          <cell r="AL96">
            <v>4260</v>
          </cell>
          <cell r="AM96">
            <v>2684</v>
          </cell>
          <cell r="AN96">
            <v>5056</v>
          </cell>
          <cell r="AO96">
            <v>4356</v>
          </cell>
          <cell r="AP96">
            <v>3688</v>
          </cell>
          <cell r="AQ96">
            <v>4624</v>
          </cell>
          <cell r="AR96">
            <v>5120</v>
          </cell>
          <cell r="AS96">
            <v>568</v>
          </cell>
          <cell r="AT96">
            <v>4892</v>
          </cell>
          <cell r="AU96">
            <v>4725</v>
          </cell>
          <cell r="AV96">
            <v>7654</v>
          </cell>
          <cell r="AW96">
            <v>5332</v>
          </cell>
          <cell r="AX96">
            <v>7503.2160000000003</v>
          </cell>
          <cell r="AY96">
            <v>5220</v>
          </cell>
          <cell r="AZ96">
            <v>7007</v>
          </cell>
          <cell r="BA96">
            <v>5600</v>
          </cell>
          <cell r="BB96">
            <v>7573.5</v>
          </cell>
          <cell r="BC96">
            <v>6154</v>
          </cell>
          <cell r="BD96">
            <v>4660</v>
          </cell>
          <cell r="BE96">
            <v>4880</v>
          </cell>
          <cell r="BF96">
            <v>4620</v>
          </cell>
          <cell r="BG96">
            <v>4499</v>
          </cell>
          <cell r="BH96">
            <v>1428</v>
          </cell>
          <cell r="BI96">
            <v>6512</v>
          </cell>
          <cell r="BJ96">
            <v>4644</v>
          </cell>
          <cell r="BK96">
            <v>8764</v>
          </cell>
          <cell r="BL96">
            <v>6104</v>
          </cell>
          <cell r="BM96">
            <v>6102</v>
          </cell>
          <cell r="BN96">
            <v>5386</v>
          </cell>
          <cell r="BO96">
            <v>6388</v>
          </cell>
          <cell r="BP96">
            <v>3164</v>
          </cell>
          <cell r="BQ96">
            <v>8207.5</v>
          </cell>
          <cell r="BR96">
            <v>6309</v>
          </cell>
          <cell r="BS96">
            <v>5350</v>
          </cell>
          <cell r="BT96">
            <v>7608</v>
          </cell>
          <cell r="BU96">
            <v>5916</v>
          </cell>
          <cell r="BV96">
            <v>5424</v>
          </cell>
          <cell r="BW96">
            <v>6944</v>
          </cell>
          <cell r="BX96">
            <v>5800</v>
          </cell>
          <cell r="BY96">
            <v>6600</v>
          </cell>
          <cell r="BZ96">
            <v>2462</v>
          </cell>
          <cell r="CA96">
            <v>5924</v>
          </cell>
          <cell r="CB96">
            <v>8737</v>
          </cell>
          <cell r="CC96">
            <v>9108</v>
          </cell>
          <cell r="CD96">
            <v>6070</v>
          </cell>
          <cell r="CE96">
            <v>3772</v>
          </cell>
          <cell r="CF96">
            <v>4724</v>
          </cell>
          <cell r="CG96">
            <v>6736</v>
          </cell>
          <cell r="CH96">
            <v>4168</v>
          </cell>
          <cell r="CI96">
            <v>5284</v>
          </cell>
          <cell r="CJ96">
            <v>6972</v>
          </cell>
          <cell r="CK96">
            <v>6392</v>
          </cell>
          <cell r="CL96">
            <v>4896</v>
          </cell>
          <cell r="CM96">
            <v>6342</v>
          </cell>
          <cell r="CN96">
            <v>6108</v>
          </cell>
          <cell r="CO96">
            <v>5936</v>
          </cell>
          <cell r="CP96">
            <v>7668</v>
          </cell>
          <cell r="CQ96">
            <v>6744</v>
          </cell>
          <cell r="CR96">
            <v>6632</v>
          </cell>
          <cell r="CS96">
            <v>2380</v>
          </cell>
          <cell r="CT96">
            <v>5052</v>
          </cell>
          <cell r="CU96">
            <v>5188</v>
          </cell>
          <cell r="CV96">
            <v>6016</v>
          </cell>
          <cell r="CW96">
            <v>5984</v>
          </cell>
          <cell r="CX96">
            <v>7016</v>
          </cell>
          <cell r="CY96">
            <v>3544</v>
          </cell>
          <cell r="CZ96">
            <v>5868</v>
          </cell>
          <cell r="DA96">
            <v>4280</v>
          </cell>
          <cell r="DB96">
            <v>5860</v>
          </cell>
          <cell r="DC96">
            <v>4304</v>
          </cell>
          <cell r="DD96">
            <v>3612</v>
          </cell>
          <cell r="DE96">
            <v>3916</v>
          </cell>
          <cell r="DF96">
            <v>4744</v>
          </cell>
          <cell r="DG96">
            <v>3060</v>
          </cell>
          <cell r="DH96">
            <v>2556</v>
          </cell>
          <cell r="DI96">
            <v>1200</v>
          </cell>
          <cell r="DJ96">
            <v>4212</v>
          </cell>
          <cell r="DK96">
            <v>6104</v>
          </cell>
          <cell r="DL96">
            <v>7576</v>
          </cell>
          <cell r="DM96">
            <v>6089</v>
          </cell>
          <cell r="DN96">
            <v>5744</v>
          </cell>
          <cell r="DO96">
            <v>5400</v>
          </cell>
          <cell r="DP96">
            <v>5872</v>
          </cell>
          <cell r="DQ96">
            <v>4964</v>
          </cell>
          <cell r="DR96">
            <v>4988</v>
          </cell>
          <cell r="DS96">
            <v>7140</v>
          </cell>
          <cell r="DT96">
            <v>3816</v>
          </cell>
          <cell r="DU96">
            <v>5044</v>
          </cell>
          <cell r="DV96">
            <v>5856</v>
          </cell>
          <cell r="DW96">
            <v>5780</v>
          </cell>
          <cell r="DX96">
            <v>6940</v>
          </cell>
          <cell r="DY96">
            <v>9212</v>
          </cell>
          <cell r="DZ96">
            <v>6264</v>
          </cell>
          <cell r="EA96">
            <v>1148</v>
          </cell>
          <cell r="EB96">
            <v>6404</v>
          </cell>
          <cell r="EC96">
            <v>6896</v>
          </cell>
          <cell r="ED96">
            <v>5804</v>
          </cell>
          <cell r="EE96">
            <v>5744</v>
          </cell>
          <cell r="EF96">
            <v>5380</v>
          </cell>
          <cell r="EG96">
            <v>5148</v>
          </cell>
          <cell r="EH96">
            <v>6512</v>
          </cell>
          <cell r="EI96">
            <v>4292</v>
          </cell>
          <cell r="EJ96" t="str">
            <v>ACTIVO</v>
          </cell>
          <cell r="EK96" t="str">
            <v>A</v>
          </cell>
          <cell r="EL96">
            <v>600</v>
          </cell>
          <cell r="EM96">
            <v>5549</v>
          </cell>
          <cell r="EN96">
            <v>924.83333333333337</v>
          </cell>
          <cell r="EO96">
            <v>1671.0052132516157</v>
          </cell>
          <cell r="EP96">
            <v>1652</v>
          </cell>
          <cell r="EQ96">
            <v>3968930</v>
          </cell>
          <cell r="ER96">
            <v>0.29771129933321316</v>
          </cell>
          <cell r="ES96">
            <v>2774.5</v>
          </cell>
        </row>
        <row r="97">
          <cell r="F97">
            <v>107237</v>
          </cell>
          <cell r="G97" t="str">
            <v>CREMA CHOCOLATE RICHS</v>
          </cell>
          <cell r="H97">
            <v>376</v>
          </cell>
          <cell r="I97">
            <v>252</v>
          </cell>
          <cell r="J97">
            <v>232</v>
          </cell>
          <cell r="K97">
            <v>352</v>
          </cell>
          <cell r="L97">
            <v>284</v>
          </cell>
          <cell r="M97">
            <v>336</v>
          </cell>
          <cell r="N97">
            <v>388</v>
          </cell>
          <cell r="O97">
            <v>352</v>
          </cell>
          <cell r="P97">
            <v>344</v>
          </cell>
          <cell r="Q97">
            <v>340</v>
          </cell>
          <cell r="R97">
            <v>392</v>
          </cell>
          <cell r="S97">
            <v>164</v>
          </cell>
          <cell r="T97">
            <v>88</v>
          </cell>
          <cell r="U97">
            <v>376</v>
          </cell>
          <cell r="V97">
            <v>408</v>
          </cell>
          <cell r="W97">
            <v>368</v>
          </cell>
          <cell r="X97">
            <v>412</v>
          </cell>
          <cell r="Y97">
            <v>404</v>
          </cell>
          <cell r="Z97">
            <v>892</v>
          </cell>
          <cell r="AA97">
            <v>392</v>
          </cell>
          <cell r="AB97">
            <v>436</v>
          </cell>
          <cell r="AC97">
            <v>408</v>
          </cell>
          <cell r="AD97">
            <v>472</v>
          </cell>
          <cell r="AE97">
            <v>572</v>
          </cell>
          <cell r="AF97">
            <v>372</v>
          </cell>
          <cell r="AG97">
            <v>508</v>
          </cell>
          <cell r="AH97">
            <v>833</v>
          </cell>
          <cell r="AI97">
            <v>572</v>
          </cell>
          <cell r="AJ97">
            <v>668</v>
          </cell>
          <cell r="AK97">
            <v>524</v>
          </cell>
          <cell r="AL97">
            <v>624</v>
          </cell>
          <cell r="AM97">
            <v>604</v>
          </cell>
          <cell r="AN97">
            <v>540</v>
          </cell>
          <cell r="AO97">
            <v>532</v>
          </cell>
          <cell r="AP97">
            <v>612</v>
          </cell>
          <cell r="AQ97">
            <v>560</v>
          </cell>
          <cell r="AR97">
            <v>588</v>
          </cell>
          <cell r="AS97">
            <v>140</v>
          </cell>
          <cell r="AT97">
            <v>660</v>
          </cell>
          <cell r="AU97">
            <v>604</v>
          </cell>
          <cell r="AV97">
            <v>568</v>
          </cell>
          <cell r="AW97">
            <v>520</v>
          </cell>
          <cell r="AX97">
            <v>620</v>
          </cell>
          <cell r="AY97">
            <v>560</v>
          </cell>
          <cell r="AZ97">
            <v>612</v>
          </cell>
          <cell r="BA97">
            <v>740</v>
          </cell>
          <cell r="BB97">
            <v>540</v>
          </cell>
          <cell r="BC97">
            <v>576</v>
          </cell>
          <cell r="BD97">
            <v>552</v>
          </cell>
          <cell r="BE97">
            <v>676</v>
          </cell>
          <cell r="BF97">
            <v>864</v>
          </cell>
          <cell r="BG97">
            <v>548</v>
          </cell>
          <cell r="BH97">
            <v>392</v>
          </cell>
          <cell r="BI97">
            <v>572</v>
          </cell>
          <cell r="BJ97">
            <v>388</v>
          </cell>
          <cell r="BK97">
            <v>488</v>
          </cell>
          <cell r="BL97">
            <v>620</v>
          </cell>
          <cell r="BM97">
            <v>584</v>
          </cell>
          <cell r="BN97">
            <v>677</v>
          </cell>
          <cell r="BO97">
            <v>516</v>
          </cell>
          <cell r="BP97">
            <v>584</v>
          </cell>
          <cell r="BQ97">
            <v>504</v>
          </cell>
          <cell r="BR97">
            <v>780</v>
          </cell>
          <cell r="BS97">
            <v>520</v>
          </cell>
          <cell r="BT97">
            <v>532</v>
          </cell>
          <cell r="BU97">
            <v>516</v>
          </cell>
          <cell r="BV97">
            <v>816</v>
          </cell>
          <cell r="BW97">
            <v>744</v>
          </cell>
          <cell r="BX97">
            <v>972</v>
          </cell>
          <cell r="BY97">
            <v>816</v>
          </cell>
          <cell r="BZ97">
            <v>752</v>
          </cell>
          <cell r="CA97">
            <v>540</v>
          </cell>
          <cell r="CB97">
            <v>808</v>
          </cell>
          <cell r="CC97">
            <v>564</v>
          </cell>
          <cell r="CD97">
            <v>1148</v>
          </cell>
          <cell r="CE97">
            <v>1168</v>
          </cell>
          <cell r="CF97">
            <v>1224</v>
          </cell>
          <cell r="CG97">
            <v>780</v>
          </cell>
          <cell r="CH97">
            <v>692</v>
          </cell>
          <cell r="CI97">
            <v>860</v>
          </cell>
          <cell r="CJ97">
            <v>456</v>
          </cell>
          <cell r="CK97">
            <v>468</v>
          </cell>
          <cell r="CL97">
            <v>828</v>
          </cell>
          <cell r="CM97">
            <v>900</v>
          </cell>
          <cell r="CN97">
            <v>520</v>
          </cell>
          <cell r="CO97">
            <v>920</v>
          </cell>
          <cell r="CP97">
            <v>932</v>
          </cell>
          <cell r="CQ97">
            <v>1052</v>
          </cell>
          <cell r="CR97">
            <v>704</v>
          </cell>
          <cell r="CS97">
            <v>224</v>
          </cell>
          <cell r="CT97">
            <v>864</v>
          </cell>
          <cell r="CU97">
            <v>756</v>
          </cell>
          <cell r="CV97">
            <v>1112</v>
          </cell>
          <cell r="CW97">
            <v>388</v>
          </cell>
          <cell r="CX97">
            <v>872</v>
          </cell>
          <cell r="CY97">
            <v>872</v>
          </cell>
          <cell r="CZ97">
            <v>940</v>
          </cell>
          <cell r="DA97">
            <v>640</v>
          </cell>
          <cell r="DB97">
            <v>1316</v>
          </cell>
          <cell r="DC97">
            <v>764</v>
          </cell>
          <cell r="DD97">
            <v>480</v>
          </cell>
          <cell r="DE97">
            <v>380</v>
          </cell>
          <cell r="DF97">
            <v>764</v>
          </cell>
          <cell r="DG97">
            <v>444</v>
          </cell>
          <cell r="DH97">
            <v>464</v>
          </cell>
          <cell r="DI97">
            <v>140</v>
          </cell>
          <cell r="DJ97">
            <v>959.8</v>
          </cell>
          <cell r="DK97">
            <v>736</v>
          </cell>
          <cell r="DL97">
            <v>628</v>
          </cell>
          <cell r="DM97">
            <v>536</v>
          </cell>
          <cell r="DN97">
            <v>1240</v>
          </cell>
          <cell r="DO97">
            <v>1060</v>
          </cell>
          <cell r="DP97">
            <v>688</v>
          </cell>
          <cell r="DQ97">
            <v>584</v>
          </cell>
          <cell r="DR97">
            <v>992</v>
          </cell>
          <cell r="DS97">
            <v>816</v>
          </cell>
          <cell r="DT97">
            <v>1516</v>
          </cell>
          <cell r="DU97">
            <v>1972</v>
          </cell>
          <cell r="DV97">
            <v>904</v>
          </cell>
          <cell r="DW97">
            <v>1280</v>
          </cell>
          <cell r="DX97">
            <v>1476</v>
          </cell>
          <cell r="DY97">
            <v>558</v>
          </cell>
          <cell r="DZ97">
            <v>1612</v>
          </cell>
          <cell r="EA97">
            <v>552</v>
          </cell>
          <cell r="EB97">
            <v>508</v>
          </cell>
          <cell r="EC97">
            <v>1664</v>
          </cell>
          <cell r="ED97">
            <v>728</v>
          </cell>
          <cell r="EE97">
            <v>1036</v>
          </cell>
          <cell r="EF97">
            <v>1756</v>
          </cell>
          <cell r="EG97">
            <v>556</v>
          </cell>
          <cell r="EH97">
            <v>740</v>
          </cell>
          <cell r="EI97">
            <v>909.5</v>
          </cell>
          <cell r="EJ97" t="str">
            <v>ACTIVO</v>
          </cell>
          <cell r="EK97" t="str">
            <v>A</v>
          </cell>
          <cell r="EL97">
            <v>960</v>
          </cell>
          <cell r="EM97">
            <v>979.91199999999992</v>
          </cell>
          <cell r="EN97">
            <v>163.31866666666664</v>
          </cell>
          <cell r="EO97">
            <v>243.18328839821288</v>
          </cell>
          <cell r="EP97">
            <v>826.5</v>
          </cell>
          <cell r="EQ97">
            <v>3391336.125</v>
          </cell>
          <cell r="ER97">
            <v>0.8434430846851555</v>
          </cell>
          <cell r="ES97">
            <v>489.9559999999999</v>
          </cell>
        </row>
        <row r="98">
          <cell r="F98">
            <v>107242</v>
          </cell>
          <cell r="G98" t="str">
            <v>CREMA RELLENO SABOR NARANJA ESP. QUINTA SC 1X5 Kg</v>
          </cell>
          <cell r="H98">
            <v>2385</v>
          </cell>
          <cell r="I98">
            <v>2345</v>
          </cell>
          <cell r="J98">
            <v>3205</v>
          </cell>
          <cell r="K98">
            <v>3155</v>
          </cell>
          <cell r="L98">
            <v>3040</v>
          </cell>
          <cell r="M98">
            <v>2505</v>
          </cell>
          <cell r="N98">
            <v>1520</v>
          </cell>
          <cell r="O98">
            <v>2120</v>
          </cell>
          <cell r="P98">
            <v>2485</v>
          </cell>
          <cell r="Q98">
            <v>2100</v>
          </cell>
          <cell r="R98">
            <v>2275</v>
          </cell>
          <cell r="S98">
            <v>1700</v>
          </cell>
          <cell r="T98">
            <v>1670</v>
          </cell>
          <cell r="U98">
            <v>2105</v>
          </cell>
          <cell r="V98">
            <v>1745</v>
          </cell>
          <cell r="W98">
            <v>2490</v>
          </cell>
          <cell r="X98">
            <v>3860</v>
          </cell>
          <cell r="Y98">
            <v>1785</v>
          </cell>
          <cell r="Z98">
            <v>830</v>
          </cell>
          <cell r="AA98">
            <v>1910</v>
          </cell>
          <cell r="AB98">
            <v>2204</v>
          </cell>
          <cell r="AC98">
            <v>1790</v>
          </cell>
          <cell r="AD98">
            <v>2925</v>
          </cell>
          <cell r="AE98">
            <v>2465</v>
          </cell>
          <cell r="AF98">
            <v>1405</v>
          </cell>
          <cell r="AG98">
            <v>2040</v>
          </cell>
          <cell r="AH98">
            <v>2299</v>
          </cell>
          <cell r="AI98">
            <v>2325</v>
          </cell>
          <cell r="AJ98">
            <v>1930</v>
          </cell>
          <cell r="AK98">
            <v>2175</v>
          </cell>
          <cell r="AL98">
            <v>2245</v>
          </cell>
          <cell r="AM98">
            <v>2760</v>
          </cell>
          <cell r="AN98">
            <v>1650</v>
          </cell>
          <cell r="AO98">
            <v>1635</v>
          </cell>
          <cell r="AP98">
            <v>2050</v>
          </cell>
          <cell r="AQ98">
            <v>1615</v>
          </cell>
          <cell r="AR98">
            <v>1680</v>
          </cell>
          <cell r="AS98">
            <v>1575</v>
          </cell>
          <cell r="AT98">
            <v>1490</v>
          </cell>
          <cell r="AU98">
            <v>1340</v>
          </cell>
          <cell r="AV98">
            <v>1460</v>
          </cell>
          <cell r="AW98">
            <v>2705</v>
          </cell>
          <cell r="AX98">
            <v>2230</v>
          </cell>
          <cell r="AY98">
            <v>1370</v>
          </cell>
          <cell r="AZ98">
            <v>1790</v>
          </cell>
          <cell r="BA98">
            <v>1625</v>
          </cell>
          <cell r="BB98">
            <v>2075</v>
          </cell>
          <cell r="BC98">
            <v>1615</v>
          </cell>
          <cell r="BD98">
            <v>1705</v>
          </cell>
          <cell r="BE98">
            <v>1705</v>
          </cell>
          <cell r="BF98">
            <v>1335</v>
          </cell>
          <cell r="BG98">
            <v>2295</v>
          </cell>
          <cell r="BH98">
            <v>1255</v>
          </cell>
          <cell r="BI98">
            <v>1500</v>
          </cell>
          <cell r="BJ98">
            <v>1125</v>
          </cell>
          <cell r="BK98">
            <v>2280</v>
          </cell>
          <cell r="BL98">
            <v>1695</v>
          </cell>
          <cell r="BM98">
            <v>1685</v>
          </cell>
          <cell r="BN98">
            <v>2215</v>
          </cell>
          <cell r="BO98">
            <v>2360</v>
          </cell>
          <cell r="BP98">
            <v>1460</v>
          </cell>
          <cell r="BQ98">
            <v>1180</v>
          </cell>
          <cell r="BR98">
            <v>2645</v>
          </cell>
          <cell r="BS98">
            <v>3245</v>
          </cell>
          <cell r="BT98">
            <v>3670</v>
          </cell>
          <cell r="BU98">
            <v>950</v>
          </cell>
          <cell r="BV98">
            <v>1755</v>
          </cell>
          <cell r="BW98">
            <v>2440</v>
          </cell>
          <cell r="BX98">
            <v>3635</v>
          </cell>
          <cell r="BY98">
            <v>1815</v>
          </cell>
          <cell r="BZ98">
            <v>400</v>
          </cell>
          <cell r="CA98">
            <v>1380</v>
          </cell>
          <cell r="CB98">
            <v>2095</v>
          </cell>
          <cell r="CC98">
            <v>2600</v>
          </cell>
          <cell r="CD98">
            <v>1575</v>
          </cell>
          <cell r="CE98">
            <v>430</v>
          </cell>
          <cell r="CF98">
            <v>3050</v>
          </cell>
          <cell r="CG98">
            <v>2055</v>
          </cell>
          <cell r="CH98">
            <v>775</v>
          </cell>
          <cell r="CI98">
            <v>2460</v>
          </cell>
          <cell r="CJ98"/>
          <cell r="CK98">
            <v>2925</v>
          </cell>
          <cell r="CL98">
            <v>1800</v>
          </cell>
          <cell r="CM98">
            <v>1990</v>
          </cell>
          <cell r="CN98">
            <v>2255</v>
          </cell>
          <cell r="CO98">
            <v>2020</v>
          </cell>
          <cell r="CP98">
            <v>2415</v>
          </cell>
          <cell r="CQ98">
            <v>3090</v>
          </cell>
          <cell r="CR98">
            <v>3475</v>
          </cell>
          <cell r="CS98">
            <v>1635</v>
          </cell>
          <cell r="CT98">
            <v>2110</v>
          </cell>
          <cell r="CU98">
            <v>170</v>
          </cell>
          <cell r="CV98">
            <v>2640</v>
          </cell>
          <cell r="CW98">
            <v>1195</v>
          </cell>
          <cell r="CX98">
            <v>2600</v>
          </cell>
          <cell r="CY98">
            <v>1160</v>
          </cell>
          <cell r="CZ98">
            <v>1580</v>
          </cell>
          <cell r="DA98">
            <v>3390</v>
          </cell>
          <cell r="DB98">
            <v>2540</v>
          </cell>
          <cell r="DC98">
            <v>2730</v>
          </cell>
          <cell r="DD98">
            <v>1490</v>
          </cell>
          <cell r="DE98">
            <v>1915</v>
          </cell>
          <cell r="DF98">
            <v>530</v>
          </cell>
          <cell r="DG98">
            <v>165</v>
          </cell>
          <cell r="DH98">
            <v>135</v>
          </cell>
          <cell r="DI98">
            <v>160</v>
          </cell>
          <cell r="DJ98">
            <v>1940</v>
          </cell>
          <cell r="DK98">
            <v>1665</v>
          </cell>
          <cell r="DL98">
            <v>1575</v>
          </cell>
          <cell r="DM98">
            <v>2115</v>
          </cell>
          <cell r="DN98">
            <v>2775</v>
          </cell>
          <cell r="DO98">
            <v>1205</v>
          </cell>
          <cell r="DP98">
            <v>1820</v>
          </cell>
          <cell r="DQ98">
            <v>2015</v>
          </cell>
          <cell r="DR98">
            <v>1650</v>
          </cell>
          <cell r="DS98">
            <v>1490</v>
          </cell>
          <cell r="DT98">
            <v>925</v>
          </cell>
          <cell r="DU98">
            <v>1560</v>
          </cell>
          <cell r="DV98">
            <v>1085</v>
          </cell>
          <cell r="DW98">
            <v>1120</v>
          </cell>
          <cell r="DX98">
            <v>2150</v>
          </cell>
          <cell r="DY98">
            <v>3905</v>
          </cell>
          <cell r="DZ98">
            <v>1575</v>
          </cell>
          <cell r="EA98"/>
          <cell r="EB98">
            <v>2185</v>
          </cell>
          <cell r="EC98">
            <v>1730</v>
          </cell>
          <cell r="ED98">
            <v>2315</v>
          </cell>
          <cell r="EE98">
            <v>1910</v>
          </cell>
          <cell r="EF98">
            <v>1730</v>
          </cell>
          <cell r="EG98">
            <v>1650</v>
          </cell>
          <cell r="EH98">
            <v>1445</v>
          </cell>
          <cell r="EI98">
            <v>1080</v>
          </cell>
          <cell r="EJ98" t="str">
            <v>ACTIVO</v>
          </cell>
          <cell r="EK98" t="str">
            <v>A</v>
          </cell>
          <cell r="EL98">
            <v>500</v>
          </cell>
          <cell r="EM98">
            <v>1760.4166666666667</v>
          </cell>
          <cell r="EN98">
            <v>293.40277777777777</v>
          </cell>
          <cell r="EO98">
            <v>913.29518648799501</v>
          </cell>
          <cell r="EP98">
            <v>2675</v>
          </cell>
          <cell r="EQ98">
            <v>11424229.5</v>
          </cell>
          <cell r="ER98">
            <v>1.5195266272189349</v>
          </cell>
          <cell r="ES98">
            <v>586.80555555555554</v>
          </cell>
        </row>
        <row r="99">
          <cell r="F99">
            <v>405533</v>
          </cell>
          <cell r="G99" t="str">
            <v>ULTRA RICH CLASICA UHT</v>
          </cell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>
            <v>205</v>
          </cell>
          <cell r="BX99">
            <v>1529.3078230000001</v>
          </cell>
          <cell r="BY99">
            <v>1189</v>
          </cell>
          <cell r="BZ99">
            <v>1909</v>
          </cell>
          <cell r="CA99">
            <v>880</v>
          </cell>
          <cell r="CB99">
            <v>849</v>
          </cell>
          <cell r="CC99">
            <v>878</v>
          </cell>
          <cell r="CD99">
            <v>971</v>
          </cell>
          <cell r="CE99">
            <v>1750</v>
          </cell>
          <cell r="CF99">
            <v>1064</v>
          </cell>
          <cell r="CG99">
            <v>1079</v>
          </cell>
          <cell r="CH99">
            <v>955</v>
          </cell>
          <cell r="CI99">
            <v>1167</v>
          </cell>
          <cell r="CJ99">
            <v>1112</v>
          </cell>
          <cell r="CK99">
            <v>1120</v>
          </cell>
          <cell r="CL99">
            <v>1050</v>
          </cell>
          <cell r="CM99">
            <v>1587</v>
          </cell>
          <cell r="CN99">
            <v>1088</v>
          </cell>
          <cell r="CO99">
            <v>1161</v>
          </cell>
          <cell r="CP99">
            <v>1111</v>
          </cell>
          <cell r="CQ99">
            <v>850</v>
          </cell>
          <cell r="CR99">
            <v>829</v>
          </cell>
          <cell r="CS99">
            <v>222</v>
          </cell>
          <cell r="CT99">
            <v>1555</v>
          </cell>
          <cell r="CU99">
            <v>1625</v>
          </cell>
          <cell r="CV99">
            <v>1969</v>
          </cell>
          <cell r="CW99">
            <v>1471</v>
          </cell>
          <cell r="CX99">
            <v>1325</v>
          </cell>
          <cell r="CY99">
            <v>1475</v>
          </cell>
          <cell r="CZ99">
            <v>1032</v>
          </cell>
          <cell r="DA99">
            <v>1404</v>
          </cell>
          <cell r="DB99">
            <v>1026</v>
          </cell>
          <cell r="DC99">
            <v>1241</v>
          </cell>
          <cell r="DD99">
            <v>1017</v>
          </cell>
          <cell r="DE99">
            <v>893</v>
          </cell>
          <cell r="DF99">
            <v>1290</v>
          </cell>
          <cell r="DG99">
            <v>849</v>
          </cell>
          <cell r="DH99">
            <v>504</v>
          </cell>
          <cell r="DI99">
            <v>281</v>
          </cell>
          <cell r="DJ99">
            <v>1271</v>
          </cell>
          <cell r="DK99">
            <v>1049</v>
          </cell>
          <cell r="DL99">
            <v>1012</v>
          </cell>
          <cell r="DM99">
            <v>1159</v>
          </cell>
          <cell r="DN99">
            <v>942</v>
          </cell>
          <cell r="DO99">
            <v>1221</v>
          </cell>
          <cell r="DP99">
            <v>992</v>
          </cell>
          <cell r="DQ99">
            <v>1008</v>
          </cell>
          <cell r="DR99">
            <v>1007</v>
          </cell>
          <cell r="DS99">
            <v>1183</v>
          </cell>
          <cell r="DT99">
            <v>1230</v>
          </cell>
          <cell r="DU99">
            <v>1431</v>
          </cell>
          <cell r="DV99">
            <v>1314</v>
          </cell>
          <cell r="DW99">
            <v>1311</v>
          </cell>
          <cell r="DX99">
            <v>1185</v>
          </cell>
          <cell r="DY99">
            <v>995</v>
          </cell>
          <cell r="DZ99">
            <v>1590</v>
          </cell>
          <cell r="EA99">
            <v>1255</v>
          </cell>
          <cell r="EB99">
            <v>1062</v>
          </cell>
          <cell r="EC99">
            <v>890</v>
          </cell>
          <cell r="ED99">
            <v>990</v>
          </cell>
          <cell r="EE99">
            <v>1316</v>
          </cell>
          <cell r="EF99">
            <v>929.94</v>
          </cell>
          <cell r="EG99">
            <v>1688</v>
          </cell>
          <cell r="EH99">
            <v>923</v>
          </cell>
          <cell r="EI99">
            <v>859</v>
          </cell>
          <cell r="EJ99" t="str">
            <v>ACTIVO</v>
          </cell>
          <cell r="EK99" t="str">
            <v>A</v>
          </cell>
          <cell r="EL99" t="str">
            <v/>
          </cell>
          <cell r="EM99">
            <v>1132.4775999999999</v>
          </cell>
          <cell r="EN99">
            <v>188.74626666666666</v>
          </cell>
          <cell r="EO99">
            <v>387.82399090499842</v>
          </cell>
          <cell r="EP99">
            <v>531.05999999999995</v>
          </cell>
          <cell r="EQ99">
            <v>1203381.96</v>
          </cell>
          <cell r="ER99">
            <v>0.46893642752845616</v>
          </cell>
          <cell r="ES99">
            <v>566.23879999999997</v>
          </cell>
        </row>
        <row r="100">
          <cell r="F100">
            <v>405559</v>
          </cell>
          <cell r="G100" t="str">
            <v>CREAM CHEESE BALDE MILKAUT SANTA ROSA</v>
          </cell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>
            <v>25.2</v>
          </cell>
          <cell r="CZ100">
            <v>82.800000000000011</v>
          </cell>
          <cell r="DA100">
            <v>104.39999999999999</v>
          </cell>
          <cell r="DB100">
            <v>126.00000000000001</v>
          </cell>
          <cell r="DC100">
            <v>135.20000000000002</v>
          </cell>
          <cell r="DD100">
            <v>115.20000000000003</v>
          </cell>
          <cell r="DE100">
            <v>64.8</v>
          </cell>
          <cell r="DF100">
            <v>3.6</v>
          </cell>
          <cell r="DG100"/>
          <cell r="DH100">
            <v>28.2</v>
          </cell>
          <cell r="DI100"/>
          <cell r="DJ100">
            <v>99.000000000000014</v>
          </cell>
          <cell r="DK100">
            <v>57.600000000000009</v>
          </cell>
          <cell r="DL100">
            <v>102.60000000000001</v>
          </cell>
          <cell r="DM100">
            <v>118.8</v>
          </cell>
          <cell r="DN100">
            <v>86.40000000000002</v>
          </cell>
          <cell r="DO100">
            <v>57.600000000000009</v>
          </cell>
          <cell r="DP100">
            <v>57.600000000000009</v>
          </cell>
          <cell r="DQ100">
            <v>61.20000000000001</v>
          </cell>
          <cell r="DR100">
            <v>28.8</v>
          </cell>
          <cell r="DS100">
            <v>103.5</v>
          </cell>
          <cell r="DT100">
            <v>73.8</v>
          </cell>
          <cell r="DU100">
            <v>57.600000000000009</v>
          </cell>
          <cell r="DV100">
            <v>68.400000000000006</v>
          </cell>
          <cell r="DW100">
            <v>64.800000000000011</v>
          </cell>
          <cell r="DX100">
            <v>26.1</v>
          </cell>
          <cell r="DY100">
            <v>107.6</v>
          </cell>
          <cell r="DZ100">
            <v>115.2</v>
          </cell>
          <cell r="EA100">
            <v>180.00000000000003</v>
          </cell>
          <cell r="EB100">
            <v>122.39999999999999</v>
          </cell>
          <cell r="EC100">
            <v>54.000000000000007</v>
          </cell>
          <cell r="ED100">
            <v>140.4</v>
          </cell>
          <cell r="EE100">
            <v>75.599999999999994</v>
          </cell>
          <cell r="EF100">
            <v>133.6</v>
          </cell>
          <cell r="EG100">
            <v>147.59999999999997</v>
          </cell>
          <cell r="EH100">
            <v>179.99999999999997</v>
          </cell>
          <cell r="EI100">
            <v>104.4</v>
          </cell>
          <cell r="EJ100" t="str">
            <v>ACTIVO</v>
          </cell>
          <cell r="EK100" t="str">
            <v>C</v>
          </cell>
          <cell r="EL100" t="str">
            <v/>
          </cell>
          <cell r="EM100">
            <v>89.174999999999997</v>
          </cell>
          <cell r="EN100">
            <v>14.862499999999999</v>
          </cell>
          <cell r="EO100">
            <v>48.252645293059103</v>
          </cell>
          <cell r="EP100">
            <v>349.2</v>
          </cell>
          <cell r="EQ100">
            <v>2288667.2760000001</v>
          </cell>
          <cell r="ER100">
            <v>3.9158957106812449</v>
          </cell>
          <cell r="ES100">
            <v>44.587499999999999</v>
          </cell>
        </row>
        <row r="101">
          <cell r="F101">
            <v>107254</v>
          </cell>
          <cell r="G101" t="str">
            <v>CREMA PASTELERA JUMBO PURATOS</v>
          </cell>
          <cell r="H101">
            <v>640</v>
          </cell>
          <cell r="I101">
            <v>1200</v>
          </cell>
          <cell r="J101">
            <v>1050</v>
          </cell>
          <cell r="K101">
            <v>970</v>
          </cell>
          <cell r="L101">
            <v>800</v>
          </cell>
          <cell r="M101">
            <v>970</v>
          </cell>
          <cell r="N101">
            <v>750</v>
          </cell>
          <cell r="O101">
            <v>760</v>
          </cell>
          <cell r="P101">
            <v>1060</v>
          </cell>
          <cell r="Q101">
            <v>80</v>
          </cell>
          <cell r="R101"/>
          <cell r="S101">
            <v>28</v>
          </cell>
          <cell r="T101"/>
          <cell r="U101">
            <v>30.036000000000001</v>
          </cell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K101"/>
          <cell r="DL101"/>
          <cell r="DM101"/>
          <cell r="DN101"/>
          <cell r="DO101"/>
          <cell r="DP101"/>
          <cell r="DQ101"/>
          <cell r="DR101"/>
          <cell r="DS101"/>
          <cell r="DT101"/>
          <cell r="DU101"/>
          <cell r="DV101"/>
          <cell r="DW101"/>
          <cell r="DX101"/>
          <cell r="DY101"/>
          <cell r="DZ101"/>
          <cell r="EA101"/>
          <cell r="EB101"/>
          <cell r="EC101"/>
          <cell r="ED101"/>
          <cell r="EE101"/>
          <cell r="EF101"/>
          <cell r="EG101"/>
          <cell r="EH101"/>
          <cell r="EI101"/>
          <cell r="EJ101" t="str">
            <v>SIN USO</v>
          </cell>
          <cell r="EK101" t="str">
            <v/>
          </cell>
          <cell r="EL101" t="str">
            <v/>
          </cell>
          <cell r="EM101">
            <v>0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</row>
        <row r="102">
          <cell r="F102">
            <v>107283</v>
          </cell>
          <cell r="G102" t="str">
            <v>CREMA CHANTIFESTA RICHS</v>
          </cell>
          <cell r="H102">
            <v>1101</v>
          </cell>
          <cell r="I102">
            <v>1099</v>
          </cell>
          <cell r="J102">
            <v>1106</v>
          </cell>
          <cell r="K102">
            <v>1143</v>
          </cell>
          <cell r="L102">
            <v>1270</v>
          </cell>
          <cell r="M102">
            <v>1384</v>
          </cell>
          <cell r="N102">
            <v>1276</v>
          </cell>
          <cell r="O102">
            <v>1201</v>
          </cell>
          <cell r="P102">
            <v>1036</v>
          </cell>
          <cell r="Q102">
            <v>1035</v>
          </cell>
          <cell r="R102">
            <v>1147</v>
          </cell>
          <cell r="S102">
            <v>1277</v>
          </cell>
          <cell r="T102">
            <v>1168</v>
          </cell>
          <cell r="U102">
            <v>1350</v>
          </cell>
          <cell r="V102">
            <v>1129</v>
          </cell>
          <cell r="W102">
            <v>968</v>
          </cell>
          <cell r="X102">
            <v>1238</v>
          </cell>
          <cell r="Y102">
            <v>1385</v>
          </cell>
          <cell r="Z102">
            <v>1669</v>
          </cell>
          <cell r="AA102">
            <v>983</v>
          </cell>
          <cell r="AB102">
            <v>1225</v>
          </cell>
          <cell r="AC102">
            <v>1187</v>
          </cell>
          <cell r="AD102">
            <v>1243</v>
          </cell>
          <cell r="AE102">
            <v>1115</v>
          </cell>
          <cell r="AF102">
            <v>1021</v>
          </cell>
          <cell r="AG102">
            <v>1325</v>
          </cell>
          <cell r="AH102">
            <v>1265</v>
          </cell>
          <cell r="AI102">
            <v>1032</v>
          </cell>
          <cell r="AJ102">
            <v>1276</v>
          </cell>
          <cell r="AK102">
            <v>1131</v>
          </cell>
          <cell r="AL102">
            <v>1111</v>
          </cell>
          <cell r="AM102">
            <v>1675</v>
          </cell>
          <cell r="AN102">
            <v>1472</v>
          </cell>
          <cell r="AO102">
            <v>1036</v>
          </cell>
          <cell r="AP102">
            <v>975</v>
          </cell>
          <cell r="AQ102">
            <v>969</v>
          </cell>
          <cell r="AR102">
            <v>905</v>
          </cell>
          <cell r="AS102">
            <v>178</v>
          </cell>
          <cell r="AT102">
            <v>1129</v>
          </cell>
          <cell r="AU102">
            <v>700</v>
          </cell>
          <cell r="AV102">
            <v>712</v>
          </cell>
          <cell r="AW102">
            <v>1008</v>
          </cell>
          <cell r="AX102">
            <v>815</v>
          </cell>
          <cell r="AY102">
            <v>697</v>
          </cell>
          <cell r="AZ102">
            <v>1105</v>
          </cell>
          <cell r="BA102">
            <v>904</v>
          </cell>
          <cell r="BB102">
            <v>953</v>
          </cell>
          <cell r="BC102">
            <v>1057</v>
          </cell>
          <cell r="BD102">
            <v>914</v>
          </cell>
          <cell r="BE102">
            <v>815</v>
          </cell>
          <cell r="BF102">
            <v>1007</v>
          </cell>
          <cell r="BG102">
            <v>921</v>
          </cell>
          <cell r="BH102">
            <v>773</v>
          </cell>
          <cell r="BI102">
            <v>854</v>
          </cell>
          <cell r="BJ102">
            <v>585</v>
          </cell>
          <cell r="BK102">
            <v>960</v>
          </cell>
          <cell r="BL102">
            <v>813</v>
          </cell>
          <cell r="BM102">
            <v>939</v>
          </cell>
          <cell r="BN102">
            <v>1075</v>
          </cell>
          <cell r="BO102">
            <v>727</v>
          </cell>
          <cell r="BP102">
            <v>761</v>
          </cell>
          <cell r="BQ102">
            <v>1144</v>
          </cell>
          <cell r="BR102">
            <v>834</v>
          </cell>
          <cell r="BS102">
            <v>811</v>
          </cell>
          <cell r="BT102">
            <v>808</v>
          </cell>
          <cell r="BU102">
            <v>865</v>
          </cell>
          <cell r="BV102">
            <v>792</v>
          </cell>
          <cell r="BW102">
            <v>645</v>
          </cell>
          <cell r="BX102">
            <v>0.69217700000000004</v>
          </cell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/>
          <cell r="CO102"/>
          <cell r="CP102"/>
          <cell r="CQ102"/>
          <cell r="CR102"/>
          <cell r="CS102"/>
          <cell r="CT102"/>
          <cell r="CU102"/>
          <cell r="CV102"/>
          <cell r="CW102"/>
          <cell r="CX102"/>
          <cell r="CY102"/>
          <cell r="CZ102"/>
          <cell r="DA102"/>
          <cell r="DB102"/>
          <cell r="DC102"/>
          <cell r="DD102"/>
          <cell r="DE102"/>
          <cell r="DF102"/>
          <cell r="DG102"/>
          <cell r="DH102"/>
          <cell r="DI102"/>
          <cell r="DJ102"/>
          <cell r="DK102"/>
          <cell r="DL102"/>
          <cell r="DM102"/>
          <cell r="DN102"/>
          <cell r="DO102"/>
          <cell r="DP102"/>
          <cell r="DQ102"/>
          <cell r="DR102"/>
          <cell r="DS102"/>
          <cell r="DT102"/>
          <cell r="DU102"/>
          <cell r="DV102"/>
          <cell r="DW102"/>
          <cell r="DX102"/>
          <cell r="DY102"/>
          <cell r="DZ102"/>
          <cell r="EA102"/>
          <cell r="EB102"/>
          <cell r="EC102"/>
          <cell r="ED102"/>
          <cell r="EE102"/>
          <cell r="EF102"/>
          <cell r="EG102"/>
          <cell r="EH102"/>
          <cell r="EI102"/>
          <cell r="EJ102" t="str">
            <v>SIN USO</v>
          </cell>
          <cell r="EK102" t="str">
            <v>B</v>
          </cell>
          <cell r="EL102">
            <v>720</v>
          </cell>
          <cell r="EM102">
            <v>0</v>
          </cell>
          <cell r="EN102">
            <v>0</v>
          </cell>
          <cell r="EO102">
            <v>245.15843244051595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</row>
        <row r="103">
          <cell r="F103">
            <v>107342</v>
          </cell>
          <cell r="G103" t="str">
            <v>CREMA CHANTYPACK PURATOS</v>
          </cell>
          <cell r="H103"/>
          <cell r="I103"/>
          <cell r="J103"/>
          <cell r="K103">
            <v>1786</v>
          </cell>
          <cell r="L103">
            <v>2958</v>
          </cell>
          <cell r="M103">
            <v>2460</v>
          </cell>
          <cell r="N103">
            <v>2247</v>
          </cell>
          <cell r="O103">
            <v>1985</v>
          </cell>
          <cell r="P103">
            <v>1226</v>
          </cell>
          <cell r="Q103"/>
          <cell r="R103"/>
          <cell r="S103"/>
          <cell r="T103"/>
          <cell r="U103">
            <v>2713</v>
          </cell>
          <cell r="V103">
            <v>4094</v>
          </cell>
          <cell r="W103">
            <v>2464</v>
          </cell>
          <cell r="X103">
            <v>3518</v>
          </cell>
          <cell r="Y103">
            <v>2652</v>
          </cell>
          <cell r="Z103">
            <v>4394</v>
          </cell>
          <cell r="AA103">
            <v>2043</v>
          </cell>
          <cell r="AB103">
            <v>1159</v>
          </cell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>
            <v>1879</v>
          </cell>
          <cell r="BT103">
            <v>281</v>
          </cell>
          <cell r="BU103"/>
          <cell r="BV103"/>
          <cell r="BW103"/>
          <cell r="BX103"/>
          <cell r="BY103"/>
          <cell r="BZ103">
            <v>69</v>
          </cell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>
            <v>156</v>
          </cell>
          <cell r="DG103"/>
          <cell r="DH103"/>
          <cell r="DI103"/>
          <cell r="DJ103"/>
          <cell r="DK103"/>
          <cell r="DL103"/>
          <cell r="DM103"/>
          <cell r="DN103">
            <v>441</v>
          </cell>
          <cell r="DO103">
            <v>943</v>
          </cell>
          <cell r="DP103">
            <v>587</v>
          </cell>
          <cell r="DQ103">
            <v>599</v>
          </cell>
          <cell r="DR103">
            <v>965</v>
          </cell>
          <cell r="DS103">
            <v>1281</v>
          </cell>
          <cell r="DT103">
            <v>638</v>
          </cell>
          <cell r="DU103">
            <v>697</v>
          </cell>
          <cell r="DV103">
            <v>707</v>
          </cell>
          <cell r="DW103">
            <v>667</v>
          </cell>
          <cell r="DX103">
            <v>604</v>
          </cell>
          <cell r="DY103">
            <v>655</v>
          </cell>
          <cell r="DZ103">
            <v>1015</v>
          </cell>
          <cell r="EA103">
            <v>1619</v>
          </cell>
          <cell r="EB103">
            <v>716</v>
          </cell>
          <cell r="EC103">
            <v>601</v>
          </cell>
          <cell r="ED103">
            <v>688</v>
          </cell>
          <cell r="EE103">
            <v>1088</v>
          </cell>
          <cell r="EF103">
            <v>1179</v>
          </cell>
          <cell r="EG103">
            <v>1555</v>
          </cell>
          <cell r="EH103">
            <v>1066</v>
          </cell>
          <cell r="EI103">
            <v>521</v>
          </cell>
          <cell r="EJ103" t="str">
            <v>ACTIVO</v>
          </cell>
          <cell r="EK103" t="str">
            <v>C</v>
          </cell>
          <cell r="EL103" t="str">
            <v/>
          </cell>
          <cell r="EM103">
            <v>862.25</v>
          </cell>
          <cell r="EN103">
            <v>143.70833333333334</v>
          </cell>
          <cell r="EO103">
            <v>859.5818266265677</v>
          </cell>
          <cell r="EP103">
            <v>1423</v>
          </cell>
          <cell r="EQ103">
            <v>3402393</v>
          </cell>
          <cell r="ER103">
            <v>1.6503334299797043</v>
          </cell>
          <cell r="ES103">
            <v>431.125</v>
          </cell>
        </row>
        <row r="104">
          <cell r="F104">
            <v>170179</v>
          </cell>
          <cell r="G104" t="str">
            <v>CREMA AMBIENTE ICING PURATOS</v>
          </cell>
          <cell r="H104">
            <v>80</v>
          </cell>
          <cell r="I104">
            <v>29</v>
          </cell>
          <cell r="J104">
            <v>121</v>
          </cell>
          <cell r="K104">
            <v>120</v>
          </cell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K104"/>
          <cell r="DL104"/>
          <cell r="DM104"/>
          <cell r="DN104"/>
          <cell r="DO104"/>
          <cell r="DP104"/>
          <cell r="DQ104"/>
          <cell r="DR104"/>
          <cell r="DS104"/>
          <cell r="DT104"/>
          <cell r="DU104"/>
          <cell r="DV104"/>
          <cell r="DW104"/>
          <cell r="DX104"/>
          <cell r="DY104"/>
          <cell r="DZ104"/>
          <cell r="EA104"/>
          <cell r="EB104"/>
          <cell r="EC104"/>
          <cell r="ED104"/>
          <cell r="EE104"/>
          <cell r="EF104"/>
          <cell r="EG104"/>
          <cell r="EH104"/>
          <cell r="EI104"/>
          <cell r="EJ104" t="str">
            <v>SIN USO</v>
          </cell>
          <cell r="EK104" t="str">
            <v>C</v>
          </cell>
          <cell r="EL104" t="str">
            <v/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</row>
        <row r="105">
          <cell r="F105">
            <v>405197</v>
          </cell>
          <cell r="G105" t="str">
            <v>CREMA HULALA MEL</v>
          </cell>
          <cell r="H105">
            <v>1434</v>
          </cell>
          <cell r="I105">
            <v>1867</v>
          </cell>
          <cell r="J105">
            <v>1794</v>
          </cell>
          <cell r="K105">
            <v>580</v>
          </cell>
          <cell r="L105"/>
          <cell r="M105"/>
          <cell r="N105"/>
          <cell r="O105"/>
          <cell r="P105">
            <v>801</v>
          </cell>
          <cell r="Q105">
            <v>2672</v>
          </cell>
          <cell r="R105">
            <v>3330</v>
          </cell>
          <cell r="S105">
            <v>2396</v>
          </cell>
          <cell r="T105">
            <v>1867</v>
          </cell>
          <cell r="U105">
            <v>339</v>
          </cell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L105"/>
          <cell r="CM105"/>
          <cell r="CN105"/>
          <cell r="CO105"/>
          <cell r="CP105"/>
          <cell r="CQ105"/>
          <cell r="CR105"/>
          <cell r="CS105"/>
          <cell r="CT105"/>
          <cell r="CU105"/>
          <cell r="CV105"/>
          <cell r="CW105"/>
          <cell r="CX105"/>
          <cell r="CY105"/>
          <cell r="CZ105"/>
          <cell r="DA105"/>
          <cell r="DB105"/>
          <cell r="DC105"/>
          <cell r="DD105"/>
          <cell r="DE105"/>
          <cell r="DF105"/>
          <cell r="DG105"/>
          <cell r="DH105"/>
          <cell r="DI105"/>
          <cell r="DJ105"/>
          <cell r="DK105"/>
          <cell r="DL105"/>
          <cell r="DM105"/>
          <cell r="DN105"/>
          <cell r="DO105"/>
          <cell r="DP105"/>
          <cell r="DQ105"/>
          <cell r="DR105"/>
          <cell r="DS105"/>
          <cell r="DT105"/>
          <cell r="DU105"/>
          <cell r="DV105"/>
          <cell r="DW105"/>
          <cell r="DX105"/>
          <cell r="DY105"/>
          <cell r="DZ105"/>
          <cell r="EA105"/>
          <cell r="EB105"/>
          <cell r="EC105"/>
          <cell r="ED105"/>
          <cell r="EE105"/>
          <cell r="EF105"/>
          <cell r="EG105"/>
          <cell r="EH105"/>
          <cell r="EI105"/>
          <cell r="EJ105" t="str">
            <v>SIN USO</v>
          </cell>
          <cell r="EK105" t="str">
            <v/>
          </cell>
          <cell r="EL105" t="str">
            <v/>
          </cell>
          <cell r="EM105">
            <v>0</v>
          </cell>
          <cell r="EN105">
            <v>0</v>
          </cell>
          <cell r="EO105">
            <v>0</v>
          </cell>
          <cell r="EP105">
            <v>0</v>
          </cell>
          <cell r="EQ105">
            <v>0</v>
          </cell>
          <cell r="ER105">
            <v>0</v>
          </cell>
          <cell r="ES105">
            <v>0</v>
          </cell>
        </row>
        <row r="106">
          <cell r="F106">
            <v>405161</v>
          </cell>
          <cell r="G106" t="str">
            <v>CREMA NATA RICH</v>
          </cell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>
            <v>112</v>
          </cell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/>
          <cell r="CS106"/>
          <cell r="CT106"/>
          <cell r="CU106"/>
          <cell r="CV106"/>
          <cell r="CW106"/>
          <cell r="CX106"/>
          <cell r="CY106"/>
          <cell r="CZ106"/>
          <cell r="DA106"/>
          <cell r="DB106"/>
          <cell r="DC106"/>
          <cell r="DD106"/>
          <cell r="DE106"/>
          <cell r="DF106"/>
          <cell r="DG106"/>
          <cell r="DH106"/>
          <cell r="DI106"/>
          <cell r="DJ106"/>
          <cell r="DK106"/>
          <cell r="DL106"/>
          <cell r="DM106"/>
          <cell r="DN106"/>
          <cell r="DO106"/>
          <cell r="DP106"/>
          <cell r="DQ106"/>
          <cell r="DR106"/>
          <cell r="DS106"/>
          <cell r="DT106"/>
          <cell r="DU106"/>
          <cell r="DV106"/>
          <cell r="DW106"/>
          <cell r="DX106"/>
          <cell r="DY106"/>
          <cell r="DZ106"/>
          <cell r="EA106"/>
          <cell r="EB106"/>
          <cell r="EC106"/>
          <cell r="ED106">
            <v>600</v>
          </cell>
          <cell r="EE106"/>
          <cell r="EF106"/>
          <cell r="EG106"/>
          <cell r="EH106"/>
          <cell r="EI106"/>
          <cell r="EJ106" t="str">
            <v>SIN USO</v>
          </cell>
          <cell r="EK106" t="str">
            <v>C</v>
          </cell>
          <cell r="EL106" t="str">
            <v/>
          </cell>
          <cell r="EM106">
            <v>600</v>
          </cell>
          <cell r="EN106">
            <v>100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300</v>
          </cell>
        </row>
        <row r="107">
          <cell r="F107">
            <v>107337</v>
          </cell>
          <cell r="G107" t="str">
            <v>CREMA AMBIENTE PURATOS</v>
          </cell>
          <cell r="H107"/>
          <cell r="I107"/>
          <cell r="J107"/>
          <cell r="K107">
            <v>66</v>
          </cell>
          <cell r="L107"/>
          <cell r="M107">
            <v>116</v>
          </cell>
          <cell r="N107">
            <v>64</v>
          </cell>
          <cell r="O107">
            <v>464</v>
          </cell>
          <cell r="P107">
            <v>200</v>
          </cell>
          <cell r="Q107">
            <v>474</v>
          </cell>
          <cell r="R107">
            <v>274</v>
          </cell>
          <cell r="S107">
            <v>204</v>
          </cell>
          <cell r="T107">
            <v>262</v>
          </cell>
          <cell r="U107">
            <v>359</v>
          </cell>
          <cell r="V107">
            <v>548</v>
          </cell>
          <cell r="W107">
            <v>558</v>
          </cell>
          <cell r="X107">
            <v>892</v>
          </cell>
          <cell r="Y107">
            <v>235</v>
          </cell>
          <cell r="Z107">
            <v>126</v>
          </cell>
          <cell r="AA107">
            <v>248</v>
          </cell>
          <cell r="AB107">
            <v>360</v>
          </cell>
          <cell r="AC107">
            <v>367</v>
          </cell>
          <cell r="AD107">
            <v>478</v>
          </cell>
          <cell r="AE107">
            <v>274</v>
          </cell>
          <cell r="AF107">
            <v>309</v>
          </cell>
          <cell r="AG107">
            <v>379</v>
          </cell>
          <cell r="AH107">
            <v>352</v>
          </cell>
          <cell r="AI107">
            <v>312</v>
          </cell>
          <cell r="AJ107">
            <v>302</v>
          </cell>
          <cell r="AK107">
            <v>517</v>
          </cell>
          <cell r="AL107">
            <v>642</v>
          </cell>
          <cell r="AM107">
            <v>80</v>
          </cell>
          <cell r="AN107">
            <v>139</v>
          </cell>
          <cell r="AO107">
            <v>194</v>
          </cell>
          <cell r="AP107">
            <v>86</v>
          </cell>
          <cell r="AQ107">
            <v>157</v>
          </cell>
          <cell r="AR107">
            <v>58</v>
          </cell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K107"/>
          <cell r="DL107"/>
          <cell r="DM107"/>
          <cell r="DN107"/>
          <cell r="DO107"/>
          <cell r="DP107"/>
          <cell r="DQ107"/>
          <cell r="DR107"/>
          <cell r="DS107"/>
          <cell r="DT107"/>
          <cell r="DU107"/>
          <cell r="DV107"/>
          <cell r="DW107"/>
          <cell r="DX107"/>
          <cell r="DY107"/>
          <cell r="DZ107"/>
          <cell r="EA107"/>
          <cell r="EB107"/>
          <cell r="EC107"/>
          <cell r="ED107"/>
          <cell r="EE107"/>
          <cell r="EF107"/>
          <cell r="EG107"/>
          <cell r="EH107">
            <v>10</v>
          </cell>
          <cell r="EI107"/>
          <cell r="EJ107" t="str">
            <v>SIN USO</v>
          </cell>
          <cell r="EK107" t="str">
            <v/>
          </cell>
          <cell r="EL107" t="str">
            <v/>
          </cell>
          <cell r="EM107">
            <v>0</v>
          </cell>
          <cell r="EN107">
            <v>0</v>
          </cell>
          <cell r="EO107">
            <v>0</v>
          </cell>
          <cell r="EP107">
            <v>27</v>
          </cell>
          <cell r="EQ107">
            <v>69120</v>
          </cell>
          <cell r="ER107">
            <v>0</v>
          </cell>
          <cell r="ES107">
            <v>0</v>
          </cell>
        </row>
        <row r="108">
          <cell r="F108">
            <v>405673</v>
          </cell>
          <cell r="G108" t="str">
            <v>CREMA VEGETAL AMBIANTE</v>
          </cell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  <cell r="AL108"/>
          <cell r="AM108"/>
          <cell r="AN108"/>
          <cell r="AO108"/>
          <cell r="AP108"/>
          <cell r="AQ108"/>
          <cell r="AR108"/>
          <cell r="AS108"/>
          <cell r="AT108"/>
          <cell r="AU108"/>
          <cell r="AV108"/>
          <cell r="AW108"/>
          <cell r="AX108"/>
          <cell r="AY108"/>
          <cell r="AZ108"/>
          <cell r="BA108"/>
          <cell r="BB108"/>
          <cell r="BC108"/>
          <cell r="BD108"/>
          <cell r="BE108"/>
          <cell r="BF108"/>
          <cell r="BG108"/>
          <cell r="BH108"/>
          <cell r="BI108"/>
          <cell r="BJ108"/>
          <cell r="BK108"/>
          <cell r="BL108"/>
          <cell r="BM108"/>
          <cell r="BN108"/>
          <cell r="BO108"/>
          <cell r="BP108"/>
          <cell r="BQ108"/>
          <cell r="BR108"/>
          <cell r="BS108"/>
          <cell r="BT108"/>
          <cell r="BU108"/>
          <cell r="BV108"/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  <cell r="CJ108"/>
          <cell r="CK108"/>
          <cell r="CL108"/>
          <cell r="CM108"/>
          <cell r="CN108"/>
          <cell r="CO108"/>
          <cell r="CP108"/>
          <cell r="CQ108"/>
          <cell r="CR108"/>
          <cell r="CS108"/>
          <cell r="CT108"/>
          <cell r="CU108"/>
          <cell r="CV108"/>
          <cell r="CW108"/>
          <cell r="CX108"/>
          <cell r="CY108"/>
          <cell r="CZ108"/>
          <cell r="DA108"/>
          <cell r="DB108"/>
          <cell r="DC108"/>
          <cell r="DD108"/>
          <cell r="DE108"/>
          <cell r="DF108"/>
          <cell r="DG108"/>
          <cell r="DH108"/>
          <cell r="DI108"/>
          <cell r="DJ108"/>
          <cell r="DK108"/>
          <cell r="DL108"/>
          <cell r="DM108"/>
          <cell r="DN108"/>
          <cell r="DO108"/>
          <cell r="DP108"/>
          <cell r="DQ108"/>
          <cell r="DR108"/>
          <cell r="DS108"/>
          <cell r="DT108"/>
          <cell r="DU108"/>
          <cell r="DV108"/>
          <cell r="DW108"/>
          <cell r="DX108"/>
          <cell r="DY108"/>
          <cell r="DZ108"/>
          <cell r="EA108"/>
          <cell r="EB108"/>
          <cell r="EC108"/>
          <cell r="ED108">
            <v>79</v>
          </cell>
          <cell r="EE108">
            <v>118</v>
          </cell>
          <cell r="EF108">
            <v>134</v>
          </cell>
          <cell r="EG108">
            <v>234</v>
          </cell>
          <cell r="EH108">
            <v>131</v>
          </cell>
          <cell r="EI108">
            <v>99</v>
          </cell>
          <cell r="EJ108" t="str">
            <v>ACTIVO</v>
          </cell>
          <cell r="EK108" t="str">
            <v/>
          </cell>
          <cell r="EL108" t="str">
            <v/>
          </cell>
          <cell r="EM108">
            <v>141.25</v>
          </cell>
          <cell r="EN108">
            <v>23.541666666666668</v>
          </cell>
          <cell r="EO108">
            <v>0</v>
          </cell>
          <cell r="EP108">
            <v>241</v>
          </cell>
          <cell r="EQ108">
            <v>846392</v>
          </cell>
          <cell r="ER108">
            <v>1.7061946902654868</v>
          </cell>
          <cell r="ES108">
            <v>94.166666666666671</v>
          </cell>
        </row>
        <row r="109">
          <cell r="F109">
            <v>170183</v>
          </cell>
          <cell r="G109" t="str">
            <v>CREMA AMBIANTE NATA PURATOS</v>
          </cell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/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  <cell r="CL109"/>
          <cell r="CM109"/>
          <cell r="CN109"/>
          <cell r="CO109"/>
          <cell r="CP109"/>
          <cell r="CQ109"/>
          <cell r="CR109"/>
          <cell r="CS109"/>
          <cell r="CT109"/>
          <cell r="CU109"/>
          <cell r="CV109"/>
          <cell r="CW109"/>
          <cell r="CX109"/>
          <cell r="CY109"/>
          <cell r="CZ109"/>
          <cell r="DA109"/>
          <cell r="DB109"/>
          <cell r="DC109"/>
          <cell r="DD109"/>
          <cell r="DE109"/>
          <cell r="DF109"/>
          <cell r="DG109"/>
          <cell r="DH109"/>
          <cell r="DI109"/>
          <cell r="DJ109"/>
          <cell r="DK109"/>
          <cell r="DL109"/>
          <cell r="DM109"/>
          <cell r="DN109"/>
          <cell r="DO109"/>
          <cell r="DP109"/>
          <cell r="DQ109"/>
          <cell r="DR109"/>
          <cell r="DS109"/>
          <cell r="DT109"/>
          <cell r="DU109"/>
          <cell r="DV109"/>
          <cell r="DW109"/>
          <cell r="DX109"/>
          <cell r="DY109"/>
          <cell r="DZ109"/>
          <cell r="EA109"/>
          <cell r="EB109"/>
          <cell r="EC109"/>
          <cell r="ED109">
            <v>277</v>
          </cell>
          <cell r="EE109">
            <v>324</v>
          </cell>
          <cell r="EF109">
            <v>168</v>
          </cell>
          <cell r="EG109">
            <v>32</v>
          </cell>
          <cell r="EH109">
            <v>179</v>
          </cell>
          <cell r="EI109">
            <v>108</v>
          </cell>
          <cell r="EJ109" t="str">
            <v>ACTIVO</v>
          </cell>
          <cell r="EK109" t="str">
            <v/>
          </cell>
          <cell r="EL109" t="str">
            <v/>
          </cell>
          <cell r="EM109">
            <v>200.25</v>
          </cell>
          <cell r="EN109">
            <v>33.375</v>
          </cell>
          <cell r="EO109">
            <v>0</v>
          </cell>
          <cell r="EP109">
            <v>1103</v>
          </cell>
          <cell r="EQ109">
            <v>3723728</v>
          </cell>
          <cell r="ER109">
            <v>5.5081148564294633</v>
          </cell>
          <cell r="ES109">
            <v>133.5</v>
          </cell>
        </row>
        <row r="110">
          <cell r="F110"/>
          <cell r="G110"/>
          <cell r="H110">
            <v>19827</v>
          </cell>
          <cell r="I110">
            <v>21964</v>
          </cell>
          <cell r="J110">
            <v>19916</v>
          </cell>
          <cell r="K110">
            <v>21976</v>
          </cell>
          <cell r="L110">
            <v>22230</v>
          </cell>
          <cell r="M110">
            <v>21267</v>
          </cell>
          <cell r="N110">
            <v>19651</v>
          </cell>
          <cell r="O110">
            <v>19761</v>
          </cell>
          <cell r="P110">
            <v>18898</v>
          </cell>
          <cell r="Q110">
            <v>19943</v>
          </cell>
          <cell r="R110">
            <v>23183</v>
          </cell>
          <cell r="S110">
            <v>15954</v>
          </cell>
          <cell r="T110">
            <v>16493</v>
          </cell>
          <cell r="U110">
            <v>23848.036</v>
          </cell>
          <cell r="V110">
            <v>24015</v>
          </cell>
          <cell r="W110">
            <v>21081</v>
          </cell>
          <cell r="X110">
            <v>26969</v>
          </cell>
          <cell r="Y110">
            <v>21317</v>
          </cell>
          <cell r="Z110">
            <v>27134</v>
          </cell>
          <cell r="AA110">
            <v>21471.5</v>
          </cell>
          <cell r="AB110">
            <v>23745.5</v>
          </cell>
          <cell r="AC110">
            <v>20216</v>
          </cell>
          <cell r="AD110">
            <v>26822</v>
          </cell>
          <cell r="AE110">
            <v>28341</v>
          </cell>
          <cell r="AF110">
            <v>18087</v>
          </cell>
          <cell r="AG110">
            <v>23097</v>
          </cell>
          <cell r="AH110">
            <v>20706</v>
          </cell>
          <cell r="AI110">
            <v>22434</v>
          </cell>
          <cell r="AJ110">
            <v>24351</v>
          </cell>
          <cell r="AK110">
            <v>28291</v>
          </cell>
          <cell r="AL110">
            <v>23748</v>
          </cell>
          <cell r="AM110">
            <v>25103</v>
          </cell>
          <cell r="AN110">
            <v>25717</v>
          </cell>
          <cell r="AO110">
            <v>25087</v>
          </cell>
          <cell r="AP110">
            <v>21862</v>
          </cell>
          <cell r="AQ110">
            <v>23001</v>
          </cell>
          <cell r="AR110">
            <v>23351</v>
          </cell>
          <cell r="AS110">
            <v>8100</v>
          </cell>
          <cell r="AT110">
            <v>25761</v>
          </cell>
          <cell r="AU110">
            <v>22220</v>
          </cell>
          <cell r="AV110">
            <v>27283</v>
          </cell>
          <cell r="AW110">
            <v>22435</v>
          </cell>
          <cell r="AX110">
            <v>28156.216</v>
          </cell>
          <cell r="AY110">
            <v>22738</v>
          </cell>
          <cell r="AZ110">
            <v>28337</v>
          </cell>
          <cell r="BA110">
            <v>26134</v>
          </cell>
          <cell r="BB110">
            <v>28378.5</v>
          </cell>
          <cell r="BC110">
            <v>26248</v>
          </cell>
          <cell r="BD110">
            <v>26692</v>
          </cell>
          <cell r="BE110">
            <v>29281.5</v>
          </cell>
          <cell r="BF110">
            <v>29615.200000000001</v>
          </cell>
          <cell r="BG110">
            <v>25045</v>
          </cell>
          <cell r="BH110">
            <v>11571</v>
          </cell>
          <cell r="BI110">
            <v>27030</v>
          </cell>
          <cell r="BJ110">
            <v>23485</v>
          </cell>
          <cell r="BK110">
            <v>31660</v>
          </cell>
          <cell r="BL110">
            <v>25769</v>
          </cell>
          <cell r="BM110">
            <v>27228</v>
          </cell>
          <cell r="BN110">
            <v>25903</v>
          </cell>
          <cell r="BO110">
            <v>27580</v>
          </cell>
          <cell r="BP110">
            <v>20112</v>
          </cell>
          <cell r="BQ110">
            <v>26025.5</v>
          </cell>
          <cell r="BR110">
            <v>29782</v>
          </cell>
          <cell r="BS110">
            <v>26429</v>
          </cell>
          <cell r="BT110">
            <v>31638</v>
          </cell>
          <cell r="BU110">
            <v>24605</v>
          </cell>
          <cell r="BV110">
            <v>29432</v>
          </cell>
          <cell r="BW110">
            <v>27223</v>
          </cell>
          <cell r="BX110">
            <v>28060</v>
          </cell>
          <cell r="BY110">
            <v>30481</v>
          </cell>
          <cell r="BZ110">
            <v>30689</v>
          </cell>
          <cell r="CA110">
            <v>27678</v>
          </cell>
          <cell r="CB110">
            <v>31257</v>
          </cell>
          <cell r="CC110">
            <v>26586</v>
          </cell>
          <cell r="CD110">
            <v>26384</v>
          </cell>
          <cell r="CE110">
            <v>28952</v>
          </cell>
          <cell r="CF110">
            <v>23864</v>
          </cell>
          <cell r="CG110">
            <v>28512</v>
          </cell>
          <cell r="CH110">
            <v>22284</v>
          </cell>
          <cell r="CI110">
            <v>24511</v>
          </cell>
          <cell r="CJ110">
            <v>24786</v>
          </cell>
          <cell r="CK110">
            <v>26186</v>
          </cell>
          <cell r="CL110">
            <v>25254</v>
          </cell>
          <cell r="CM110">
            <v>27123</v>
          </cell>
          <cell r="CN110">
            <v>27219</v>
          </cell>
          <cell r="CO110">
            <v>25056</v>
          </cell>
          <cell r="CP110">
            <v>29348</v>
          </cell>
          <cell r="CQ110">
            <v>29454</v>
          </cell>
          <cell r="CR110">
            <v>28586</v>
          </cell>
          <cell r="CS110">
            <v>13946</v>
          </cell>
          <cell r="CT110">
            <v>27033</v>
          </cell>
          <cell r="CU110">
            <v>25444</v>
          </cell>
          <cell r="CV110">
            <v>31183</v>
          </cell>
          <cell r="CW110">
            <v>25482</v>
          </cell>
          <cell r="CX110">
            <v>27379</v>
          </cell>
          <cell r="CY110">
            <v>22725.200000000001</v>
          </cell>
          <cell r="CZ110">
            <v>27065.8</v>
          </cell>
          <cell r="DA110">
            <v>25713.4</v>
          </cell>
          <cell r="DB110">
            <v>26026</v>
          </cell>
          <cell r="DC110">
            <v>25163.200000000001</v>
          </cell>
          <cell r="DD110">
            <v>19890.2</v>
          </cell>
          <cell r="DE110">
            <v>21177.8</v>
          </cell>
          <cell r="DF110">
            <v>27989.599999999999</v>
          </cell>
          <cell r="DG110">
            <v>21871</v>
          </cell>
          <cell r="DH110">
            <v>12104.2</v>
          </cell>
          <cell r="DI110">
            <v>6549</v>
          </cell>
          <cell r="DJ110">
            <v>27034.799999999999</v>
          </cell>
          <cell r="DK110">
            <v>27803.599999999999</v>
          </cell>
          <cell r="DL110">
            <v>27309.599999999999</v>
          </cell>
          <cell r="DM110">
            <v>24346.799999999999</v>
          </cell>
          <cell r="DN110">
            <v>25719.4</v>
          </cell>
          <cell r="DO110">
            <v>27016.6</v>
          </cell>
          <cell r="DP110">
            <v>23702.6</v>
          </cell>
          <cell r="DQ110">
            <v>19604.2</v>
          </cell>
          <cell r="DR110">
            <v>22563.8</v>
          </cell>
          <cell r="DS110">
            <v>25728.5</v>
          </cell>
          <cell r="DT110">
            <v>25271.8</v>
          </cell>
          <cell r="DU110">
            <v>27348.6</v>
          </cell>
          <cell r="DV110">
            <v>24087.4</v>
          </cell>
          <cell r="DW110">
            <v>26643.8</v>
          </cell>
          <cell r="DX110">
            <v>29953.1</v>
          </cell>
          <cell r="DY110">
            <v>37070.6</v>
          </cell>
          <cell r="DZ110">
            <v>34582.199999999997</v>
          </cell>
          <cell r="EA110">
            <v>22714</v>
          </cell>
          <cell r="EB110">
            <v>28194.400000000001</v>
          </cell>
          <cell r="EC110">
            <v>24208</v>
          </cell>
          <cell r="ED110">
            <v>27874.326000000001</v>
          </cell>
          <cell r="EE110">
            <v>27248.6</v>
          </cell>
          <cell r="EF110">
            <v>26303.539999999997</v>
          </cell>
          <cell r="EG110">
            <v>30346.6</v>
          </cell>
          <cell r="EH110">
            <v>29270</v>
          </cell>
          <cell r="EI110">
            <v>18905.900000000001</v>
          </cell>
          <cell r="EJ110" t="str">
            <v>ACTIVO</v>
          </cell>
          <cell r="EK110" t="str">
            <v/>
          </cell>
          <cell r="EL110" t="str">
            <v/>
          </cell>
          <cell r="EM110">
            <v>25969.034640000002</v>
          </cell>
          <cell r="EN110">
            <v>4328.1724400000003</v>
          </cell>
          <cell r="EO110">
            <v>4290.7959315287071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</row>
        <row r="111">
          <cell r="F111">
            <v>107344</v>
          </cell>
          <cell r="G111" t="str">
            <v>CUPULA TORTA ALTA  15PP (98-5) MOLDESPAC</v>
          </cell>
          <cell r="H111">
            <v>420</v>
          </cell>
          <cell r="I111"/>
          <cell r="J111"/>
          <cell r="K111"/>
          <cell r="L111"/>
          <cell r="M111">
            <v>4100</v>
          </cell>
          <cell r="N111">
            <v>38970</v>
          </cell>
          <cell r="O111">
            <v>36560</v>
          </cell>
          <cell r="P111">
            <v>29680</v>
          </cell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>
            <v>11980</v>
          </cell>
          <cell r="AI111"/>
          <cell r="AJ111">
            <v>2240</v>
          </cell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>
            <v>50336</v>
          </cell>
          <cell r="BE111">
            <v>49241.5</v>
          </cell>
          <cell r="BF111">
            <v>2552.5</v>
          </cell>
          <cell r="BG111"/>
          <cell r="BH111">
            <v>1890</v>
          </cell>
          <cell r="BI111">
            <v>4150</v>
          </cell>
          <cell r="BJ111">
            <v>12320</v>
          </cell>
          <cell r="BK111">
            <v>23710</v>
          </cell>
          <cell r="BL111">
            <v>20750</v>
          </cell>
          <cell r="BM111">
            <v>29300</v>
          </cell>
          <cell r="BN111">
            <v>27020</v>
          </cell>
          <cell r="BO111">
            <v>20210</v>
          </cell>
          <cell r="BP111">
            <v>14650</v>
          </cell>
          <cell r="BQ111">
            <v>13990</v>
          </cell>
          <cell r="BR111">
            <v>7780</v>
          </cell>
          <cell r="BS111">
            <v>8970</v>
          </cell>
          <cell r="BT111">
            <v>15230</v>
          </cell>
          <cell r="BU111">
            <v>8540</v>
          </cell>
          <cell r="BV111">
            <v>4410</v>
          </cell>
          <cell r="BW111">
            <v>6440</v>
          </cell>
          <cell r="BX111"/>
          <cell r="BY111"/>
          <cell r="BZ111">
            <v>7700</v>
          </cell>
          <cell r="CA111">
            <v>12670</v>
          </cell>
          <cell r="CB111">
            <v>19110</v>
          </cell>
          <cell r="CC111">
            <v>18410</v>
          </cell>
          <cell r="CD111">
            <v>22260</v>
          </cell>
          <cell r="CE111">
            <v>9100</v>
          </cell>
          <cell r="CF111">
            <v>10850</v>
          </cell>
          <cell r="CG111">
            <v>17570</v>
          </cell>
          <cell r="CH111">
            <v>5880</v>
          </cell>
          <cell r="CI111">
            <v>3220</v>
          </cell>
          <cell r="CJ111">
            <v>33390</v>
          </cell>
          <cell r="CK111">
            <v>23100</v>
          </cell>
          <cell r="CL111">
            <v>16660</v>
          </cell>
          <cell r="CM111">
            <v>18390</v>
          </cell>
          <cell r="CN111">
            <v>15260</v>
          </cell>
          <cell r="CO111">
            <v>53480</v>
          </cell>
          <cell r="CP111">
            <v>19740</v>
          </cell>
          <cell r="CQ111">
            <v>19600</v>
          </cell>
          <cell r="CR111">
            <v>20510</v>
          </cell>
          <cell r="CS111">
            <v>9520</v>
          </cell>
          <cell r="CT111">
            <v>18690</v>
          </cell>
          <cell r="CU111">
            <v>14410</v>
          </cell>
          <cell r="CV111">
            <v>19040</v>
          </cell>
          <cell r="CW111">
            <v>21210</v>
          </cell>
          <cell r="CX111">
            <v>17080</v>
          </cell>
          <cell r="CY111">
            <v>14210</v>
          </cell>
          <cell r="CZ111">
            <v>17500</v>
          </cell>
          <cell r="DA111">
            <v>7790</v>
          </cell>
          <cell r="DB111">
            <v>17010</v>
          </cell>
          <cell r="DC111">
            <v>14840</v>
          </cell>
          <cell r="DD111">
            <v>15610</v>
          </cell>
          <cell r="DE111">
            <v>13861</v>
          </cell>
          <cell r="DF111"/>
          <cell r="DG111">
            <v>700</v>
          </cell>
          <cell r="DH111"/>
          <cell r="DI111"/>
          <cell r="DJ111">
            <v>4760</v>
          </cell>
          <cell r="DK111"/>
          <cell r="DL111">
            <v>7490</v>
          </cell>
          <cell r="DM111">
            <v>70</v>
          </cell>
          <cell r="DN111"/>
          <cell r="DO111">
            <v>2100</v>
          </cell>
          <cell r="DP111"/>
          <cell r="DQ111"/>
          <cell r="DR111"/>
          <cell r="DS111"/>
          <cell r="DT111"/>
          <cell r="DU111"/>
          <cell r="DV111"/>
          <cell r="DW111"/>
          <cell r="DX111"/>
          <cell r="DY111">
            <v>4480</v>
          </cell>
          <cell r="DZ111">
            <v>8960</v>
          </cell>
          <cell r="EA111">
            <v>4480</v>
          </cell>
          <cell r="EB111"/>
          <cell r="EC111">
            <v>2240</v>
          </cell>
          <cell r="ED111">
            <v>2240</v>
          </cell>
          <cell r="EE111">
            <v>6720</v>
          </cell>
          <cell r="EF111"/>
          <cell r="EG111"/>
          <cell r="EH111"/>
          <cell r="EI111">
            <v>2240</v>
          </cell>
          <cell r="EJ111" t="str">
            <v>ACTIVO</v>
          </cell>
          <cell r="EK111" t="str">
            <v>A</v>
          </cell>
          <cell r="EL111" t="str">
            <v/>
          </cell>
          <cell r="EM111">
            <v>4354</v>
          </cell>
          <cell r="EN111">
            <v>725.66666666666663</v>
          </cell>
          <cell r="EO111">
            <v>8947.0956425576915</v>
          </cell>
          <cell r="EP111">
            <v>4480</v>
          </cell>
          <cell r="EQ111">
            <v>1075065.6000000001</v>
          </cell>
          <cell r="ER111">
            <v>1.0289389067524115</v>
          </cell>
          <cell r="ES111">
            <v>1451.3333333333333</v>
          </cell>
        </row>
        <row r="112">
          <cell r="F112">
            <v>403231</v>
          </cell>
          <cell r="G112" t="str">
            <v>CUPULA TORTA ALTA  15PP (98-5) MONSALVE CENCOSUD</v>
          </cell>
          <cell r="H112">
            <v>4340</v>
          </cell>
          <cell r="I112"/>
          <cell r="J112"/>
          <cell r="K112"/>
          <cell r="L112"/>
          <cell r="M112"/>
          <cell r="N112">
            <v>2100</v>
          </cell>
          <cell r="O112"/>
          <cell r="P112">
            <v>350</v>
          </cell>
          <cell r="Q112"/>
          <cell r="R112">
            <v>1330</v>
          </cell>
          <cell r="S112">
            <v>2240</v>
          </cell>
          <cell r="T112"/>
          <cell r="U112">
            <v>2240</v>
          </cell>
          <cell r="V112">
            <v>4480</v>
          </cell>
          <cell r="W112"/>
          <cell r="X112"/>
          <cell r="Y112">
            <v>4480</v>
          </cell>
          <cell r="Z112">
            <v>2240</v>
          </cell>
          <cell r="AA112"/>
          <cell r="AB112">
            <v>2240</v>
          </cell>
          <cell r="AC112">
            <v>2240</v>
          </cell>
          <cell r="AD112"/>
          <cell r="AE112"/>
          <cell r="AF112"/>
          <cell r="AG112">
            <v>2240</v>
          </cell>
          <cell r="AH112">
            <v>6640</v>
          </cell>
          <cell r="AI112"/>
          <cell r="AJ112"/>
          <cell r="AK112">
            <v>2240</v>
          </cell>
          <cell r="AL112">
            <v>4480</v>
          </cell>
          <cell r="AM112">
            <v>2240</v>
          </cell>
          <cell r="AN112">
            <v>4480</v>
          </cell>
          <cell r="AO112">
            <v>490</v>
          </cell>
          <cell r="AP112">
            <v>2240</v>
          </cell>
          <cell r="AQ112">
            <v>7560</v>
          </cell>
          <cell r="AR112">
            <v>12430</v>
          </cell>
          <cell r="AS112"/>
          <cell r="AT112">
            <v>1120</v>
          </cell>
          <cell r="AU112">
            <v>6860</v>
          </cell>
          <cell r="AV112">
            <v>3220</v>
          </cell>
          <cell r="AW112">
            <v>10920</v>
          </cell>
          <cell r="AX112">
            <v>19770</v>
          </cell>
          <cell r="AY112">
            <v>19250</v>
          </cell>
          <cell r="AZ112">
            <v>20750</v>
          </cell>
          <cell r="BA112">
            <v>18410</v>
          </cell>
          <cell r="BB112">
            <v>59986</v>
          </cell>
          <cell r="BC112">
            <v>51900</v>
          </cell>
          <cell r="BD112">
            <v>904</v>
          </cell>
          <cell r="BE112"/>
          <cell r="BF112">
            <v>23627.5</v>
          </cell>
          <cell r="BG112">
            <v>16520</v>
          </cell>
          <cell r="BH112">
            <v>2870</v>
          </cell>
          <cell r="BI112">
            <v>25180</v>
          </cell>
          <cell r="BJ112">
            <v>4690</v>
          </cell>
          <cell r="BK112"/>
          <cell r="BL112">
            <v>560</v>
          </cell>
          <cell r="BM112"/>
          <cell r="BN112"/>
          <cell r="BO112">
            <v>350</v>
          </cell>
          <cell r="BP112">
            <v>4420</v>
          </cell>
          <cell r="BQ112">
            <v>13890</v>
          </cell>
          <cell r="BR112">
            <v>7110</v>
          </cell>
          <cell r="BS112">
            <v>2030</v>
          </cell>
          <cell r="BT112">
            <v>10290</v>
          </cell>
          <cell r="BU112">
            <v>15610</v>
          </cell>
          <cell r="BV112">
            <v>14980</v>
          </cell>
          <cell r="BW112">
            <v>21770</v>
          </cell>
          <cell r="BX112">
            <v>20650</v>
          </cell>
          <cell r="BY112">
            <v>25340</v>
          </cell>
          <cell r="BZ112">
            <v>2730</v>
          </cell>
          <cell r="CA112">
            <v>7910</v>
          </cell>
          <cell r="CB112">
            <v>16870</v>
          </cell>
          <cell r="CC112">
            <v>8750</v>
          </cell>
          <cell r="CD112">
            <v>5320</v>
          </cell>
          <cell r="CE112">
            <v>3220</v>
          </cell>
          <cell r="CF112">
            <v>6720</v>
          </cell>
          <cell r="CG112">
            <v>5950</v>
          </cell>
          <cell r="CH112">
            <v>8120</v>
          </cell>
          <cell r="CI112">
            <v>12320</v>
          </cell>
          <cell r="CJ112">
            <v>4900</v>
          </cell>
          <cell r="CK112">
            <v>6720</v>
          </cell>
          <cell r="CL112">
            <v>4340</v>
          </cell>
          <cell r="CM112">
            <v>6160</v>
          </cell>
          <cell r="CN112">
            <v>3500</v>
          </cell>
          <cell r="CO112">
            <v>560</v>
          </cell>
          <cell r="CP112">
            <v>22960</v>
          </cell>
          <cell r="CQ112">
            <v>4620</v>
          </cell>
          <cell r="CR112">
            <v>4620</v>
          </cell>
          <cell r="CS112">
            <v>350</v>
          </cell>
          <cell r="CT112"/>
          <cell r="CU112">
            <v>4550</v>
          </cell>
          <cell r="CV112">
            <v>4620</v>
          </cell>
          <cell r="CW112"/>
          <cell r="CX112">
            <v>6930</v>
          </cell>
          <cell r="CY112"/>
          <cell r="CZ112">
            <v>6930</v>
          </cell>
          <cell r="DA112">
            <v>6700</v>
          </cell>
          <cell r="DB112">
            <v>4620</v>
          </cell>
          <cell r="DC112"/>
          <cell r="DD112"/>
          <cell r="DE112"/>
          <cell r="DF112"/>
          <cell r="DG112"/>
          <cell r="DH112"/>
          <cell r="DI112"/>
          <cell r="DJ112"/>
          <cell r="DK112"/>
          <cell r="DL112"/>
          <cell r="DM112"/>
          <cell r="DN112"/>
          <cell r="DO112"/>
          <cell r="DP112"/>
          <cell r="DQ112"/>
          <cell r="DR112"/>
          <cell r="DS112"/>
          <cell r="DT112"/>
          <cell r="DU112"/>
          <cell r="DV112"/>
          <cell r="DW112"/>
          <cell r="DX112"/>
          <cell r="DY112"/>
          <cell r="DZ112"/>
          <cell r="EA112"/>
          <cell r="EB112"/>
          <cell r="EC112"/>
          <cell r="ED112"/>
          <cell r="EE112"/>
          <cell r="EF112"/>
          <cell r="EG112"/>
          <cell r="EH112"/>
          <cell r="EI112"/>
          <cell r="EJ112" t="str">
            <v>ACTIVO</v>
          </cell>
          <cell r="EK112" t="str">
            <v>B</v>
          </cell>
          <cell r="EL112">
            <v>2240</v>
          </cell>
          <cell r="EM112">
            <v>0</v>
          </cell>
          <cell r="EN112">
            <v>0</v>
          </cell>
          <cell r="EO112">
            <v>6887.6414508957678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</row>
        <row r="113">
          <cell r="F113">
            <v>405380</v>
          </cell>
          <cell r="G113" t="str">
            <v>CUPULA TORTA ALTA  15PP (98-5) FPS</v>
          </cell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>
            <v>30800</v>
          </cell>
          <cell r="AN113">
            <v>46000</v>
          </cell>
          <cell r="AO113">
            <v>6510</v>
          </cell>
          <cell r="AP113">
            <v>2240</v>
          </cell>
          <cell r="AQ113">
            <v>1540</v>
          </cell>
          <cell r="AR113">
            <v>940</v>
          </cell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  <cell r="CR113"/>
          <cell r="CS113"/>
          <cell r="CT113"/>
          <cell r="CU113"/>
          <cell r="CV113"/>
          <cell r="CW113"/>
          <cell r="CX113"/>
          <cell r="CY113"/>
          <cell r="CZ113"/>
          <cell r="DA113"/>
          <cell r="DB113"/>
          <cell r="DC113"/>
          <cell r="DD113"/>
          <cell r="DE113"/>
          <cell r="DF113"/>
          <cell r="DG113"/>
          <cell r="DH113"/>
          <cell r="DI113"/>
          <cell r="DJ113"/>
          <cell r="DK113"/>
          <cell r="DL113"/>
          <cell r="DM113"/>
          <cell r="DN113"/>
          <cell r="DO113"/>
          <cell r="DP113"/>
          <cell r="DQ113"/>
          <cell r="DR113"/>
          <cell r="DS113"/>
          <cell r="DT113"/>
          <cell r="DU113"/>
          <cell r="DV113"/>
          <cell r="DW113"/>
          <cell r="DX113"/>
          <cell r="DY113"/>
          <cell r="DZ113"/>
          <cell r="EA113"/>
          <cell r="EB113"/>
          <cell r="EC113"/>
          <cell r="ED113"/>
          <cell r="EE113"/>
          <cell r="EF113"/>
          <cell r="EG113"/>
          <cell r="EH113"/>
          <cell r="EI113"/>
          <cell r="EJ113" t="str">
            <v>SIN USO</v>
          </cell>
          <cell r="EK113" t="str">
            <v/>
          </cell>
          <cell r="EL113" t="str">
            <v/>
          </cell>
          <cell r="EM113">
            <v>0</v>
          </cell>
          <cell r="EN113">
            <v>0</v>
          </cell>
          <cell r="EO113">
            <v>0</v>
          </cell>
          <cell r="EP113">
            <v>0</v>
          </cell>
          <cell r="EQ113">
            <v>0</v>
          </cell>
          <cell r="ER113">
            <v>0</v>
          </cell>
          <cell r="ES113">
            <v>0</v>
          </cell>
        </row>
        <row r="114">
          <cell r="F114">
            <v>403212</v>
          </cell>
          <cell r="G114" t="str">
            <v>CUPULA BRAZO REINA MONSALVE</v>
          </cell>
          <cell r="H114"/>
          <cell r="I114">
            <v>690</v>
          </cell>
          <cell r="J114"/>
          <cell r="K114"/>
          <cell r="L114">
            <v>552</v>
          </cell>
          <cell r="M114">
            <v>342</v>
          </cell>
          <cell r="N114">
            <v>482</v>
          </cell>
          <cell r="O114">
            <v>210</v>
          </cell>
          <cell r="P114"/>
          <cell r="Q114">
            <v>0</v>
          </cell>
          <cell r="R114"/>
          <cell r="S114">
            <v>840</v>
          </cell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  <cell r="AZ114"/>
          <cell r="BA114"/>
          <cell r="BB114"/>
          <cell r="BC114"/>
          <cell r="BD114"/>
          <cell r="BE114"/>
          <cell r="BF114"/>
          <cell r="BG114"/>
          <cell r="BH114"/>
          <cell r="BI114"/>
          <cell r="BJ114"/>
          <cell r="BK114"/>
          <cell r="BL114"/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  <cell r="CL114"/>
          <cell r="CM114"/>
          <cell r="CN114"/>
          <cell r="CO114"/>
          <cell r="CP114"/>
          <cell r="CQ114"/>
          <cell r="CR114"/>
          <cell r="CS114"/>
          <cell r="CT114"/>
          <cell r="CU114"/>
          <cell r="CV114"/>
          <cell r="CW114"/>
          <cell r="CX114"/>
          <cell r="CY114"/>
          <cell r="CZ114"/>
          <cell r="DA114"/>
          <cell r="DB114"/>
          <cell r="DC114"/>
          <cell r="DD114"/>
          <cell r="DE114"/>
          <cell r="DF114"/>
          <cell r="DG114"/>
          <cell r="DH114"/>
          <cell r="DI114"/>
          <cell r="DJ114"/>
          <cell r="DK114"/>
          <cell r="DL114"/>
          <cell r="DM114"/>
          <cell r="DN114"/>
          <cell r="DO114"/>
          <cell r="DP114"/>
          <cell r="DQ114"/>
          <cell r="DR114"/>
          <cell r="DS114"/>
          <cell r="DT114"/>
          <cell r="DU114"/>
          <cell r="DV114"/>
          <cell r="DW114"/>
          <cell r="DX114"/>
          <cell r="DY114"/>
          <cell r="DZ114"/>
          <cell r="EA114"/>
          <cell r="EB114"/>
          <cell r="EC114"/>
          <cell r="ED114"/>
          <cell r="EE114"/>
          <cell r="EF114"/>
          <cell r="EG114"/>
          <cell r="EH114"/>
          <cell r="EI114"/>
          <cell r="EJ114" t="str">
            <v>SIN USO</v>
          </cell>
          <cell r="EK114" t="str">
            <v/>
          </cell>
          <cell r="EL114">
            <v>2240</v>
          </cell>
          <cell r="EM114">
            <v>0</v>
          </cell>
          <cell r="EN114">
            <v>0</v>
          </cell>
          <cell r="EO114">
            <v>0</v>
          </cell>
          <cell r="EP114">
            <v>2084</v>
          </cell>
          <cell r="EQ114">
            <v>437640</v>
          </cell>
          <cell r="ER114">
            <v>0</v>
          </cell>
          <cell r="ES114">
            <v>0</v>
          </cell>
        </row>
        <row r="115">
          <cell r="F115">
            <v>405283</v>
          </cell>
          <cell r="G115" t="str">
            <v>CUPULA TORTA ALTA SISA FPS</v>
          </cell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>
            <v>4275</v>
          </cell>
          <cell r="AB115">
            <v>50400</v>
          </cell>
          <cell r="AC115">
            <v>43300</v>
          </cell>
          <cell r="AD115">
            <v>52700</v>
          </cell>
          <cell r="AE115">
            <v>65800</v>
          </cell>
          <cell r="AF115">
            <v>47600</v>
          </cell>
          <cell r="AG115">
            <v>47200</v>
          </cell>
          <cell r="AH115">
            <v>25920</v>
          </cell>
          <cell r="AI115">
            <v>48950</v>
          </cell>
          <cell r="AJ115">
            <v>53440</v>
          </cell>
          <cell r="AK115">
            <v>60915</v>
          </cell>
          <cell r="AL115">
            <v>73700</v>
          </cell>
          <cell r="AM115">
            <v>16100</v>
          </cell>
          <cell r="AN115">
            <v>2400</v>
          </cell>
          <cell r="AO115">
            <v>35000</v>
          </cell>
          <cell r="AP115">
            <v>41720</v>
          </cell>
          <cell r="AQ115">
            <v>41600</v>
          </cell>
          <cell r="AR115">
            <v>40600</v>
          </cell>
          <cell r="AS115">
            <v>21600</v>
          </cell>
          <cell r="AT115">
            <v>43900</v>
          </cell>
          <cell r="AU115">
            <v>41200</v>
          </cell>
          <cell r="AV115">
            <v>57790</v>
          </cell>
          <cell r="AW115">
            <v>22130</v>
          </cell>
          <cell r="AX115">
            <v>45680</v>
          </cell>
          <cell r="AY115">
            <v>28200</v>
          </cell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K115"/>
          <cell r="DL115"/>
          <cell r="DM115"/>
          <cell r="DN115"/>
          <cell r="DO115"/>
          <cell r="DP115"/>
          <cell r="DQ115"/>
          <cell r="DR115"/>
          <cell r="DS115"/>
          <cell r="DT115"/>
          <cell r="DU115"/>
          <cell r="DV115"/>
          <cell r="DW115"/>
          <cell r="DX115"/>
          <cell r="DY115"/>
          <cell r="DZ115"/>
          <cell r="EA115"/>
          <cell r="EB115"/>
          <cell r="EC115"/>
          <cell r="ED115"/>
          <cell r="EE115"/>
          <cell r="EF115"/>
          <cell r="EG115"/>
          <cell r="EH115"/>
          <cell r="EI115"/>
          <cell r="EJ115" t="str">
            <v>SIN USO</v>
          </cell>
          <cell r="EK115" t="str">
            <v/>
          </cell>
          <cell r="EL115" t="str">
            <v/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</row>
        <row r="116">
          <cell r="F116">
            <v>405278</v>
          </cell>
          <cell r="G116" t="str">
            <v>CUPULA TORTA 15PP (98-45) MOLDESPAC</v>
          </cell>
          <cell r="H116">
            <v>1470</v>
          </cell>
          <cell r="I116"/>
          <cell r="J116"/>
          <cell r="K116"/>
          <cell r="L116"/>
          <cell r="M116"/>
          <cell r="N116"/>
          <cell r="O116"/>
          <cell r="P116"/>
          <cell r="Q116">
            <v>280</v>
          </cell>
          <cell r="R116">
            <v>1960</v>
          </cell>
          <cell r="S116"/>
          <cell r="T116"/>
          <cell r="U116"/>
          <cell r="V116"/>
          <cell r="W116"/>
          <cell r="X116"/>
          <cell r="Y116"/>
          <cell r="Z116">
            <v>3120</v>
          </cell>
          <cell r="AA116"/>
          <cell r="AB116"/>
          <cell r="AC116">
            <v>700</v>
          </cell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>
            <v>1820</v>
          </cell>
          <cell r="AP116"/>
          <cell r="AQ116"/>
          <cell r="AR116"/>
          <cell r="AS116"/>
          <cell r="AT116"/>
          <cell r="AU116"/>
          <cell r="AV116">
            <v>372</v>
          </cell>
          <cell r="AW116"/>
          <cell r="AX116">
            <v>420</v>
          </cell>
          <cell r="AY116"/>
          <cell r="AZ116"/>
          <cell r="BA116">
            <v>1330</v>
          </cell>
          <cell r="BB116">
            <v>5040</v>
          </cell>
          <cell r="BC116">
            <v>5530</v>
          </cell>
          <cell r="BD116">
            <v>5600</v>
          </cell>
          <cell r="BE116">
            <v>5180</v>
          </cell>
          <cell r="BF116">
            <v>4200</v>
          </cell>
          <cell r="BG116">
            <v>6790</v>
          </cell>
          <cell r="BH116">
            <v>3360</v>
          </cell>
          <cell r="BI116">
            <v>5180</v>
          </cell>
          <cell r="BJ116">
            <v>4089</v>
          </cell>
          <cell r="BK116">
            <v>6300</v>
          </cell>
          <cell r="BL116">
            <v>6090</v>
          </cell>
          <cell r="BM116">
            <v>5460</v>
          </cell>
          <cell r="BN116">
            <v>3920</v>
          </cell>
          <cell r="BO116">
            <v>4200</v>
          </cell>
          <cell r="BP116">
            <v>3990</v>
          </cell>
          <cell r="BQ116">
            <v>4200</v>
          </cell>
          <cell r="BR116">
            <v>7700</v>
          </cell>
          <cell r="BS116">
            <v>3360</v>
          </cell>
          <cell r="BT116"/>
          <cell r="BU116">
            <v>2310</v>
          </cell>
          <cell r="BV116">
            <v>4410</v>
          </cell>
          <cell r="BW116">
            <v>4900</v>
          </cell>
          <cell r="BX116">
            <v>6860</v>
          </cell>
          <cell r="BY116">
            <v>7980</v>
          </cell>
          <cell r="BZ116">
            <v>7210</v>
          </cell>
          <cell r="CA116">
            <v>5041.0599999999995</v>
          </cell>
          <cell r="CB116">
            <v>5880</v>
          </cell>
          <cell r="CC116">
            <v>5040</v>
          </cell>
          <cell r="CD116">
            <v>5460</v>
          </cell>
          <cell r="CE116">
            <v>8680</v>
          </cell>
          <cell r="CF116">
            <v>7560</v>
          </cell>
          <cell r="CG116">
            <v>5810</v>
          </cell>
          <cell r="CH116">
            <v>3290</v>
          </cell>
          <cell r="CI116">
            <v>4900</v>
          </cell>
          <cell r="CJ116">
            <v>2730</v>
          </cell>
          <cell r="CK116">
            <v>6860</v>
          </cell>
          <cell r="CL116">
            <v>3360</v>
          </cell>
          <cell r="CM116">
            <v>3360</v>
          </cell>
          <cell r="CN116">
            <v>3990</v>
          </cell>
          <cell r="CO116"/>
          <cell r="CP116">
            <v>2240</v>
          </cell>
          <cell r="CQ116">
            <v>6650</v>
          </cell>
          <cell r="CR116">
            <v>5110</v>
          </cell>
          <cell r="CS116">
            <v>2520</v>
          </cell>
          <cell r="CT116">
            <v>4900</v>
          </cell>
          <cell r="CU116">
            <v>4830</v>
          </cell>
          <cell r="CV116">
            <v>5110</v>
          </cell>
          <cell r="CW116">
            <v>4410</v>
          </cell>
          <cell r="CX116">
            <v>5740</v>
          </cell>
          <cell r="CY116">
            <v>7910</v>
          </cell>
          <cell r="CZ116">
            <v>4200</v>
          </cell>
          <cell r="DA116">
            <v>10990</v>
          </cell>
          <cell r="DB116">
            <v>7630</v>
          </cell>
          <cell r="DC116">
            <v>8610</v>
          </cell>
          <cell r="DD116">
            <v>4130</v>
          </cell>
          <cell r="DE116">
            <v>6371</v>
          </cell>
          <cell r="DF116">
            <v>5880</v>
          </cell>
          <cell r="DG116">
            <v>4410</v>
          </cell>
          <cell r="DH116">
            <v>2590</v>
          </cell>
          <cell r="DI116">
            <v>980</v>
          </cell>
          <cell r="DJ116">
            <v>5600</v>
          </cell>
          <cell r="DK116">
            <v>6370</v>
          </cell>
          <cell r="DL116">
            <v>4480</v>
          </cell>
          <cell r="DM116">
            <v>7350</v>
          </cell>
          <cell r="DN116">
            <v>7700</v>
          </cell>
          <cell r="DO116">
            <v>7560</v>
          </cell>
          <cell r="DP116">
            <v>5740</v>
          </cell>
          <cell r="DQ116">
            <v>6650</v>
          </cell>
          <cell r="DR116">
            <v>7350</v>
          </cell>
          <cell r="DS116">
            <v>3570</v>
          </cell>
          <cell r="DT116">
            <v>6720</v>
          </cell>
          <cell r="DU116">
            <v>3850</v>
          </cell>
          <cell r="DV116">
            <v>6160</v>
          </cell>
          <cell r="DW116">
            <v>5250</v>
          </cell>
          <cell r="DX116">
            <v>5811</v>
          </cell>
          <cell r="DY116">
            <v>10570</v>
          </cell>
          <cell r="DZ116">
            <v>9660</v>
          </cell>
          <cell r="EA116">
            <v>5040</v>
          </cell>
          <cell r="EB116">
            <v>8400</v>
          </cell>
          <cell r="EC116">
            <v>9100</v>
          </cell>
          <cell r="ED116">
            <v>6583</v>
          </cell>
          <cell r="EE116">
            <v>11900</v>
          </cell>
          <cell r="EF116">
            <v>14210</v>
          </cell>
          <cell r="EG116">
            <v>14070</v>
          </cell>
          <cell r="EH116">
            <v>5250</v>
          </cell>
          <cell r="EI116">
            <v>3430</v>
          </cell>
          <cell r="EJ116" t="str">
            <v>ACTIVO</v>
          </cell>
          <cell r="EK116" t="str">
            <v>B</v>
          </cell>
          <cell r="EL116">
            <v>2240</v>
          </cell>
          <cell r="EM116">
            <v>7226.96</v>
          </cell>
          <cell r="EN116">
            <v>1204.4933333333333</v>
          </cell>
          <cell r="EO116">
            <v>1862.143325266693</v>
          </cell>
          <cell r="EP116">
            <v>12850</v>
          </cell>
          <cell r="EQ116">
            <v>3148121.5</v>
          </cell>
          <cell r="ER116">
            <v>1.7780643590112579</v>
          </cell>
          <cell r="ES116">
            <v>2408.9866666666667</v>
          </cell>
        </row>
        <row r="117">
          <cell r="F117">
            <v>403210</v>
          </cell>
          <cell r="G117" t="str">
            <v>CUPULA TORTA 15PP (98-45) MONSALVE CENCOSUD</v>
          </cell>
          <cell r="H117">
            <v>3430</v>
          </cell>
          <cell r="I117">
            <v>3920</v>
          </cell>
          <cell r="J117">
            <v>2940</v>
          </cell>
          <cell r="K117">
            <v>3990</v>
          </cell>
          <cell r="L117">
            <v>4130</v>
          </cell>
          <cell r="M117">
            <v>5320</v>
          </cell>
          <cell r="N117">
            <v>4340</v>
          </cell>
          <cell r="O117">
            <v>3920</v>
          </cell>
          <cell r="P117">
            <v>3780</v>
          </cell>
          <cell r="Q117">
            <v>3710</v>
          </cell>
          <cell r="R117">
            <v>1960</v>
          </cell>
          <cell r="S117">
            <v>3780</v>
          </cell>
          <cell r="T117">
            <v>2940</v>
          </cell>
          <cell r="U117">
            <v>4480</v>
          </cell>
          <cell r="V117">
            <v>4060</v>
          </cell>
          <cell r="W117">
            <v>3360</v>
          </cell>
          <cell r="X117">
            <v>3990</v>
          </cell>
          <cell r="Y117">
            <v>7420</v>
          </cell>
          <cell r="Z117">
            <v>1990</v>
          </cell>
          <cell r="AA117">
            <v>3640</v>
          </cell>
          <cell r="AB117">
            <v>4340</v>
          </cell>
          <cell r="AC117">
            <v>3360</v>
          </cell>
          <cell r="AD117">
            <v>6860</v>
          </cell>
          <cell r="AE117">
            <v>5600</v>
          </cell>
          <cell r="AF117">
            <v>4620</v>
          </cell>
          <cell r="AG117">
            <v>4480</v>
          </cell>
          <cell r="AH117">
            <v>5040</v>
          </cell>
          <cell r="AI117">
            <v>5250</v>
          </cell>
          <cell r="AJ117">
            <v>4480</v>
          </cell>
          <cell r="AK117">
            <v>4130</v>
          </cell>
          <cell r="AL117">
            <v>6720</v>
          </cell>
          <cell r="AM117">
            <v>5740</v>
          </cell>
          <cell r="AN117">
            <v>4760</v>
          </cell>
          <cell r="AO117">
            <v>3710</v>
          </cell>
          <cell r="AP117">
            <v>6790</v>
          </cell>
          <cell r="AQ117">
            <v>5880</v>
          </cell>
          <cell r="AR117">
            <v>5880</v>
          </cell>
          <cell r="AS117">
            <v>3500</v>
          </cell>
          <cell r="AT117">
            <v>5040</v>
          </cell>
          <cell r="AU117">
            <v>4970</v>
          </cell>
          <cell r="AV117">
            <v>3478</v>
          </cell>
          <cell r="AW117">
            <v>5950</v>
          </cell>
          <cell r="AX117">
            <v>5320</v>
          </cell>
          <cell r="AY117">
            <v>4480</v>
          </cell>
          <cell r="AZ117">
            <v>5180</v>
          </cell>
          <cell r="BA117">
            <v>5250</v>
          </cell>
          <cell r="BB117">
            <v>1330</v>
          </cell>
          <cell r="BC117"/>
          <cell r="BD117"/>
          <cell r="BE117"/>
          <cell r="BF117"/>
          <cell r="BG117"/>
          <cell r="BH117"/>
          <cell r="BI117"/>
          <cell r="BJ117"/>
          <cell r="BK117"/>
          <cell r="BL117"/>
          <cell r="BM117"/>
          <cell r="BN117">
            <v>1960</v>
          </cell>
          <cell r="BO117">
            <v>2800</v>
          </cell>
          <cell r="BP117"/>
          <cell r="BQ117"/>
          <cell r="BR117"/>
          <cell r="BS117">
            <v>2940</v>
          </cell>
          <cell r="BT117">
            <v>6160</v>
          </cell>
          <cell r="BU117">
            <v>981.05600000000004</v>
          </cell>
          <cell r="BV117">
            <v>70</v>
          </cell>
          <cell r="BW117">
            <v>280</v>
          </cell>
          <cell r="BX117">
            <v>70</v>
          </cell>
          <cell r="BY117"/>
          <cell r="BZ117"/>
          <cell r="CA117">
            <v>69</v>
          </cell>
          <cell r="CB117">
            <v>2240</v>
          </cell>
          <cell r="CC117"/>
          <cell r="CD117"/>
          <cell r="CE117"/>
          <cell r="CF117"/>
          <cell r="CG117"/>
          <cell r="CH117"/>
          <cell r="CI117"/>
          <cell r="CJ117">
            <v>140</v>
          </cell>
          <cell r="CK117"/>
          <cell r="CL117"/>
          <cell r="CM117">
            <v>5180</v>
          </cell>
          <cell r="CN117">
            <v>3430</v>
          </cell>
          <cell r="CO117">
            <v>6440</v>
          </cell>
          <cell r="CP117">
            <v>4760</v>
          </cell>
          <cell r="CQ117">
            <v>630</v>
          </cell>
          <cell r="CR117">
            <v>4200</v>
          </cell>
          <cell r="CS117">
            <v>420</v>
          </cell>
          <cell r="CT117">
            <v>2310</v>
          </cell>
          <cell r="CU117">
            <v>560</v>
          </cell>
          <cell r="CV117">
            <v>4410</v>
          </cell>
          <cell r="CW117"/>
          <cell r="CX117">
            <v>630</v>
          </cell>
          <cell r="CY117">
            <v>350</v>
          </cell>
          <cell r="CZ117"/>
          <cell r="DA117"/>
          <cell r="DB117"/>
          <cell r="DC117">
            <v>70</v>
          </cell>
          <cell r="DD117"/>
          <cell r="DE117"/>
          <cell r="DF117"/>
          <cell r="DG117"/>
          <cell r="DH117"/>
          <cell r="DI117"/>
          <cell r="DJ117"/>
          <cell r="DK117"/>
          <cell r="DL117"/>
          <cell r="DM117"/>
          <cell r="DN117"/>
          <cell r="DO117"/>
          <cell r="DP117"/>
          <cell r="DQ117"/>
          <cell r="DR117"/>
          <cell r="DS117"/>
          <cell r="DT117"/>
          <cell r="DU117"/>
          <cell r="DV117"/>
          <cell r="DW117"/>
          <cell r="DX117"/>
          <cell r="DY117"/>
          <cell r="DZ117"/>
          <cell r="EA117"/>
          <cell r="EB117"/>
          <cell r="EC117"/>
          <cell r="ED117"/>
          <cell r="EE117"/>
          <cell r="EF117"/>
          <cell r="EG117"/>
          <cell r="EH117"/>
          <cell r="EI117"/>
          <cell r="EJ117" t="str">
            <v>ACTIVO</v>
          </cell>
          <cell r="EK117" t="str">
            <v>C</v>
          </cell>
          <cell r="EL117">
            <v>2240</v>
          </cell>
          <cell r="EM117">
            <v>0</v>
          </cell>
          <cell r="EN117">
            <v>0</v>
          </cell>
          <cell r="EO117">
            <v>2107.1996329527433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</row>
        <row r="118">
          <cell r="F118">
            <v>403225</v>
          </cell>
          <cell r="G118" t="str">
            <v>CUPULA 170B DEANDES</v>
          </cell>
          <cell r="H118">
            <v>1320</v>
          </cell>
          <cell r="I118">
            <v>1560</v>
          </cell>
          <cell r="J118">
            <v>1320</v>
          </cell>
          <cell r="K118">
            <v>1440</v>
          </cell>
          <cell r="L118">
            <v>1560</v>
          </cell>
          <cell r="M118">
            <v>1560</v>
          </cell>
          <cell r="N118">
            <v>1440</v>
          </cell>
          <cell r="O118">
            <v>1560</v>
          </cell>
          <cell r="P118">
            <v>1680</v>
          </cell>
          <cell r="Q118">
            <v>1220</v>
          </cell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>
            <v>2400</v>
          </cell>
          <cell r="AI118">
            <v>840</v>
          </cell>
          <cell r="AJ118"/>
          <cell r="AK118"/>
          <cell r="AL118"/>
          <cell r="AM118">
            <v>960</v>
          </cell>
          <cell r="AN118">
            <v>1680</v>
          </cell>
          <cell r="AO118">
            <v>1800</v>
          </cell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>
            <v>120</v>
          </cell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K118"/>
          <cell r="DL118"/>
          <cell r="DM118"/>
          <cell r="DN118"/>
          <cell r="DO118"/>
          <cell r="DP118"/>
          <cell r="DQ118"/>
          <cell r="DR118"/>
          <cell r="DS118"/>
          <cell r="DT118"/>
          <cell r="DU118"/>
          <cell r="DV118"/>
          <cell r="DW118"/>
          <cell r="DX118"/>
          <cell r="DY118"/>
          <cell r="DZ118"/>
          <cell r="EA118"/>
          <cell r="EB118"/>
          <cell r="EC118"/>
          <cell r="ED118"/>
          <cell r="EE118"/>
          <cell r="EF118"/>
          <cell r="EG118"/>
          <cell r="EH118"/>
          <cell r="EI118"/>
          <cell r="EJ118" t="str">
            <v>SIN USO</v>
          </cell>
          <cell r="EK118" t="str">
            <v/>
          </cell>
          <cell r="EL118">
            <v>2160</v>
          </cell>
          <cell r="EM118">
            <v>0</v>
          </cell>
          <cell r="EN118">
            <v>0</v>
          </cell>
          <cell r="EO118">
            <v>0</v>
          </cell>
          <cell r="EP118">
            <v>2040</v>
          </cell>
          <cell r="EQ118">
            <v>522240</v>
          </cell>
          <cell r="ER118">
            <v>0</v>
          </cell>
          <cell r="ES118">
            <v>0</v>
          </cell>
        </row>
        <row r="119">
          <cell r="F119">
            <v>403232</v>
          </cell>
          <cell r="G119" t="str">
            <v>CUPULA TARTA 1025-3 MONSALVE</v>
          </cell>
          <cell r="H119">
            <v>1190</v>
          </cell>
          <cell r="I119">
            <v>1400</v>
          </cell>
          <cell r="J119">
            <v>1120</v>
          </cell>
          <cell r="K119">
            <v>1400</v>
          </cell>
          <cell r="L119">
            <v>700</v>
          </cell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/>
          <cell r="BG119"/>
          <cell r="BH119"/>
          <cell r="BI119"/>
          <cell r="BJ119"/>
          <cell r="BK119"/>
          <cell r="BL119"/>
          <cell r="BM119"/>
          <cell r="BN119"/>
          <cell r="BO119"/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  <cell r="CJ119"/>
          <cell r="CK119"/>
          <cell r="CL119"/>
          <cell r="CM119"/>
          <cell r="CN119"/>
          <cell r="CO119"/>
          <cell r="CP119"/>
          <cell r="CQ119"/>
          <cell r="CR119"/>
          <cell r="CS119"/>
          <cell r="CT119"/>
          <cell r="CU119"/>
          <cell r="CV119"/>
          <cell r="CW119"/>
          <cell r="CX119"/>
          <cell r="CY119"/>
          <cell r="CZ119"/>
          <cell r="DA119"/>
          <cell r="DB119"/>
          <cell r="DC119"/>
          <cell r="DD119"/>
          <cell r="DE119"/>
          <cell r="DF119"/>
          <cell r="DG119"/>
          <cell r="DH119"/>
          <cell r="DI119"/>
          <cell r="DJ119"/>
          <cell r="DK119"/>
          <cell r="DL119"/>
          <cell r="DM119"/>
          <cell r="DN119"/>
          <cell r="DO119"/>
          <cell r="DP119"/>
          <cell r="DQ119"/>
          <cell r="DR119"/>
          <cell r="DS119"/>
          <cell r="DT119"/>
          <cell r="DU119"/>
          <cell r="DV119"/>
          <cell r="DW119"/>
          <cell r="DX119"/>
          <cell r="DY119"/>
          <cell r="DZ119"/>
          <cell r="EA119"/>
          <cell r="EB119"/>
          <cell r="EC119"/>
          <cell r="ED119"/>
          <cell r="EE119"/>
          <cell r="EF119"/>
          <cell r="EG119"/>
          <cell r="EH119"/>
          <cell r="EI119"/>
          <cell r="EJ119" t="str">
            <v>SIN USO</v>
          </cell>
          <cell r="EK119" t="str">
            <v/>
          </cell>
          <cell r="EL119" t="str">
            <v/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</row>
        <row r="120">
          <cell r="F120">
            <v>107339</v>
          </cell>
          <cell r="G120" t="str">
            <v>CUPULA TARTA 1025-3 MOLDES PAC</v>
          </cell>
          <cell r="H120">
            <v>350</v>
          </cell>
          <cell r="I120"/>
          <cell r="J120"/>
          <cell r="K120"/>
          <cell r="L120">
            <v>700</v>
          </cell>
          <cell r="M120">
            <v>1400</v>
          </cell>
          <cell r="N120">
            <v>1470</v>
          </cell>
          <cell r="O120">
            <v>1330</v>
          </cell>
          <cell r="P120">
            <v>1400</v>
          </cell>
          <cell r="Q120">
            <v>1260</v>
          </cell>
          <cell r="R120">
            <v>1400</v>
          </cell>
          <cell r="S120">
            <v>1400</v>
          </cell>
          <cell r="T120">
            <v>1470</v>
          </cell>
          <cell r="U120">
            <v>1470</v>
          </cell>
          <cell r="V120">
            <v>1960</v>
          </cell>
          <cell r="W120">
            <v>1610</v>
          </cell>
          <cell r="X120">
            <v>1680</v>
          </cell>
          <cell r="Y120">
            <v>1540</v>
          </cell>
          <cell r="Z120">
            <v>2030</v>
          </cell>
          <cell r="AA120">
            <v>1400</v>
          </cell>
          <cell r="AB120">
            <v>2170</v>
          </cell>
          <cell r="AC120">
            <v>2100</v>
          </cell>
          <cell r="AD120">
            <v>3290</v>
          </cell>
          <cell r="AE120">
            <v>6020</v>
          </cell>
          <cell r="AF120">
            <v>3710</v>
          </cell>
          <cell r="AG120">
            <v>4690</v>
          </cell>
          <cell r="AH120">
            <v>5320</v>
          </cell>
          <cell r="AI120">
            <v>6160</v>
          </cell>
          <cell r="AJ120">
            <v>5810</v>
          </cell>
          <cell r="AK120">
            <v>6580</v>
          </cell>
          <cell r="AL120">
            <v>5250</v>
          </cell>
          <cell r="AM120">
            <v>6370</v>
          </cell>
          <cell r="AN120">
            <v>5530</v>
          </cell>
          <cell r="AO120">
            <v>5460</v>
          </cell>
          <cell r="AP120">
            <v>6860</v>
          </cell>
          <cell r="AQ120">
            <v>6370</v>
          </cell>
          <cell r="AR120">
            <v>6720</v>
          </cell>
          <cell r="AS120">
            <v>3920</v>
          </cell>
          <cell r="AT120">
            <v>5740</v>
          </cell>
          <cell r="AU120">
            <v>6720</v>
          </cell>
          <cell r="AV120">
            <v>6230</v>
          </cell>
          <cell r="AW120">
            <v>6090</v>
          </cell>
          <cell r="AX120">
            <v>6510</v>
          </cell>
          <cell r="AY120">
            <v>6230</v>
          </cell>
          <cell r="AZ120">
            <v>7896</v>
          </cell>
          <cell r="BA120">
            <v>6160</v>
          </cell>
          <cell r="BB120">
            <v>5404</v>
          </cell>
          <cell r="BC120">
            <v>6090</v>
          </cell>
          <cell r="BD120">
            <v>6090</v>
          </cell>
          <cell r="BE120">
            <v>6860</v>
          </cell>
          <cell r="BF120">
            <v>6860</v>
          </cell>
          <cell r="BG120">
            <v>6510</v>
          </cell>
          <cell r="BH120"/>
          <cell r="BI120"/>
          <cell r="BJ120">
            <v>210</v>
          </cell>
          <cell r="BK120">
            <v>3234</v>
          </cell>
          <cell r="BL120">
            <v>4298</v>
          </cell>
          <cell r="BM120">
            <v>6930</v>
          </cell>
          <cell r="BN120">
            <v>6720</v>
          </cell>
          <cell r="BO120">
            <v>5712</v>
          </cell>
          <cell r="BP120">
            <v>7070</v>
          </cell>
          <cell r="BQ120">
            <v>5530</v>
          </cell>
          <cell r="BR120">
            <v>7790</v>
          </cell>
          <cell r="BS120">
            <v>6160</v>
          </cell>
          <cell r="BT120">
            <v>6860</v>
          </cell>
          <cell r="BU120">
            <v>6930</v>
          </cell>
          <cell r="BV120">
            <v>6230</v>
          </cell>
          <cell r="BW120">
            <v>6440</v>
          </cell>
          <cell r="BX120">
            <v>6930</v>
          </cell>
          <cell r="BY120">
            <v>7560</v>
          </cell>
          <cell r="BZ120">
            <v>6160</v>
          </cell>
          <cell r="CA120">
            <v>3850</v>
          </cell>
          <cell r="CB120">
            <v>4410</v>
          </cell>
          <cell r="CC120">
            <v>4830</v>
          </cell>
          <cell r="CD120">
            <v>5040</v>
          </cell>
          <cell r="CE120">
            <v>8190</v>
          </cell>
          <cell r="CF120">
            <v>4620</v>
          </cell>
          <cell r="CG120">
            <v>4970</v>
          </cell>
          <cell r="CH120">
            <v>5110</v>
          </cell>
          <cell r="CI120">
            <v>3780</v>
          </cell>
          <cell r="CJ120">
            <v>9170</v>
          </cell>
          <cell r="CK120">
            <v>6300</v>
          </cell>
          <cell r="CL120">
            <v>5530</v>
          </cell>
          <cell r="CM120">
            <v>6300</v>
          </cell>
          <cell r="CN120">
            <v>9030</v>
          </cell>
          <cell r="CO120">
            <v>7070</v>
          </cell>
          <cell r="CP120">
            <v>7980</v>
          </cell>
          <cell r="CQ120">
            <v>6440</v>
          </cell>
          <cell r="CR120">
            <v>7000</v>
          </cell>
          <cell r="CS120">
            <v>2030</v>
          </cell>
          <cell r="CT120">
            <v>6930</v>
          </cell>
          <cell r="CU120">
            <v>6860</v>
          </cell>
          <cell r="CV120">
            <v>6440</v>
          </cell>
          <cell r="CW120">
            <v>5670</v>
          </cell>
          <cell r="CX120">
            <v>5320</v>
          </cell>
          <cell r="CY120">
            <v>5810</v>
          </cell>
          <cell r="CZ120">
            <v>5250</v>
          </cell>
          <cell r="DA120">
            <v>5110</v>
          </cell>
          <cell r="DB120">
            <v>4620</v>
          </cell>
          <cell r="DC120">
            <v>7420</v>
          </cell>
          <cell r="DD120">
            <v>5390</v>
          </cell>
          <cell r="DE120">
            <v>3431</v>
          </cell>
          <cell r="DF120">
            <v>7000</v>
          </cell>
          <cell r="DG120">
            <v>5600</v>
          </cell>
          <cell r="DH120">
            <v>2800</v>
          </cell>
          <cell r="DI120">
            <v>1680</v>
          </cell>
          <cell r="DJ120">
            <v>5520</v>
          </cell>
          <cell r="DK120">
            <v>5150</v>
          </cell>
          <cell r="DL120">
            <v>5700</v>
          </cell>
          <cell r="DM120">
            <v>4920</v>
          </cell>
          <cell r="DN120">
            <v>4780</v>
          </cell>
          <cell r="DO120">
            <v>4480</v>
          </cell>
          <cell r="DP120">
            <v>4200</v>
          </cell>
          <cell r="DQ120">
            <v>4690</v>
          </cell>
          <cell r="DR120">
            <v>4830</v>
          </cell>
          <cell r="DS120">
            <v>4970</v>
          </cell>
          <cell r="DT120">
            <v>4760</v>
          </cell>
          <cell r="DU120">
            <v>5530</v>
          </cell>
          <cell r="DV120">
            <v>5810</v>
          </cell>
          <cell r="DW120">
            <v>8610</v>
          </cell>
          <cell r="DX120">
            <v>5321</v>
          </cell>
          <cell r="DY120">
            <v>5460</v>
          </cell>
          <cell r="DZ120">
            <v>7140</v>
          </cell>
          <cell r="EA120">
            <v>5810</v>
          </cell>
          <cell r="EB120">
            <v>6160</v>
          </cell>
          <cell r="EC120">
            <v>6160</v>
          </cell>
          <cell r="ED120">
            <v>6160</v>
          </cell>
          <cell r="EE120">
            <v>5530</v>
          </cell>
          <cell r="EF120">
            <v>4830</v>
          </cell>
          <cell r="EG120">
            <v>7280</v>
          </cell>
          <cell r="EH120">
            <v>5180</v>
          </cell>
          <cell r="EI120">
            <v>3710</v>
          </cell>
          <cell r="EJ120" t="str">
            <v>ACTIVO</v>
          </cell>
          <cell r="EK120" t="str">
            <v>B</v>
          </cell>
          <cell r="EL120">
            <v>2240</v>
          </cell>
          <cell r="EM120">
            <v>5419.24</v>
          </cell>
          <cell r="EN120">
            <v>903.20666666666659</v>
          </cell>
          <cell r="EO120">
            <v>1697.0526688303801</v>
          </cell>
          <cell r="EP120">
            <v>5390</v>
          </cell>
          <cell r="EQ120">
            <v>1395956.1</v>
          </cell>
          <cell r="ER120">
            <v>0.99460440947439133</v>
          </cell>
          <cell r="ES120">
            <v>1806.4133333333332</v>
          </cell>
        </row>
        <row r="121">
          <cell r="F121">
            <v>403338</v>
          </cell>
          <cell r="G121" t="str">
            <v>BLISTER 7189 1 PASTEL DEANDES</v>
          </cell>
          <cell r="H121">
            <v>10200</v>
          </cell>
          <cell r="I121">
            <v>10800</v>
          </cell>
          <cell r="J121">
            <v>7800</v>
          </cell>
          <cell r="K121">
            <v>11600</v>
          </cell>
          <cell r="L121">
            <v>9600</v>
          </cell>
          <cell r="M121">
            <v>9600</v>
          </cell>
          <cell r="N121">
            <v>9000</v>
          </cell>
          <cell r="O121">
            <v>8600</v>
          </cell>
          <cell r="P121">
            <v>6000</v>
          </cell>
          <cell r="Q121">
            <v>3600</v>
          </cell>
          <cell r="R121">
            <v>4200</v>
          </cell>
          <cell r="S121">
            <v>1200</v>
          </cell>
          <cell r="T121">
            <v>1200</v>
          </cell>
          <cell r="U121">
            <v>3600</v>
          </cell>
          <cell r="V121">
            <v>3600</v>
          </cell>
          <cell r="W121">
            <v>2300</v>
          </cell>
          <cell r="X121">
            <v>3600</v>
          </cell>
          <cell r="Y121">
            <v>1800</v>
          </cell>
          <cell r="Z121">
            <v>1200</v>
          </cell>
          <cell r="AA121">
            <v>3600</v>
          </cell>
          <cell r="AB121">
            <v>3600</v>
          </cell>
          <cell r="AC121">
            <v>3600</v>
          </cell>
          <cell r="AD121">
            <v>2400</v>
          </cell>
          <cell r="AE121">
            <v>1200</v>
          </cell>
          <cell r="AF121">
            <v>9600</v>
          </cell>
          <cell r="AG121">
            <v>3600</v>
          </cell>
          <cell r="AH121">
            <v>3600</v>
          </cell>
          <cell r="AI121">
            <v>3600</v>
          </cell>
          <cell r="AJ121">
            <v>6000</v>
          </cell>
          <cell r="AK121">
            <v>3600</v>
          </cell>
          <cell r="AL121">
            <v>2400</v>
          </cell>
          <cell r="AM121">
            <v>1200</v>
          </cell>
          <cell r="AN121">
            <v>3600</v>
          </cell>
          <cell r="AO121">
            <v>3600</v>
          </cell>
          <cell r="AP121">
            <v>3600</v>
          </cell>
          <cell r="AQ121">
            <v>3600</v>
          </cell>
          <cell r="AR121">
            <v>3600</v>
          </cell>
          <cell r="AS121">
            <v>1200</v>
          </cell>
          <cell r="AT121">
            <v>3600</v>
          </cell>
          <cell r="AU121">
            <v>3600</v>
          </cell>
          <cell r="AV121">
            <v>3000</v>
          </cell>
          <cell r="AW121">
            <v>3000</v>
          </cell>
          <cell r="AX121">
            <v>4200</v>
          </cell>
          <cell r="AY121">
            <v>3600</v>
          </cell>
          <cell r="AZ121">
            <v>3000</v>
          </cell>
          <cell r="BA121">
            <v>3600</v>
          </cell>
          <cell r="BB121">
            <v>3600</v>
          </cell>
          <cell r="BC121">
            <v>3600</v>
          </cell>
          <cell r="BD121">
            <v>4200</v>
          </cell>
          <cell r="BE121">
            <v>3600</v>
          </cell>
          <cell r="BF121">
            <v>3600</v>
          </cell>
          <cell r="BG121">
            <v>3000</v>
          </cell>
          <cell r="BH121">
            <v>1800</v>
          </cell>
          <cell r="BI121">
            <v>7200</v>
          </cell>
          <cell r="BJ121">
            <v>3000</v>
          </cell>
          <cell r="BK121">
            <v>8400</v>
          </cell>
          <cell r="BL121">
            <v>3600</v>
          </cell>
          <cell r="BM121">
            <v>3600</v>
          </cell>
          <cell r="BN121">
            <v>3600</v>
          </cell>
          <cell r="BO121">
            <v>3600</v>
          </cell>
          <cell r="BP121">
            <v>8400</v>
          </cell>
          <cell r="BQ121">
            <v>3000</v>
          </cell>
          <cell r="BR121">
            <v>4200</v>
          </cell>
          <cell r="BS121">
            <v>3600</v>
          </cell>
          <cell r="BT121">
            <v>3600</v>
          </cell>
          <cell r="BU121">
            <v>3600</v>
          </cell>
          <cell r="BV121">
            <v>3600</v>
          </cell>
          <cell r="BW121">
            <v>3600</v>
          </cell>
          <cell r="BX121">
            <v>3600</v>
          </cell>
          <cell r="BY121">
            <v>3600</v>
          </cell>
          <cell r="BZ121">
            <v>3600</v>
          </cell>
          <cell r="CA121">
            <v>3600</v>
          </cell>
          <cell r="CB121">
            <v>4200</v>
          </cell>
          <cell r="CC121">
            <v>3600</v>
          </cell>
          <cell r="CD121">
            <v>3600</v>
          </cell>
          <cell r="CE121">
            <v>4200</v>
          </cell>
          <cell r="CF121">
            <v>3600</v>
          </cell>
          <cell r="CG121">
            <v>4200</v>
          </cell>
          <cell r="CH121">
            <v>3600</v>
          </cell>
          <cell r="CI121">
            <v>2400</v>
          </cell>
          <cell r="CJ121">
            <v>4200</v>
          </cell>
          <cell r="CK121">
            <v>5400</v>
          </cell>
          <cell r="CL121">
            <v>4200</v>
          </cell>
          <cell r="CM121">
            <v>1800</v>
          </cell>
          <cell r="CN121">
            <v>600</v>
          </cell>
          <cell r="CO121">
            <v>3600</v>
          </cell>
          <cell r="CP121">
            <v>4200</v>
          </cell>
          <cell r="CQ121">
            <v>3600</v>
          </cell>
          <cell r="CR121">
            <v>3000</v>
          </cell>
          <cell r="CS121">
            <v>1200</v>
          </cell>
          <cell r="CT121">
            <v>3600</v>
          </cell>
          <cell r="CU121">
            <v>1200</v>
          </cell>
          <cell r="CV121">
            <v>28800</v>
          </cell>
          <cell r="CW121"/>
          <cell r="CX121">
            <v>1300</v>
          </cell>
          <cell r="CY121">
            <v>2600</v>
          </cell>
          <cell r="CZ121">
            <v>3100</v>
          </cell>
          <cell r="DA121">
            <v>2400</v>
          </cell>
          <cell r="DB121">
            <v>3200</v>
          </cell>
          <cell r="DC121">
            <v>3392</v>
          </cell>
          <cell r="DD121">
            <v>3600</v>
          </cell>
          <cell r="DE121">
            <v>3001</v>
          </cell>
          <cell r="DF121">
            <v>4000</v>
          </cell>
          <cell r="DG121">
            <v>3500</v>
          </cell>
          <cell r="DH121">
            <v>1900</v>
          </cell>
          <cell r="DI121">
            <v>1200</v>
          </cell>
          <cell r="DJ121">
            <v>3600</v>
          </cell>
          <cell r="DK121">
            <v>3600</v>
          </cell>
          <cell r="DL121">
            <v>3700</v>
          </cell>
          <cell r="DM121">
            <v>4100</v>
          </cell>
          <cell r="DN121">
            <v>3800</v>
          </cell>
          <cell r="DO121">
            <v>3600</v>
          </cell>
          <cell r="DP121">
            <v>3600</v>
          </cell>
          <cell r="DQ121">
            <v>3600</v>
          </cell>
          <cell r="DR121">
            <v>3600</v>
          </cell>
          <cell r="DS121">
            <v>3600</v>
          </cell>
          <cell r="DT121">
            <v>3600</v>
          </cell>
          <cell r="DU121">
            <v>3600</v>
          </cell>
          <cell r="DV121">
            <v>3600</v>
          </cell>
          <cell r="DW121">
            <v>3600</v>
          </cell>
          <cell r="DX121">
            <v>3001</v>
          </cell>
          <cell r="DY121">
            <v>3000</v>
          </cell>
          <cell r="DZ121">
            <v>4200</v>
          </cell>
          <cell r="EA121">
            <v>600</v>
          </cell>
          <cell r="EB121">
            <v>4800</v>
          </cell>
          <cell r="EC121">
            <v>4200</v>
          </cell>
          <cell r="ED121">
            <v>3600</v>
          </cell>
          <cell r="EE121">
            <v>3600</v>
          </cell>
          <cell r="EF121">
            <v>3600</v>
          </cell>
          <cell r="EG121">
            <v>4200</v>
          </cell>
          <cell r="EH121">
            <v>3600</v>
          </cell>
          <cell r="EI121">
            <v>2400</v>
          </cell>
          <cell r="EJ121" t="str">
            <v>ACTIVO</v>
          </cell>
          <cell r="EK121" t="str">
            <v>C</v>
          </cell>
          <cell r="EL121">
            <v>3000</v>
          </cell>
          <cell r="EM121">
            <v>3488.04</v>
          </cell>
          <cell r="EN121">
            <v>581.34</v>
          </cell>
          <cell r="EO121">
            <v>3786.7645252588222</v>
          </cell>
          <cell r="EP121">
            <v>14400</v>
          </cell>
          <cell r="EQ121">
            <v>711936</v>
          </cell>
          <cell r="ER121">
            <v>4.128393023015791</v>
          </cell>
          <cell r="ES121">
            <v>1162.68</v>
          </cell>
        </row>
        <row r="122">
          <cell r="F122">
            <v>107281</v>
          </cell>
          <cell r="G122" t="str">
            <v>BLISTER 7189 1 PASTEL BUENAVENTURA</v>
          </cell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>
            <v>1800</v>
          </cell>
          <cell r="CN122">
            <v>3600</v>
          </cell>
          <cell r="CO122">
            <v>600</v>
          </cell>
          <cell r="CP122"/>
          <cell r="CQ122"/>
          <cell r="CR122"/>
          <cell r="CS122"/>
          <cell r="CT122"/>
          <cell r="CU122">
            <v>2400</v>
          </cell>
          <cell r="CV122">
            <v>3300</v>
          </cell>
          <cell r="CW122">
            <v>4000</v>
          </cell>
          <cell r="CX122">
            <v>2500</v>
          </cell>
          <cell r="CY122">
            <v>1300</v>
          </cell>
          <cell r="CZ122">
            <v>700</v>
          </cell>
          <cell r="DA122">
            <v>2100</v>
          </cell>
          <cell r="DB122">
            <v>600</v>
          </cell>
          <cell r="DC122">
            <v>1008</v>
          </cell>
          <cell r="DD122"/>
          <cell r="DE122"/>
          <cell r="DF122"/>
          <cell r="DG122">
            <v>700</v>
          </cell>
          <cell r="DH122"/>
          <cell r="DI122"/>
          <cell r="DJ122"/>
          <cell r="DK122"/>
          <cell r="DL122"/>
          <cell r="DM122"/>
          <cell r="DN122"/>
          <cell r="DO122"/>
          <cell r="DP122"/>
          <cell r="DQ122"/>
          <cell r="DR122"/>
          <cell r="DS122"/>
          <cell r="DT122"/>
          <cell r="DU122"/>
          <cell r="DV122"/>
          <cell r="DW122"/>
          <cell r="DX122"/>
          <cell r="DY122"/>
          <cell r="DZ122"/>
          <cell r="EA122"/>
          <cell r="EB122"/>
          <cell r="EC122"/>
          <cell r="ED122"/>
          <cell r="EE122"/>
          <cell r="EF122"/>
          <cell r="EG122"/>
          <cell r="EH122"/>
          <cell r="EI122"/>
          <cell r="EJ122" t="str">
            <v>ACTIVO</v>
          </cell>
          <cell r="EK122" t="str">
            <v>C</v>
          </cell>
          <cell r="EL122" t="str">
            <v/>
          </cell>
          <cell r="EM122">
            <v>0</v>
          </cell>
          <cell r="EN122">
            <v>0</v>
          </cell>
          <cell r="EO122">
            <v>1201.9086530416569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</row>
        <row r="123">
          <cell r="F123">
            <v>405501</v>
          </cell>
          <cell r="G123" t="str">
            <v>BASE TORTA CON TOPE COEXPAN</v>
          </cell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>
            <v>4800</v>
          </cell>
          <cell r="CS123"/>
          <cell r="CT123"/>
          <cell r="CU123">
            <v>3600</v>
          </cell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K123"/>
          <cell r="DL123"/>
          <cell r="DM123"/>
          <cell r="DN123"/>
          <cell r="DO123"/>
          <cell r="DP123"/>
          <cell r="DQ123"/>
          <cell r="DR123"/>
          <cell r="DS123"/>
          <cell r="DT123"/>
          <cell r="DU123"/>
          <cell r="DV123"/>
          <cell r="DW123"/>
          <cell r="DX123"/>
          <cell r="DY123"/>
          <cell r="DZ123"/>
          <cell r="EA123"/>
          <cell r="EB123"/>
          <cell r="EC123"/>
          <cell r="ED123"/>
          <cell r="EE123"/>
          <cell r="EF123"/>
          <cell r="EG123"/>
          <cell r="EH123"/>
          <cell r="EI123"/>
          <cell r="EJ123" t="str">
            <v>SIN USO</v>
          </cell>
          <cell r="EK123" t="str">
            <v>C</v>
          </cell>
          <cell r="EL123"/>
          <cell r="EM123">
            <v>0</v>
          </cell>
          <cell r="EN123">
            <v>0</v>
          </cell>
          <cell r="EO123">
            <v>848.52813742385706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</row>
        <row r="124">
          <cell r="F124">
            <v>405490</v>
          </cell>
          <cell r="G124" t="str">
            <v>CUPULA TARTA 1025-4 FOOD PACK</v>
          </cell>
          <cell r="H124">
            <v>910</v>
          </cell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>
            <v>3150</v>
          </cell>
          <cell r="BI124">
            <v>280</v>
          </cell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K124"/>
          <cell r="DL124"/>
          <cell r="DM124"/>
          <cell r="DN124"/>
          <cell r="DO124"/>
          <cell r="DP124"/>
          <cell r="DQ124"/>
          <cell r="DR124"/>
          <cell r="DS124"/>
          <cell r="DT124"/>
          <cell r="DU124"/>
          <cell r="DV124"/>
          <cell r="DW124"/>
          <cell r="DX124"/>
          <cell r="DY124"/>
          <cell r="DZ124"/>
          <cell r="EA124"/>
          <cell r="EB124"/>
          <cell r="EC124"/>
          <cell r="ED124"/>
          <cell r="EE124"/>
          <cell r="EF124"/>
          <cell r="EG124"/>
          <cell r="EH124"/>
          <cell r="EI124"/>
          <cell r="EJ124" t="str">
            <v>SIN USO</v>
          </cell>
          <cell r="EK124" t="str">
            <v>C</v>
          </cell>
          <cell r="EL124" t="str">
            <v/>
          </cell>
          <cell r="EM124">
            <v>0</v>
          </cell>
          <cell r="EN124">
            <v>0</v>
          </cell>
          <cell r="EO124">
            <v>2029.3964620053914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</row>
        <row r="125">
          <cell r="F125">
            <v>405489</v>
          </cell>
          <cell r="G125" t="str">
            <v>CUPULA TARTA 1025-5 MOLDES PAC</v>
          </cell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>
            <v>6090</v>
          </cell>
          <cell r="BJ125">
            <v>5950</v>
          </cell>
          <cell r="BK125">
            <v>2716</v>
          </cell>
          <cell r="BL125">
            <v>1792</v>
          </cell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K125"/>
          <cell r="DL125"/>
          <cell r="DM125"/>
          <cell r="DN125"/>
          <cell r="DO125"/>
          <cell r="DP125"/>
          <cell r="DQ125"/>
          <cell r="DR125"/>
          <cell r="DS125"/>
          <cell r="DT125"/>
          <cell r="DU125"/>
          <cell r="DV125"/>
          <cell r="DW125"/>
          <cell r="DX125"/>
          <cell r="DY125"/>
          <cell r="DZ125"/>
          <cell r="EA125"/>
          <cell r="EB125"/>
          <cell r="EC125"/>
          <cell r="ED125"/>
          <cell r="EE125"/>
          <cell r="EF125"/>
          <cell r="EG125"/>
          <cell r="EH125"/>
          <cell r="EI125"/>
          <cell r="EJ125" t="str">
            <v>SIN USO</v>
          </cell>
          <cell r="EK125" t="str">
            <v>C</v>
          </cell>
          <cell r="EL125" t="str">
            <v/>
          </cell>
          <cell r="EM125">
            <v>0</v>
          </cell>
          <cell r="EN125">
            <v>0</v>
          </cell>
          <cell r="EO125">
            <v>2207.5207813291363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</row>
        <row r="126">
          <cell r="F126">
            <v>403219</v>
          </cell>
          <cell r="G126" t="str">
            <v>CAPSULA OVALADA N° 10 ARRIAZA</v>
          </cell>
          <cell r="H126"/>
          <cell r="I126">
            <v>15000</v>
          </cell>
          <cell r="J126">
            <v>15000</v>
          </cell>
          <cell r="K126">
            <v>15000</v>
          </cell>
          <cell r="L126"/>
          <cell r="M126">
            <v>15000</v>
          </cell>
          <cell r="N126"/>
          <cell r="O126">
            <v>15000</v>
          </cell>
          <cell r="P126"/>
          <cell r="Q126"/>
          <cell r="R126"/>
          <cell r="S126"/>
          <cell r="T126"/>
          <cell r="U126">
            <v>25000</v>
          </cell>
          <cell r="V126"/>
          <cell r="W126"/>
          <cell r="X126"/>
          <cell r="Y126"/>
          <cell r="Z126"/>
          <cell r="AA126"/>
          <cell r="AB126"/>
          <cell r="AC126">
            <v>10000</v>
          </cell>
          <cell r="AD126"/>
          <cell r="AE126"/>
          <cell r="AF126"/>
          <cell r="AG126"/>
          <cell r="AH126"/>
          <cell r="AI126"/>
          <cell r="AJ126">
            <v>15000</v>
          </cell>
          <cell r="AK126"/>
          <cell r="AL126"/>
          <cell r="AM126"/>
          <cell r="AN126"/>
          <cell r="AO126"/>
          <cell r="AP126"/>
          <cell r="AQ126"/>
          <cell r="AR126">
            <v>2000</v>
          </cell>
          <cell r="AS126"/>
          <cell r="AT126">
            <v>14000</v>
          </cell>
          <cell r="AU126"/>
          <cell r="AV126"/>
          <cell r="AW126"/>
          <cell r="AX126"/>
          <cell r="AY126"/>
          <cell r="AZ126"/>
          <cell r="BA126"/>
          <cell r="BB126"/>
          <cell r="BC126">
            <v>13000</v>
          </cell>
          <cell r="BD126"/>
          <cell r="BE126"/>
          <cell r="BF126"/>
          <cell r="BG126"/>
          <cell r="BH126">
            <v>10000</v>
          </cell>
          <cell r="BI126"/>
          <cell r="BJ126"/>
          <cell r="BK126">
            <v>5000</v>
          </cell>
          <cell r="BL126"/>
          <cell r="BM126"/>
          <cell r="BN126">
            <v>1000</v>
          </cell>
          <cell r="BO126">
            <v>2000</v>
          </cell>
          <cell r="BP126">
            <v>3000</v>
          </cell>
          <cell r="BQ126"/>
          <cell r="BR126">
            <v>400</v>
          </cell>
          <cell r="BS126"/>
          <cell r="BT126">
            <v>3000</v>
          </cell>
          <cell r="BU126"/>
          <cell r="BV126"/>
          <cell r="BW126">
            <v>5000</v>
          </cell>
          <cell r="BX126"/>
          <cell r="BY126"/>
          <cell r="BZ126"/>
          <cell r="CA126">
            <v>3000</v>
          </cell>
          <cell r="CB126"/>
          <cell r="CC126"/>
          <cell r="CD126">
            <v>5000</v>
          </cell>
          <cell r="CE126"/>
          <cell r="CF126">
            <v>5000</v>
          </cell>
          <cell r="CG126"/>
          <cell r="CH126">
            <v>5000</v>
          </cell>
          <cell r="CI126"/>
          <cell r="CJ126">
            <v>16000</v>
          </cell>
          <cell r="CK126"/>
          <cell r="CL126"/>
          <cell r="CM126">
            <v>3000</v>
          </cell>
          <cell r="CN126"/>
          <cell r="CO126">
            <v>12000</v>
          </cell>
          <cell r="CP126"/>
          <cell r="CQ126"/>
          <cell r="CR126"/>
          <cell r="CS126"/>
          <cell r="CT126"/>
          <cell r="CU126"/>
          <cell r="CV126">
            <v>10000</v>
          </cell>
          <cell r="CW126"/>
          <cell r="CX126"/>
          <cell r="CY126"/>
          <cell r="CZ126"/>
          <cell r="DA126"/>
          <cell r="DB126"/>
          <cell r="DC126">
            <v>9000</v>
          </cell>
          <cell r="DD126"/>
          <cell r="DE126"/>
          <cell r="DF126"/>
          <cell r="DG126"/>
          <cell r="DH126"/>
          <cell r="DI126"/>
          <cell r="DJ126">
            <v>10000</v>
          </cell>
          <cell r="DK126"/>
          <cell r="DL126"/>
          <cell r="DM126"/>
          <cell r="DN126">
            <v>2000</v>
          </cell>
          <cell r="DO126"/>
          <cell r="DP126">
            <v>5000</v>
          </cell>
          <cell r="DQ126"/>
          <cell r="DR126"/>
          <cell r="DS126">
            <v>2000</v>
          </cell>
          <cell r="DT126">
            <v>1000</v>
          </cell>
          <cell r="DU126">
            <v>3000</v>
          </cell>
          <cell r="DV126">
            <v>7000</v>
          </cell>
          <cell r="DW126"/>
          <cell r="DX126">
            <v>40000</v>
          </cell>
          <cell r="DY126">
            <v>2000</v>
          </cell>
          <cell r="DZ126">
            <v>1000</v>
          </cell>
          <cell r="EA126">
            <v>10000</v>
          </cell>
          <cell r="EB126"/>
          <cell r="EC126"/>
          <cell r="ED126"/>
          <cell r="EE126">
            <v>11000</v>
          </cell>
          <cell r="EF126"/>
          <cell r="EG126"/>
          <cell r="EH126">
            <v>1000</v>
          </cell>
          <cell r="EI126"/>
          <cell r="EJ126" t="str">
            <v>ACTIVO</v>
          </cell>
          <cell r="EK126" t="str">
            <v>C</v>
          </cell>
          <cell r="EL126">
            <v>70000</v>
          </cell>
          <cell r="EM126">
            <v>7833.333333333333</v>
          </cell>
          <cell r="EN126">
            <v>1305.5555555555554</v>
          </cell>
          <cell r="EO126">
            <v>4250.8476663311449</v>
          </cell>
          <cell r="EP126">
            <v>6000</v>
          </cell>
          <cell r="EQ126">
            <v>36600</v>
          </cell>
          <cell r="ER126">
            <v>0.76595744680851063</v>
          </cell>
          <cell r="ES126">
            <v>7833.3333333333321</v>
          </cell>
        </row>
        <row r="127">
          <cell r="F127">
            <v>107300</v>
          </cell>
          <cell r="G127" t="str">
            <v>COMBO 88 ALTA 12 PP MOLDES PAC</v>
          </cell>
          <cell r="H127">
            <v>5430</v>
          </cell>
          <cell r="I127">
            <v>13790</v>
          </cell>
          <cell r="J127">
            <v>8750</v>
          </cell>
          <cell r="K127">
            <v>17460</v>
          </cell>
          <cell r="L127">
            <v>5600</v>
          </cell>
          <cell r="M127">
            <v>13930</v>
          </cell>
          <cell r="N127">
            <v>11270</v>
          </cell>
          <cell r="O127">
            <v>14840</v>
          </cell>
          <cell r="P127">
            <v>7980</v>
          </cell>
          <cell r="Q127">
            <v>13160</v>
          </cell>
          <cell r="R127">
            <v>4200</v>
          </cell>
          <cell r="S127">
            <v>8330</v>
          </cell>
          <cell r="T127">
            <v>6650</v>
          </cell>
          <cell r="U127">
            <v>10080</v>
          </cell>
          <cell r="V127">
            <v>7000</v>
          </cell>
          <cell r="W127">
            <v>11410</v>
          </cell>
          <cell r="X127">
            <v>12670</v>
          </cell>
          <cell r="Y127">
            <v>8890</v>
          </cell>
          <cell r="Z127">
            <v>3850</v>
          </cell>
          <cell r="AA127">
            <v>9170</v>
          </cell>
          <cell r="AB127">
            <v>10920</v>
          </cell>
          <cell r="AC127">
            <v>15540</v>
          </cell>
          <cell r="AD127">
            <v>14420</v>
          </cell>
          <cell r="AE127">
            <v>6850</v>
          </cell>
          <cell r="AF127">
            <v>8680</v>
          </cell>
          <cell r="AG127">
            <v>11760</v>
          </cell>
          <cell r="AH127">
            <v>9100</v>
          </cell>
          <cell r="AI127">
            <v>7840</v>
          </cell>
          <cell r="AJ127">
            <v>17160</v>
          </cell>
          <cell r="AK127">
            <v>10220</v>
          </cell>
          <cell r="AL127">
            <v>16170</v>
          </cell>
          <cell r="AM127">
            <v>6650</v>
          </cell>
          <cell r="AN127">
            <v>5460</v>
          </cell>
          <cell r="AO127">
            <v>9800</v>
          </cell>
          <cell r="AP127">
            <v>15120</v>
          </cell>
          <cell r="AQ127">
            <v>9170</v>
          </cell>
          <cell r="AR127">
            <v>12530</v>
          </cell>
          <cell r="AS127">
            <v>2800</v>
          </cell>
          <cell r="AT127">
            <v>11340</v>
          </cell>
          <cell r="AU127">
            <v>15730</v>
          </cell>
          <cell r="AV127">
            <v>6120</v>
          </cell>
          <cell r="AW127">
            <v>23760</v>
          </cell>
          <cell r="AX127">
            <v>15570</v>
          </cell>
          <cell r="AY127">
            <v>12070</v>
          </cell>
          <cell r="AZ127">
            <v>13680</v>
          </cell>
          <cell r="BA127">
            <v>10660</v>
          </cell>
          <cell r="BB127">
            <v>14760</v>
          </cell>
          <cell r="BC127">
            <v>9200</v>
          </cell>
          <cell r="BD127">
            <v>10540</v>
          </cell>
          <cell r="BE127">
            <v>16810</v>
          </cell>
          <cell r="BF127">
            <v>7750</v>
          </cell>
          <cell r="BG127">
            <v>10100</v>
          </cell>
          <cell r="BH127">
            <v>6220</v>
          </cell>
          <cell r="BI127">
            <v>3680</v>
          </cell>
          <cell r="BJ127">
            <v>10291</v>
          </cell>
          <cell r="BK127">
            <v>20791</v>
          </cell>
          <cell r="BL127">
            <v>14420</v>
          </cell>
          <cell r="BM127">
            <v>12570</v>
          </cell>
          <cell r="BN127">
            <v>13120</v>
          </cell>
          <cell r="BO127">
            <v>16280</v>
          </cell>
          <cell r="BP127">
            <v>12550</v>
          </cell>
          <cell r="BQ127">
            <v>6920</v>
          </cell>
          <cell r="BR127">
            <v>20210</v>
          </cell>
          <cell r="BS127">
            <v>19530</v>
          </cell>
          <cell r="BT127">
            <v>23910</v>
          </cell>
          <cell r="BU127">
            <v>8080</v>
          </cell>
          <cell r="BV127">
            <v>14870</v>
          </cell>
          <cell r="BW127">
            <v>8680</v>
          </cell>
          <cell r="BX127">
            <v>21030</v>
          </cell>
          <cell r="BY127">
            <v>16170</v>
          </cell>
          <cell r="BZ127">
            <v>4690</v>
          </cell>
          <cell r="CA127">
            <v>9610</v>
          </cell>
          <cell r="CB127">
            <v>10780</v>
          </cell>
          <cell r="CC127">
            <v>22050</v>
          </cell>
          <cell r="CD127">
            <v>11480</v>
          </cell>
          <cell r="CE127">
            <v>13400</v>
          </cell>
          <cell r="CF127">
            <v>16590</v>
          </cell>
          <cell r="CG127">
            <v>13680</v>
          </cell>
          <cell r="CH127">
            <v>9590</v>
          </cell>
          <cell r="CI127">
            <v>9360</v>
          </cell>
          <cell r="CJ127">
            <v>12110</v>
          </cell>
          <cell r="CK127">
            <v>10920</v>
          </cell>
          <cell r="CL127">
            <v>8400</v>
          </cell>
          <cell r="CM127">
            <v>15759</v>
          </cell>
          <cell r="CN127">
            <v>15190</v>
          </cell>
          <cell r="CO127">
            <v>14210</v>
          </cell>
          <cell r="CP127">
            <v>23660</v>
          </cell>
          <cell r="CQ127">
            <v>8820</v>
          </cell>
          <cell r="CR127">
            <v>7840</v>
          </cell>
          <cell r="CS127">
            <v>2450</v>
          </cell>
          <cell r="CT127">
            <v>12600</v>
          </cell>
          <cell r="CU127">
            <v>10220</v>
          </cell>
          <cell r="CV127">
            <v>6580</v>
          </cell>
          <cell r="CW127">
            <v>3360</v>
          </cell>
          <cell r="CX127">
            <v>8890</v>
          </cell>
          <cell r="CY127">
            <v>8890</v>
          </cell>
          <cell r="CZ127">
            <v>4900</v>
          </cell>
          <cell r="DA127">
            <v>6160</v>
          </cell>
          <cell r="DB127">
            <v>5040</v>
          </cell>
          <cell r="DC127">
            <v>6860</v>
          </cell>
          <cell r="DD127">
            <v>8890</v>
          </cell>
          <cell r="DE127">
            <v>3640</v>
          </cell>
          <cell r="DF127">
            <v>7020</v>
          </cell>
          <cell r="DG127">
            <v>6300</v>
          </cell>
          <cell r="DH127">
            <v>2240</v>
          </cell>
          <cell r="DI127">
            <v>2240</v>
          </cell>
          <cell r="DJ127">
            <v>11130</v>
          </cell>
          <cell r="DK127">
            <v>2240</v>
          </cell>
          <cell r="DL127">
            <v>10950</v>
          </cell>
          <cell r="DM127">
            <v>5250</v>
          </cell>
          <cell r="DN127">
            <v>11160</v>
          </cell>
          <cell r="DO127">
            <v>10550</v>
          </cell>
          <cell r="DP127">
            <v>6230</v>
          </cell>
          <cell r="DQ127">
            <v>15050</v>
          </cell>
          <cell r="DR127">
            <v>5110</v>
          </cell>
          <cell r="DS127">
            <v>16940</v>
          </cell>
          <cell r="DT127">
            <v>12460</v>
          </cell>
          <cell r="DU127">
            <v>8820</v>
          </cell>
          <cell r="DV127">
            <v>11760</v>
          </cell>
          <cell r="DW127">
            <v>12320</v>
          </cell>
          <cell r="DX127">
            <v>7070</v>
          </cell>
          <cell r="DY127">
            <v>70</v>
          </cell>
          <cell r="DZ127">
            <v>10430</v>
          </cell>
          <cell r="EA127">
            <v>6720</v>
          </cell>
          <cell r="EB127">
            <v>8120</v>
          </cell>
          <cell r="EC127">
            <v>7000</v>
          </cell>
          <cell r="ED127">
            <v>4060</v>
          </cell>
          <cell r="EE127">
            <v>13440</v>
          </cell>
          <cell r="EF127">
            <v>2310</v>
          </cell>
          <cell r="EG127">
            <v>6860</v>
          </cell>
          <cell r="EH127">
            <v>8120</v>
          </cell>
          <cell r="EI127">
            <v>2310</v>
          </cell>
          <cell r="EJ127" t="str">
            <v>ACTIVO</v>
          </cell>
          <cell r="EK127" t="str">
            <v>A</v>
          </cell>
          <cell r="EL127">
            <v>2240</v>
          </cell>
          <cell r="EM127">
            <v>8331.6</v>
          </cell>
          <cell r="EN127">
            <v>1388.6000000000001</v>
          </cell>
          <cell r="EO127">
            <v>5570.6492417491936</v>
          </cell>
          <cell r="EP127">
            <v>6370</v>
          </cell>
          <cell r="EQ127">
            <v>1351395.5</v>
          </cell>
          <cell r="ER127">
            <v>0.7645590282778818</v>
          </cell>
          <cell r="ES127">
            <v>2777.2000000000003</v>
          </cell>
        </row>
        <row r="128">
          <cell r="F128">
            <v>405374</v>
          </cell>
          <cell r="G128" t="str">
            <v>COMBO 88 ALTA 12 PP FOOD PACK</v>
          </cell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>
            <v>1620</v>
          </cell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K128"/>
          <cell r="DL128"/>
          <cell r="DM128"/>
          <cell r="DN128"/>
          <cell r="DO128"/>
          <cell r="DP128"/>
          <cell r="DQ128"/>
          <cell r="DR128"/>
          <cell r="DS128"/>
          <cell r="DT128"/>
          <cell r="DU128"/>
          <cell r="DV128"/>
          <cell r="DW128"/>
          <cell r="DX128"/>
          <cell r="DY128"/>
          <cell r="DZ128"/>
          <cell r="EA128"/>
          <cell r="EB128"/>
          <cell r="EC128"/>
          <cell r="ED128"/>
          <cell r="EE128"/>
          <cell r="EF128"/>
          <cell r="EG128"/>
          <cell r="EH128"/>
          <cell r="EI128"/>
          <cell r="EJ128" t="str">
            <v>SIN USO</v>
          </cell>
          <cell r="EK128" t="str">
            <v>C</v>
          </cell>
          <cell r="EL128" t="str">
            <v/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</row>
        <row r="129">
          <cell r="F129">
            <v>107323</v>
          </cell>
          <cell r="G129" t="str">
            <v>COMBO 88 ALTA 12 PP LISA MOLDES PAC</v>
          </cell>
          <cell r="H129">
            <v>120</v>
          </cell>
          <cell r="I129"/>
          <cell r="J129"/>
          <cell r="K129"/>
          <cell r="L129">
            <v>300</v>
          </cell>
          <cell r="M129">
            <v>720</v>
          </cell>
          <cell r="N129">
            <v>770</v>
          </cell>
          <cell r="O129">
            <v>140</v>
          </cell>
          <cell r="P129"/>
          <cell r="Q129">
            <v>2240</v>
          </cell>
          <cell r="R129"/>
          <cell r="S129"/>
          <cell r="T129"/>
          <cell r="U129"/>
          <cell r="V129">
            <v>690</v>
          </cell>
          <cell r="W129">
            <v>1880</v>
          </cell>
          <cell r="X129">
            <v>490</v>
          </cell>
          <cell r="Y129">
            <v>420</v>
          </cell>
          <cell r="Z129">
            <v>770</v>
          </cell>
          <cell r="AA129">
            <v>730</v>
          </cell>
          <cell r="AB129">
            <v>1320</v>
          </cell>
          <cell r="AC129">
            <v>1120</v>
          </cell>
          <cell r="AD129">
            <v>2120</v>
          </cell>
          <cell r="AE129">
            <v>420</v>
          </cell>
          <cell r="AF129">
            <v>900</v>
          </cell>
          <cell r="AG129">
            <v>660</v>
          </cell>
          <cell r="AH129">
            <v>960</v>
          </cell>
          <cell r="AI129">
            <v>900</v>
          </cell>
          <cell r="AJ129">
            <v>900</v>
          </cell>
          <cell r="AK129">
            <v>1200</v>
          </cell>
          <cell r="AL129">
            <v>1920</v>
          </cell>
          <cell r="AM129">
            <v>1320</v>
          </cell>
          <cell r="AN129">
            <v>720</v>
          </cell>
          <cell r="AO129">
            <v>780</v>
          </cell>
          <cell r="AP129">
            <v>600</v>
          </cell>
          <cell r="AQ129">
            <v>2980</v>
          </cell>
          <cell r="AR129">
            <v>1140</v>
          </cell>
          <cell r="AS129">
            <v>360</v>
          </cell>
          <cell r="AT129">
            <v>300</v>
          </cell>
          <cell r="AU129">
            <v>540</v>
          </cell>
          <cell r="AV129">
            <v>480</v>
          </cell>
          <cell r="AW129">
            <v>1290</v>
          </cell>
          <cell r="AX129">
            <v>450</v>
          </cell>
          <cell r="AY129"/>
          <cell r="AZ129">
            <v>1330</v>
          </cell>
          <cell r="BA129">
            <v>3220</v>
          </cell>
          <cell r="BB129">
            <v>2100</v>
          </cell>
          <cell r="BC129">
            <v>1560</v>
          </cell>
          <cell r="BD129">
            <v>1800</v>
          </cell>
          <cell r="BE129">
            <v>1260</v>
          </cell>
          <cell r="BF129">
            <v>930</v>
          </cell>
          <cell r="BG129">
            <v>660</v>
          </cell>
          <cell r="BH129">
            <v>420</v>
          </cell>
          <cell r="BI129">
            <v>1440</v>
          </cell>
          <cell r="BJ129">
            <v>780</v>
          </cell>
          <cell r="BK129">
            <v>1129</v>
          </cell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>
            <v>0</v>
          </cell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>
            <v>560</v>
          </cell>
          <cell r="CP129">
            <v>560</v>
          </cell>
          <cell r="CQ129">
            <v>280</v>
          </cell>
          <cell r="CR129">
            <v>560</v>
          </cell>
          <cell r="CS129">
            <v>280</v>
          </cell>
          <cell r="CT129">
            <v>540</v>
          </cell>
          <cell r="CU129">
            <v>540</v>
          </cell>
          <cell r="CV129">
            <v>560</v>
          </cell>
          <cell r="CW129">
            <v>700</v>
          </cell>
          <cell r="CX129">
            <v>280</v>
          </cell>
          <cell r="CY129">
            <v>700</v>
          </cell>
          <cell r="CZ129">
            <v>770</v>
          </cell>
          <cell r="DA129">
            <v>1330</v>
          </cell>
          <cell r="DB129">
            <v>490</v>
          </cell>
          <cell r="DC129">
            <v>650</v>
          </cell>
          <cell r="DD129">
            <v>900</v>
          </cell>
          <cell r="DE129"/>
          <cell r="DF129">
            <v>260</v>
          </cell>
          <cell r="DG129">
            <v>140</v>
          </cell>
          <cell r="DH129">
            <v>280</v>
          </cell>
          <cell r="DI129"/>
          <cell r="DJ129">
            <v>800</v>
          </cell>
          <cell r="DK129">
            <v>660</v>
          </cell>
          <cell r="DL129">
            <v>510</v>
          </cell>
          <cell r="DM129">
            <v>1140</v>
          </cell>
          <cell r="DN129">
            <v>860</v>
          </cell>
          <cell r="DO129">
            <v>840</v>
          </cell>
          <cell r="DP129">
            <v>1320</v>
          </cell>
          <cell r="DQ129">
            <v>960</v>
          </cell>
          <cell r="DR129">
            <v>600</v>
          </cell>
          <cell r="DS129">
            <v>600</v>
          </cell>
          <cell r="DT129">
            <v>780</v>
          </cell>
          <cell r="DU129">
            <v>500</v>
          </cell>
          <cell r="DV129">
            <v>540</v>
          </cell>
          <cell r="DW129">
            <v>1180</v>
          </cell>
          <cell r="DX129">
            <v>1320</v>
          </cell>
          <cell r="DY129">
            <v>1700</v>
          </cell>
          <cell r="DZ129">
            <v>1200</v>
          </cell>
          <cell r="EA129">
            <v>60</v>
          </cell>
          <cell r="EB129">
            <v>740</v>
          </cell>
          <cell r="EC129">
            <v>900</v>
          </cell>
          <cell r="ED129">
            <v>380</v>
          </cell>
          <cell r="EE129">
            <v>800</v>
          </cell>
          <cell r="EF129">
            <v>500</v>
          </cell>
          <cell r="EG129">
            <v>120</v>
          </cell>
          <cell r="EH129">
            <v>500</v>
          </cell>
          <cell r="EI129">
            <v>600</v>
          </cell>
          <cell r="EJ129" t="str">
            <v>ACTIVO</v>
          </cell>
          <cell r="EK129" t="str">
            <v>C</v>
          </cell>
          <cell r="EL129">
            <v>2240</v>
          </cell>
          <cell r="EM129">
            <v>792.08333333333337</v>
          </cell>
          <cell r="EN129">
            <v>132.01388888888889</v>
          </cell>
          <cell r="EO129">
            <v>351.66782488304358</v>
          </cell>
          <cell r="EP129">
            <v>4260</v>
          </cell>
          <cell r="EQ129">
            <v>985764</v>
          </cell>
          <cell r="ER129">
            <v>5.3782219884271436</v>
          </cell>
          <cell r="ES129">
            <v>264.02777777777777</v>
          </cell>
        </row>
        <row r="130">
          <cell r="F130">
            <v>107345</v>
          </cell>
          <cell r="G130" t="str">
            <v>CUPULA 170BX DEANDES</v>
          </cell>
          <cell r="H130"/>
          <cell r="I130"/>
          <cell r="J130"/>
          <cell r="K130"/>
          <cell r="L130"/>
          <cell r="M130"/>
          <cell r="N130"/>
          <cell r="O130"/>
          <cell r="P130"/>
          <cell r="Q130">
            <v>340</v>
          </cell>
          <cell r="R130">
            <v>1800</v>
          </cell>
          <cell r="S130">
            <v>480</v>
          </cell>
          <cell r="T130">
            <v>480</v>
          </cell>
          <cell r="U130">
            <v>1680</v>
          </cell>
          <cell r="V130">
            <v>1920</v>
          </cell>
          <cell r="W130">
            <v>1680</v>
          </cell>
          <cell r="X130">
            <v>1680</v>
          </cell>
          <cell r="Y130">
            <v>960</v>
          </cell>
          <cell r="Z130">
            <v>480</v>
          </cell>
          <cell r="AA130">
            <v>3360</v>
          </cell>
          <cell r="AB130">
            <v>4320</v>
          </cell>
          <cell r="AC130">
            <v>1920</v>
          </cell>
          <cell r="AD130">
            <v>1440</v>
          </cell>
          <cell r="AE130">
            <v>480</v>
          </cell>
          <cell r="AF130">
            <v>1200</v>
          </cell>
          <cell r="AG130">
            <v>2400</v>
          </cell>
          <cell r="AH130">
            <v>1800</v>
          </cell>
          <cell r="AI130">
            <v>1560</v>
          </cell>
          <cell r="AJ130">
            <v>3240</v>
          </cell>
          <cell r="AK130">
            <v>2640</v>
          </cell>
          <cell r="AL130">
            <v>2640</v>
          </cell>
          <cell r="AM130">
            <v>1200</v>
          </cell>
          <cell r="AN130">
            <v>240</v>
          </cell>
          <cell r="AO130">
            <v>120</v>
          </cell>
          <cell r="AP130">
            <v>2760</v>
          </cell>
          <cell r="AQ130">
            <v>1920</v>
          </cell>
          <cell r="AR130">
            <v>1920</v>
          </cell>
          <cell r="AS130">
            <v>480</v>
          </cell>
          <cell r="AT130">
            <v>1680</v>
          </cell>
          <cell r="AU130">
            <v>2160</v>
          </cell>
          <cell r="AV130">
            <v>1920</v>
          </cell>
          <cell r="AW130">
            <v>1680</v>
          </cell>
          <cell r="AX130">
            <v>1680</v>
          </cell>
          <cell r="AY130">
            <v>1440</v>
          </cell>
          <cell r="AZ130">
            <v>1440</v>
          </cell>
          <cell r="BA130">
            <v>2400</v>
          </cell>
          <cell r="BB130">
            <v>1920</v>
          </cell>
          <cell r="BC130">
            <v>1680</v>
          </cell>
          <cell r="BD130">
            <v>1680</v>
          </cell>
          <cell r="BE130">
            <v>1920</v>
          </cell>
          <cell r="BF130">
            <v>1200</v>
          </cell>
          <cell r="BG130">
            <v>240</v>
          </cell>
          <cell r="BH130"/>
          <cell r="BI130"/>
          <cell r="BJ130"/>
          <cell r="BK130"/>
          <cell r="BL130"/>
          <cell r="BM130"/>
          <cell r="BN130"/>
          <cell r="BO130">
            <v>962</v>
          </cell>
          <cell r="BP130">
            <v>1920</v>
          </cell>
          <cell r="BQ130">
            <v>1920</v>
          </cell>
          <cell r="BR130">
            <v>1920</v>
          </cell>
          <cell r="BS130">
            <v>1920</v>
          </cell>
          <cell r="BT130">
            <v>1650</v>
          </cell>
          <cell r="BU130">
            <v>2400</v>
          </cell>
          <cell r="BV130">
            <v>2400</v>
          </cell>
          <cell r="BW130">
            <v>2880</v>
          </cell>
          <cell r="BX130">
            <v>2400</v>
          </cell>
          <cell r="BY130">
            <v>1680</v>
          </cell>
          <cell r="BZ130">
            <v>240</v>
          </cell>
          <cell r="CA130">
            <v>1920</v>
          </cell>
          <cell r="CB130">
            <v>2160</v>
          </cell>
          <cell r="CC130">
            <v>2640</v>
          </cell>
          <cell r="CD130">
            <v>2640</v>
          </cell>
          <cell r="CE130">
            <v>2640</v>
          </cell>
          <cell r="CF130">
            <v>2160</v>
          </cell>
          <cell r="CG130">
            <v>1920</v>
          </cell>
          <cell r="CH130">
            <v>2160</v>
          </cell>
          <cell r="CI130">
            <v>1200</v>
          </cell>
          <cell r="CJ130">
            <v>2640</v>
          </cell>
          <cell r="CK130">
            <v>1920</v>
          </cell>
          <cell r="CL130">
            <v>1680</v>
          </cell>
          <cell r="CM130">
            <v>1680</v>
          </cell>
          <cell r="CN130">
            <v>3120</v>
          </cell>
          <cell r="CO130">
            <v>2640</v>
          </cell>
          <cell r="CP130">
            <v>3120</v>
          </cell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>
            <v>960</v>
          </cell>
          <cell r="DI130">
            <v>480</v>
          </cell>
          <cell r="DJ130">
            <v>1440</v>
          </cell>
          <cell r="DK130">
            <v>390</v>
          </cell>
          <cell r="DL130"/>
          <cell r="DM130">
            <v>1440</v>
          </cell>
          <cell r="DN130">
            <v>1440</v>
          </cell>
          <cell r="DO130">
            <v>1440</v>
          </cell>
          <cell r="DP130">
            <v>1680</v>
          </cell>
          <cell r="DQ130">
            <v>1440</v>
          </cell>
          <cell r="DR130">
            <v>1440</v>
          </cell>
          <cell r="DS130">
            <v>2400</v>
          </cell>
          <cell r="DT130">
            <v>1440</v>
          </cell>
          <cell r="DU130">
            <v>1920</v>
          </cell>
          <cell r="DV130">
            <v>1680</v>
          </cell>
          <cell r="DW130">
            <v>1440</v>
          </cell>
          <cell r="DX130">
            <v>1201</v>
          </cell>
          <cell r="DY130">
            <v>3120</v>
          </cell>
          <cell r="DZ130">
            <v>2640</v>
          </cell>
          <cell r="EA130">
            <v>1200</v>
          </cell>
          <cell r="EB130">
            <v>2880</v>
          </cell>
          <cell r="EC130">
            <v>1920</v>
          </cell>
          <cell r="ED130">
            <v>1920</v>
          </cell>
          <cell r="EE130">
            <v>1920</v>
          </cell>
          <cell r="EF130">
            <v>1680</v>
          </cell>
          <cell r="EG130">
            <v>1920</v>
          </cell>
          <cell r="EH130">
            <v>1440</v>
          </cell>
          <cell r="EI130">
            <v>1200</v>
          </cell>
          <cell r="EJ130" t="str">
            <v>ACTIVO</v>
          </cell>
          <cell r="EK130" t="str">
            <v>C</v>
          </cell>
          <cell r="EL130">
            <v>2400</v>
          </cell>
          <cell r="EM130">
            <v>1686.2916666666667</v>
          </cell>
          <cell r="EN130">
            <v>281.04861111111114</v>
          </cell>
          <cell r="EO130">
            <v>659.60981898429372</v>
          </cell>
          <cell r="EP130">
            <v>7920</v>
          </cell>
          <cell r="EQ130">
            <v>1468368</v>
          </cell>
          <cell r="ER130">
            <v>4.6966963998912803</v>
          </cell>
          <cell r="ES130">
            <v>562.09722222222229</v>
          </cell>
        </row>
        <row r="131">
          <cell r="F131">
            <v>405226</v>
          </cell>
          <cell r="G131" t="str">
            <v>CUPULA 170 BX BUENAVENTURA</v>
          </cell>
          <cell r="H131">
            <v>150</v>
          </cell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>
            <v>360</v>
          </cell>
          <cell r="BG131">
            <v>1350</v>
          </cell>
          <cell r="BH131">
            <v>960</v>
          </cell>
          <cell r="BI131">
            <v>1680</v>
          </cell>
          <cell r="BJ131">
            <v>1140</v>
          </cell>
          <cell r="BK131">
            <v>2160</v>
          </cell>
          <cell r="BL131">
            <v>2220</v>
          </cell>
          <cell r="BM131">
            <v>2432</v>
          </cell>
          <cell r="BN131">
            <v>1680</v>
          </cell>
          <cell r="BO131">
            <v>718</v>
          </cell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>
            <v>4500</v>
          </cell>
          <cell r="CQ131">
            <v>2640</v>
          </cell>
          <cell r="CR131">
            <v>2640</v>
          </cell>
          <cell r="CS131">
            <v>960</v>
          </cell>
          <cell r="CT131">
            <v>2400</v>
          </cell>
          <cell r="CU131">
            <v>1440</v>
          </cell>
          <cell r="CV131">
            <v>1680</v>
          </cell>
          <cell r="CW131">
            <v>1440</v>
          </cell>
          <cell r="CX131">
            <v>1440</v>
          </cell>
          <cell r="CY131">
            <v>1740</v>
          </cell>
          <cell r="CZ131">
            <v>1650</v>
          </cell>
          <cell r="DA131">
            <v>1830</v>
          </cell>
          <cell r="DB131">
            <v>1440</v>
          </cell>
          <cell r="DC131">
            <v>1680</v>
          </cell>
          <cell r="DD131">
            <v>1440</v>
          </cell>
          <cell r="DE131">
            <v>1591</v>
          </cell>
          <cell r="DF131">
            <v>1680</v>
          </cell>
          <cell r="DG131">
            <v>1680</v>
          </cell>
          <cell r="DH131">
            <v>240</v>
          </cell>
          <cell r="DI131"/>
          <cell r="DJ131"/>
          <cell r="DK131">
            <v>1320</v>
          </cell>
          <cell r="DL131">
            <v>1320</v>
          </cell>
          <cell r="DM131"/>
          <cell r="DN131"/>
          <cell r="DO131"/>
          <cell r="DP131"/>
          <cell r="DQ131"/>
          <cell r="DR131"/>
          <cell r="DS131"/>
          <cell r="DT131"/>
          <cell r="DU131"/>
          <cell r="DV131"/>
          <cell r="DW131"/>
          <cell r="DX131"/>
          <cell r="DY131"/>
          <cell r="DZ131"/>
          <cell r="EA131"/>
          <cell r="EB131"/>
          <cell r="EC131"/>
          <cell r="ED131"/>
          <cell r="EE131"/>
          <cell r="EF131"/>
          <cell r="EG131"/>
          <cell r="EH131"/>
          <cell r="EI131"/>
          <cell r="EJ131" t="str">
            <v>ACTIVO</v>
          </cell>
          <cell r="EK131" t="str">
            <v>C</v>
          </cell>
          <cell r="EL131" t="str">
            <v/>
          </cell>
          <cell r="EM131">
            <v>1320</v>
          </cell>
          <cell r="EN131">
            <v>220</v>
          </cell>
          <cell r="EO131">
            <v>782.98262925865595</v>
          </cell>
          <cell r="EP131">
            <v>0</v>
          </cell>
          <cell r="EQ131">
            <v>0</v>
          </cell>
          <cell r="ER131">
            <v>0</v>
          </cell>
          <cell r="ES131">
            <v>440</v>
          </cell>
        </row>
        <row r="132">
          <cell r="F132">
            <v>405228</v>
          </cell>
          <cell r="G132" t="str">
            <v>CUPULA TORTA ALTA SISA ECOPLASTIC</v>
          </cell>
          <cell r="H132">
            <v>32200</v>
          </cell>
          <cell r="I132">
            <v>48100</v>
          </cell>
          <cell r="J132">
            <v>43600</v>
          </cell>
          <cell r="K132">
            <v>46000</v>
          </cell>
          <cell r="L132">
            <v>45400</v>
          </cell>
          <cell r="M132">
            <v>44200</v>
          </cell>
          <cell r="N132"/>
          <cell r="O132"/>
          <cell r="P132">
            <v>9400</v>
          </cell>
          <cell r="Q132">
            <v>41100</v>
          </cell>
          <cell r="R132">
            <v>49600</v>
          </cell>
          <cell r="S132">
            <v>33190</v>
          </cell>
          <cell r="T132">
            <v>35000</v>
          </cell>
          <cell r="U132">
            <v>47310</v>
          </cell>
          <cell r="V132">
            <v>51600</v>
          </cell>
          <cell r="W132">
            <v>42300</v>
          </cell>
          <cell r="X132">
            <v>67500</v>
          </cell>
          <cell r="Y132">
            <v>51850</v>
          </cell>
          <cell r="Z132">
            <v>43625</v>
          </cell>
          <cell r="AA132">
            <v>38925</v>
          </cell>
          <cell r="AB132">
            <v>600</v>
          </cell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K132"/>
          <cell r="DL132"/>
          <cell r="DM132"/>
          <cell r="DN132"/>
          <cell r="DO132"/>
          <cell r="DP132"/>
          <cell r="DQ132"/>
          <cell r="DR132"/>
          <cell r="DS132"/>
          <cell r="DT132"/>
          <cell r="DU132"/>
          <cell r="DV132"/>
          <cell r="DW132"/>
          <cell r="DX132"/>
          <cell r="DY132"/>
          <cell r="DZ132"/>
          <cell r="EA132"/>
          <cell r="EB132"/>
          <cell r="EC132"/>
          <cell r="ED132"/>
          <cell r="EE132"/>
          <cell r="EF132"/>
          <cell r="EG132"/>
          <cell r="EH132"/>
          <cell r="EI132"/>
          <cell r="EJ132" t="str">
            <v>SIN USO</v>
          </cell>
          <cell r="EK132" t="str">
            <v/>
          </cell>
          <cell r="EL132" t="str">
            <v/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</row>
        <row r="133">
          <cell r="F133">
            <v>404314</v>
          </cell>
          <cell r="G133" t="str">
            <v>CUPULA MEDIA TORTA FOOD PACK</v>
          </cell>
          <cell r="H133">
            <v>100</v>
          </cell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>
            <v>200</v>
          </cell>
          <cell r="AU133">
            <v>227</v>
          </cell>
          <cell r="AV133">
            <v>412</v>
          </cell>
          <cell r="AW133">
            <v>223</v>
          </cell>
          <cell r="AX133">
            <v>401</v>
          </cell>
          <cell r="AY133">
            <v>700</v>
          </cell>
          <cell r="AZ133">
            <v>440</v>
          </cell>
          <cell r="BA133">
            <v>1100</v>
          </cell>
          <cell r="BB133">
            <v>600</v>
          </cell>
          <cell r="BC133">
            <v>400</v>
          </cell>
          <cell r="BD133">
            <v>300</v>
          </cell>
          <cell r="BE133">
            <v>400</v>
          </cell>
          <cell r="BF133">
            <v>420</v>
          </cell>
          <cell r="BG133">
            <v>200</v>
          </cell>
          <cell r="BH133">
            <v>100</v>
          </cell>
          <cell r="BI133">
            <v>400</v>
          </cell>
          <cell r="BJ133">
            <v>1482</v>
          </cell>
          <cell r="BK133">
            <v>400</v>
          </cell>
          <cell r="BL133">
            <v>400</v>
          </cell>
          <cell r="BM133">
            <v>600</v>
          </cell>
          <cell r="BN133">
            <v>300</v>
          </cell>
          <cell r="BO133"/>
          <cell r="BP133">
            <v>100</v>
          </cell>
          <cell r="BQ133"/>
          <cell r="BR133">
            <v>100</v>
          </cell>
          <cell r="BS133">
            <v>400</v>
          </cell>
          <cell r="BT133">
            <v>500</v>
          </cell>
          <cell r="BU133">
            <v>500</v>
          </cell>
          <cell r="BV133">
            <v>300</v>
          </cell>
          <cell r="BW133">
            <v>400</v>
          </cell>
          <cell r="BX133">
            <v>400</v>
          </cell>
          <cell r="BY133">
            <v>300</v>
          </cell>
          <cell r="BZ133">
            <v>100</v>
          </cell>
          <cell r="CA133">
            <v>300</v>
          </cell>
          <cell r="CB133">
            <v>403</v>
          </cell>
          <cell r="CC133">
            <v>400</v>
          </cell>
          <cell r="CD133">
            <v>400</v>
          </cell>
          <cell r="CE133">
            <v>300</v>
          </cell>
          <cell r="CF133">
            <v>300</v>
          </cell>
          <cell r="CG133">
            <v>200</v>
          </cell>
          <cell r="CH133">
            <v>300</v>
          </cell>
          <cell r="CI133">
            <v>100</v>
          </cell>
          <cell r="CJ133">
            <v>200</v>
          </cell>
          <cell r="CK133">
            <v>400</v>
          </cell>
          <cell r="CL133">
            <v>300</v>
          </cell>
          <cell r="CM133">
            <v>400</v>
          </cell>
          <cell r="CN133">
            <v>500</v>
          </cell>
          <cell r="CO133">
            <v>400</v>
          </cell>
          <cell r="CP133">
            <v>500</v>
          </cell>
          <cell r="CQ133">
            <v>400</v>
          </cell>
          <cell r="CR133">
            <v>300</v>
          </cell>
          <cell r="CS133"/>
          <cell r="CT133">
            <v>400</v>
          </cell>
          <cell r="CU133">
            <v>400</v>
          </cell>
          <cell r="CV133">
            <v>400</v>
          </cell>
          <cell r="CW133">
            <v>400</v>
          </cell>
          <cell r="CX133">
            <v>400</v>
          </cell>
          <cell r="CY133">
            <v>400</v>
          </cell>
          <cell r="CZ133">
            <v>400</v>
          </cell>
          <cell r="DA133">
            <v>500</v>
          </cell>
          <cell r="DB133">
            <v>400</v>
          </cell>
          <cell r="DC133">
            <v>500</v>
          </cell>
          <cell r="DD133">
            <v>300</v>
          </cell>
          <cell r="DE133">
            <v>300</v>
          </cell>
          <cell r="DF133">
            <v>400</v>
          </cell>
          <cell r="DG133">
            <v>500</v>
          </cell>
          <cell r="DH133"/>
          <cell r="DI133"/>
          <cell r="DJ133">
            <v>400</v>
          </cell>
          <cell r="DK133">
            <v>400</v>
          </cell>
          <cell r="DL133">
            <v>300</v>
          </cell>
          <cell r="DM133">
            <v>300</v>
          </cell>
          <cell r="DN133">
            <v>400</v>
          </cell>
          <cell r="DO133">
            <v>400</v>
          </cell>
          <cell r="DP133">
            <v>500</v>
          </cell>
          <cell r="DQ133">
            <v>300</v>
          </cell>
          <cell r="DR133">
            <v>400</v>
          </cell>
          <cell r="DS133">
            <v>500</v>
          </cell>
          <cell r="DT133">
            <v>500</v>
          </cell>
          <cell r="DU133">
            <v>500</v>
          </cell>
          <cell r="DV133">
            <v>400</v>
          </cell>
          <cell r="DW133">
            <v>400</v>
          </cell>
          <cell r="DX133">
            <v>401</v>
          </cell>
          <cell r="DY133">
            <v>300</v>
          </cell>
          <cell r="DZ133">
            <v>400</v>
          </cell>
          <cell r="EA133">
            <v>200</v>
          </cell>
          <cell r="EB133">
            <v>400</v>
          </cell>
          <cell r="EC133">
            <v>500</v>
          </cell>
          <cell r="ED133">
            <v>400</v>
          </cell>
          <cell r="EE133">
            <v>400</v>
          </cell>
          <cell r="EF133">
            <v>400</v>
          </cell>
          <cell r="EG133">
            <v>400</v>
          </cell>
          <cell r="EH133">
            <v>400</v>
          </cell>
          <cell r="EI133">
            <v>300</v>
          </cell>
          <cell r="EJ133" t="str">
            <v>ACTIVO</v>
          </cell>
          <cell r="EK133" t="str">
            <v>C</v>
          </cell>
          <cell r="EL133" t="str">
            <v/>
          </cell>
          <cell r="EM133">
            <v>395.875</v>
          </cell>
          <cell r="EN133">
            <v>65.979166666666671</v>
          </cell>
          <cell r="EO133">
            <v>198.94031768347008</v>
          </cell>
          <cell r="EP133">
            <v>3200</v>
          </cell>
          <cell r="EQ133">
            <v>754624</v>
          </cell>
          <cell r="ER133">
            <v>8.0833596463530153</v>
          </cell>
          <cell r="ES133">
            <v>263.91666666666669</v>
          </cell>
        </row>
        <row r="134">
          <cell r="F134">
            <v>405383</v>
          </cell>
          <cell r="G134" t="str">
            <v>ESTUCHE GALLETAS VERA Y GIANNINI</v>
          </cell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>
            <v>4800</v>
          </cell>
          <cell r="AY134"/>
          <cell r="AZ134"/>
          <cell r="BA134"/>
          <cell r="BB134"/>
          <cell r="BC134"/>
          <cell r="BD134"/>
          <cell r="BE134"/>
          <cell r="BF134"/>
          <cell r="BG134">
            <v>4800</v>
          </cell>
          <cell r="BH134"/>
          <cell r="BI134">
            <v>200</v>
          </cell>
          <cell r="BJ134"/>
          <cell r="BK134">
            <v>14400</v>
          </cell>
          <cell r="BL134"/>
          <cell r="BM134"/>
          <cell r="BN134"/>
          <cell r="BO134"/>
          <cell r="BP134"/>
          <cell r="BQ134"/>
          <cell r="BR134"/>
          <cell r="BS134"/>
          <cell r="BT134">
            <v>4800</v>
          </cell>
          <cell r="BU134"/>
          <cell r="BV134"/>
          <cell r="BW134"/>
          <cell r="BX134"/>
          <cell r="BY134"/>
          <cell r="BZ134">
            <v>4800</v>
          </cell>
          <cell r="CA134"/>
          <cell r="CB134"/>
          <cell r="CC134"/>
          <cell r="CD134"/>
          <cell r="CE134">
            <v>4800</v>
          </cell>
          <cell r="CF134"/>
          <cell r="CG134"/>
          <cell r="CH134"/>
          <cell r="CI134">
            <v>4800</v>
          </cell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>
            <v>4800</v>
          </cell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K134"/>
          <cell r="DL134"/>
          <cell r="DM134"/>
          <cell r="DN134"/>
          <cell r="DO134"/>
          <cell r="DP134"/>
          <cell r="DQ134"/>
          <cell r="DR134"/>
          <cell r="DS134"/>
          <cell r="DT134"/>
          <cell r="DU134"/>
          <cell r="DV134"/>
          <cell r="DW134"/>
          <cell r="DX134"/>
          <cell r="DY134"/>
          <cell r="DZ134"/>
          <cell r="EA134"/>
          <cell r="EB134"/>
          <cell r="EC134"/>
          <cell r="ED134"/>
          <cell r="EE134"/>
          <cell r="EF134"/>
          <cell r="EG134"/>
          <cell r="EH134"/>
          <cell r="EI134"/>
          <cell r="EJ134" t="str">
            <v>ACTIVO</v>
          </cell>
          <cell r="EK134" t="str">
            <v>C</v>
          </cell>
          <cell r="EL134">
            <v>0</v>
          </cell>
          <cell r="EM134">
            <v>0</v>
          </cell>
          <cell r="EN134">
            <v>0</v>
          </cell>
          <cell r="EO134">
            <v>4276.8479715122648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</row>
        <row r="135">
          <cell r="F135">
            <v>405444</v>
          </cell>
          <cell r="G135" t="str">
            <v>CUPULA TORTA 15 PP ALTA COEXPAN</v>
          </cell>
          <cell r="H135">
            <v>10000</v>
          </cell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>
            <v>6000</v>
          </cell>
          <cell r="AZ135">
            <v>28800</v>
          </cell>
          <cell r="BA135">
            <v>36500</v>
          </cell>
          <cell r="BB135">
            <v>900</v>
          </cell>
          <cell r="BC135"/>
          <cell r="BD135"/>
          <cell r="BE135"/>
          <cell r="BF135">
            <v>30380</v>
          </cell>
          <cell r="BG135">
            <v>36700</v>
          </cell>
          <cell r="BH135">
            <v>13800</v>
          </cell>
          <cell r="BI135">
            <v>31600</v>
          </cell>
          <cell r="BJ135">
            <v>29500</v>
          </cell>
          <cell r="BK135">
            <v>37900</v>
          </cell>
          <cell r="BL135">
            <v>34500</v>
          </cell>
          <cell r="BM135">
            <v>26100</v>
          </cell>
          <cell r="BN135">
            <v>29400</v>
          </cell>
          <cell r="BO135">
            <v>35400</v>
          </cell>
          <cell r="BP135">
            <v>21600</v>
          </cell>
          <cell r="BQ135">
            <v>32000</v>
          </cell>
          <cell r="BR135">
            <v>39680</v>
          </cell>
          <cell r="BS135">
            <v>40520</v>
          </cell>
          <cell r="BT135">
            <v>37700</v>
          </cell>
          <cell r="BU135">
            <v>36900</v>
          </cell>
          <cell r="BV135">
            <v>40940</v>
          </cell>
          <cell r="BW135">
            <v>36100</v>
          </cell>
          <cell r="BX135">
            <v>42200</v>
          </cell>
          <cell r="BY135">
            <v>37800</v>
          </cell>
          <cell r="BZ135">
            <v>43200</v>
          </cell>
          <cell r="CA135">
            <v>40900</v>
          </cell>
          <cell r="CB135">
            <v>29000</v>
          </cell>
          <cell r="CC135">
            <v>29000</v>
          </cell>
          <cell r="CD135">
            <v>33000</v>
          </cell>
          <cell r="CE135">
            <v>45000</v>
          </cell>
          <cell r="CF135">
            <v>34300</v>
          </cell>
          <cell r="CG135">
            <v>33800</v>
          </cell>
          <cell r="CH135">
            <v>31500</v>
          </cell>
          <cell r="CI135">
            <v>23700</v>
          </cell>
          <cell r="CJ135">
            <v>22900</v>
          </cell>
          <cell r="CK135">
            <v>38100</v>
          </cell>
          <cell r="CL135">
            <v>32400</v>
          </cell>
          <cell r="CM135">
            <v>41000</v>
          </cell>
          <cell r="CN135">
            <v>42600</v>
          </cell>
          <cell r="CO135">
            <v>5000</v>
          </cell>
          <cell r="CP135">
            <v>26100</v>
          </cell>
          <cell r="CQ135">
            <v>38200</v>
          </cell>
          <cell r="CR135">
            <v>47600</v>
          </cell>
          <cell r="CS135">
            <v>20800</v>
          </cell>
          <cell r="CT135">
            <v>40800</v>
          </cell>
          <cell r="CU135">
            <v>39100</v>
          </cell>
          <cell r="CV135">
            <v>40100</v>
          </cell>
          <cell r="CW135">
            <v>39100</v>
          </cell>
          <cell r="CX135">
            <v>39600</v>
          </cell>
          <cell r="CY135">
            <v>28700</v>
          </cell>
          <cell r="CZ135">
            <v>39800</v>
          </cell>
          <cell r="DA135">
            <v>38400</v>
          </cell>
          <cell r="DB135">
            <v>41800</v>
          </cell>
          <cell r="DC135">
            <v>38200</v>
          </cell>
          <cell r="DD135">
            <v>36400</v>
          </cell>
          <cell r="DE135">
            <v>35101</v>
          </cell>
          <cell r="DF135">
            <v>58200</v>
          </cell>
          <cell r="DG135">
            <v>50200</v>
          </cell>
          <cell r="DH135">
            <v>28600</v>
          </cell>
          <cell r="DI135">
            <v>17200</v>
          </cell>
          <cell r="DJ135">
            <v>50500</v>
          </cell>
          <cell r="DK135">
            <v>60500</v>
          </cell>
          <cell r="DL135">
            <v>54900</v>
          </cell>
          <cell r="DM135">
            <v>55900</v>
          </cell>
          <cell r="DN135">
            <v>55200</v>
          </cell>
          <cell r="DO135">
            <v>59000</v>
          </cell>
          <cell r="DP135">
            <v>50504</v>
          </cell>
          <cell r="DQ135">
            <v>48500</v>
          </cell>
          <cell r="DR135">
            <v>51100</v>
          </cell>
          <cell r="DS135">
            <v>48900</v>
          </cell>
          <cell r="DT135">
            <v>49600</v>
          </cell>
          <cell r="DU135">
            <v>64100</v>
          </cell>
          <cell r="DV135">
            <v>53300</v>
          </cell>
          <cell r="DW135">
            <v>57700</v>
          </cell>
          <cell r="DX135">
            <v>70601</v>
          </cell>
          <cell r="DY135">
            <v>78700</v>
          </cell>
          <cell r="DZ135">
            <v>63800</v>
          </cell>
          <cell r="EA135">
            <v>49000</v>
          </cell>
          <cell r="EB135">
            <v>64000</v>
          </cell>
          <cell r="EC135">
            <v>77200</v>
          </cell>
          <cell r="ED135">
            <v>61500</v>
          </cell>
          <cell r="EE135">
            <v>70200</v>
          </cell>
          <cell r="EF135">
            <v>63500</v>
          </cell>
          <cell r="EG135">
            <v>67100</v>
          </cell>
          <cell r="EH135">
            <v>58200</v>
          </cell>
          <cell r="EI135">
            <v>45000</v>
          </cell>
          <cell r="EJ135" t="str">
            <v>ACTIVO</v>
          </cell>
          <cell r="EK135" t="str">
            <v>A</v>
          </cell>
          <cell r="EL135">
            <v>100</v>
          </cell>
          <cell r="EM135">
            <v>57700.2</v>
          </cell>
          <cell r="EN135">
            <v>9616.6999999999989</v>
          </cell>
          <cell r="EO135">
            <v>8816.8907567711176</v>
          </cell>
          <cell r="EP135">
            <v>70300</v>
          </cell>
          <cell r="EQ135">
            <v>17715600</v>
          </cell>
          <cell r="ER135">
            <v>1.2183666607741395</v>
          </cell>
          <cell r="ES135">
            <v>19233.399999999998</v>
          </cell>
        </row>
        <row r="136">
          <cell r="F136">
            <v>405445</v>
          </cell>
          <cell r="G136" t="str">
            <v>BASE TORTA 15PP ALTA COEXPAN</v>
          </cell>
          <cell r="H136">
            <v>10000</v>
          </cell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>
            <v>6000</v>
          </cell>
          <cell r="AZ136">
            <v>28600</v>
          </cell>
          <cell r="BA136">
            <v>36400</v>
          </cell>
          <cell r="BB136">
            <v>600</v>
          </cell>
          <cell r="BC136"/>
          <cell r="BD136"/>
          <cell r="BE136"/>
          <cell r="BF136">
            <v>24200</v>
          </cell>
          <cell r="BG136">
            <v>36800</v>
          </cell>
          <cell r="BH136">
            <v>14000</v>
          </cell>
          <cell r="BI136">
            <v>32000</v>
          </cell>
          <cell r="BJ136">
            <v>30000</v>
          </cell>
          <cell r="BK136">
            <v>41300</v>
          </cell>
          <cell r="BL136">
            <v>32600</v>
          </cell>
          <cell r="BM136">
            <v>25400</v>
          </cell>
          <cell r="BN136">
            <v>29600</v>
          </cell>
          <cell r="BO136">
            <v>35800</v>
          </cell>
          <cell r="BP136">
            <v>22800</v>
          </cell>
          <cell r="BQ136">
            <v>32200</v>
          </cell>
          <cell r="BR136">
            <v>39500</v>
          </cell>
          <cell r="BS136">
            <v>38800</v>
          </cell>
          <cell r="BT136">
            <v>41700</v>
          </cell>
          <cell r="BU136">
            <v>37600</v>
          </cell>
          <cell r="BV136">
            <v>40201</v>
          </cell>
          <cell r="BW136">
            <v>39800</v>
          </cell>
          <cell r="BX136">
            <v>41400</v>
          </cell>
          <cell r="BY136">
            <v>38800</v>
          </cell>
          <cell r="BZ136">
            <v>43800</v>
          </cell>
          <cell r="CA136">
            <v>41400</v>
          </cell>
          <cell r="CB136">
            <v>29600</v>
          </cell>
          <cell r="CC136">
            <v>29600</v>
          </cell>
          <cell r="CD136">
            <v>33800</v>
          </cell>
          <cell r="CE136">
            <v>45200</v>
          </cell>
          <cell r="CF136">
            <v>35600</v>
          </cell>
          <cell r="CG136">
            <v>34500</v>
          </cell>
          <cell r="CH136">
            <v>32600</v>
          </cell>
          <cell r="CI136">
            <v>25000</v>
          </cell>
          <cell r="CJ136">
            <v>21200</v>
          </cell>
          <cell r="CK136">
            <v>40200</v>
          </cell>
          <cell r="CL136">
            <v>33400</v>
          </cell>
          <cell r="CM136">
            <v>42000</v>
          </cell>
          <cell r="CN136">
            <v>43000</v>
          </cell>
          <cell r="CO136">
            <v>2900</v>
          </cell>
          <cell r="CP136">
            <v>26800</v>
          </cell>
          <cell r="CQ136">
            <v>39800</v>
          </cell>
          <cell r="CR136">
            <v>48600</v>
          </cell>
          <cell r="CS136">
            <v>21800</v>
          </cell>
          <cell r="CT136">
            <v>42400</v>
          </cell>
          <cell r="CU136">
            <v>37000</v>
          </cell>
          <cell r="CV136">
            <v>41800</v>
          </cell>
          <cell r="CW136">
            <v>41400</v>
          </cell>
          <cell r="CX136">
            <v>41200</v>
          </cell>
          <cell r="CY136">
            <v>29600</v>
          </cell>
          <cell r="CZ136">
            <v>41600</v>
          </cell>
          <cell r="DA136">
            <v>38400</v>
          </cell>
          <cell r="DB136">
            <v>42900</v>
          </cell>
          <cell r="DC136">
            <v>38600</v>
          </cell>
          <cell r="DD136">
            <v>37400</v>
          </cell>
          <cell r="DE136">
            <v>36001</v>
          </cell>
          <cell r="DF136">
            <v>60000</v>
          </cell>
          <cell r="DG136">
            <v>51000</v>
          </cell>
          <cell r="DH136">
            <v>30000</v>
          </cell>
          <cell r="DI136">
            <v>17400</v>
          </cell>
          <cell r="DJ136">
            <v>52400</v>
          </cell>
          <cell r="DK136">
            <v>61200</v>
          </cell>
          <cell r="DL136">
            <v>55500</v>
          </cell>
          <cell r="DM136">
            <v>57200</v>
          </cell>
          <cell r="DN136">
            <v>57600</v>
          </cell>
          <cell r="DO136">
            <v>57700</v>
          </cell>
          <cell r="DP136">
            <v>50800</v>
          </cell>
          <cell r="DQ136">
            <v>48600</v>
          </cell>
          <cell r="DR136">
            <v>52200</v>
          </cell>
          <cell r="DS136">
            <v>51200</v>
          </cell>
          <cell r="DT136">
            <v>51000</v>
          </cell>
          <cell r="DU136">
            <v>65200</v>
          </cell>
          <cell r="DV136">
            <v>50600</v>
          </cell>
          <cell r="DW136">
            <v>56700</v>
          </cell>
          <cell r="DX136">
            <v>72121</v>
          </cell>
          <cell r="DY136">
            <v>83800</v>
          </cell>
          <cell r="DZ136">
            <v>64800</v>
          </cell>
          <cell r="EA136">
            <v>49400</v>
          </cell>
          <cell r="EB136">
            <v>65200</v>
          </cell>
          <cell r="EC136">
            <v>78600</v>
          </cell>
          <cell r="ED136">
            <v>58800</v>
          </cell>
          <cell r="EE136">
            <v>68300</v>
          </cell>
          <cell r="EF136">
            <v>64800</v>
          </cell>
          <cell r="EG136">
            <v>68100</v>
          </cell>
          <cell r="EH136">
            <v>74000</v>
          </cell>
          <cell r="EI136">
            <v>45400</v>
          </cell>
          <cell r="EJ136" t="str">
            <v>ACTIVO</v>
          </cell>
          <cell r="EK136" t="str">
            <v>A</v>
          </cell>
          <cell r="EL136">
            <v>200</v>
          </cell>
          <cell r="EM136">
            <v>58368.84</v>
          </cell>
          <cell r="EN136">
            <v>9728.14</v>
          </cell>
          <cell r="EO136">
            <v>9220.7093794003431</v>
          </cell>
          <cell r="EP136">
            <v>111000</v>
          </cell>
          <cell r="EQ136">
            <v>10389600</v>
          </cell>
          <cell r="ER136">
            <v>1.901699605474428</v>
          </cell>
          <cell r="ES136">
            <v>19456.28</v>
          </cell>
        </row>
        <row r="137">
          <cell r="F137">
            <v>403244</v>
          </cell>
          <cell r="G137" t="str">
            <v>CUPULA 271 BX DEANDES</v>
          </cell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>
            <v>2400</v>
          </cell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>
            <v>4500</v>
          </cell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K137"/>
          <cell r="DL137"/>
          <cell r="DM137"/>
          <cell r="DN137"/>
          <cell r="DO137"/>
          <cell r="DP137"/>
          <cell r="DQ137"/>
          <cell r="DR137"/>
          <cell r="DS137"/>
          <cell r="DT137"/>
          <cell r="DU137"/>
          <cell r="DV137"/>
          <cell r="DW137"/>
          <cell r="DX137"/>
          <cell r="DY137"/>
          <cell r="DZ137"/>
          <cell r="EA137"/>
          <cell r="EB137"/>
          <cell r="EC137"/>
          <cell r="ED137"/>
          <cell r="EE137"/>
          <cell r="EF137"/>
          <cell r="EG137"/>
          <cell r="EH137"/>
          <cell r="EI137"/>
          <cell r="EJ137" t="str">
            <v>SIN USO</v>
          </cell>
          <cell r="EK137" t="str">
            <v>C</v>
          </cell>
          <cell r="EL137" t="str">
            <v/>
          </cell>
          <cell r="EM137">
            <v>0</v>
          </cell>
          <cell r="EN137">
            <v>0</v>
          </cell>
          <cell r="EO137">
            <v>1484.9242404917497</v>
          </cell>
          <cell r="EP137">
            <v>0</v>
          </cell>
          <cell r="EQ137">
            <v>0</v>
          </cell>
          <cell r="ER137">
            <v>0</v>
          </cell>
          <cell r="ES137">
            <v>0</v>
          </cell>
        </row>
        <row r="138">
          <cell r="F138">
            <v>403248</v>
          </cell>
          <cell r="G138" t="str">
            <v>CUPULA 15 PP ALTA WALMART</v>
          </cell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>
            <v>9600</v>
          </cell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K138"/>
          <cell r="DL138"/>
          <cell r="DM138"/>
          <cell r="DN138"/>
          <cell r="DO138"/>
          <cell r="DP138"/>
          <cell r="DQ138"/>
          <cell r="DR138"/>
          <cell r="DS138"/>
          <cell r="DT138"/>
          <cell r="DU138"/>
          <cell r="DV138"/>
          <cell r="DW138"/>
          <cell r="DX138"/>
          <cell r="DY138"/>
          <cell r="DZ138"/>
          <cell r="EA138"/>
          <cell r="EB138"/>
          <cell r="EC138"/>
          <cell r="ED138"/>
          <cell r="EE138"/>
          <cell r="EF138"/>
          <cell r="EG138"/>
          <cell r="EH138"/>
          <cell r="EI138"/>
          <cell r="EJ138" t="str">
            <v>SIN USO</v>
          </cell>
          <cell r="EK138" t="str">
            <v>C</v>
          </cell>
          <cell r="EL138" t="str">
            <v/>
          </cell>
          <cell r="EM138">
            <v>0</v>
          </cell>
          <cell r="EN138">
            <v>0</v>
          </cell>
          <cell r="EO138">
            <v>0</v>
          </cell>
          <cell r="EP138">
            <v>0</v>
          </cell>
          <cell r="EQ138">
            <v>0</v>
          </cell>
          <cell r="ER138">
            <v>0</v>
          </cell>
          <cell r="ES138">
            <v>0</v>
          </cell>
        </row>
        <row r="139">
          <cell r="F139">
            <v>403251</v>
          </cell>
          <cell r="G139" t="str">
            <v>CUPULA 98-9 ALTA 12 PP MONSALVE</v>
          </cell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>
            <v>1960</v>
          </cell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K139"/>
          <cell r="DL139"/>
          <cell r="DM139"/>
          <cell r="DN139"/>
          <cell r="DO139"/>
          <cell r="DP139"/>
          <cell r="DQ139"/>
          <cell r="DR139"/>
          <cell r="DS139"/>
          <cell r="DT139"/>
          <cell r="DU139"/>
          <cell r="DV139"/>
          <cell r="DW139"/>
          <cell r="DX139"/>
          <cell r="DY139"/>
          <cell r="DZ139"/>
          <cell r="EA139"/>
          <cell r="EB139"/>
          <cell r="EC139"/>
          <cell r="ED139"/>
          <cell r="EE139"/>
          <cell r="EF139"/>
          <cell r="EG139"/>
          <cell r="EH139"/>
          <cell r="EI139"/>
          <cell r="EJ139" t="str">
            <v>SIN USO</v>
          </cell>
          <cell r="EK139" t="str">
            <v>C</v>
          </cell>
          <cell r="EL139">
            <v>1920</v>
          </cell>
          <cell r="EM139">
            <v>0</v>
          </cell>
          <cell r="EN139">
            <v>0</v>
          </cell>
          <cell r="EO139">
            <v>0</v>
          </cell>
          <cell r="EP139">
            <v>0</v>
          </cell>
          <cell r="EQ139">
            <v>0</v>
          </cell>
          <cell r="ER139">
            <v>0</v>
          </cell>
          <cell r="ES139">
            <v>0</v>
          </cell>
        </row>
        <row r="140">
          <cell r="F140">
            <v>403216</v>
          </cell>
          <cell r="G140" t="str">
            <v>CUPULA 170A DEANDES</v>
          </cell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>
            <v>480</v>
          </cell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K140"/>
          <cell r="DL140"/>
          <cell r="DM140"/>
          <cell r="DN140"/>
          <cell r="DO140"/>
          <cell r="DP140"/>
          <cell r="DQ140"/>
          <cell r="DR140"/>
          <cell r="DS140"/>
          <cell r="DT140"/>
          <cell r="DU140"/>
          <cell r="DV140"/>
          <cell r="DW140"/>
          <cell r="DX140"/>
          <cell r="DY140"/>
          <cell r="DZ140"/>
          <cell r="EA140"/>
          <cell r="EB140"/>
          <cell r="EC140"/>
          <cell r="ED140"/>
          <cell r="EE140"/>
          <cell r="EF140"/>
          <cell r="EG140"/>
          <cell r="EH140"/>
          <cell r="EI140"/>
          <cell r="EJ140" t="str">
            <v>SIN USO</v>
          </cell>
          <cell r="EK140" t="str">
            <v>C</v>
          </cell>
          <cell r="EL140">
            <v>2400</v>
          </cell>
          <cell r="EM140">
            <v>0</v>
          </cell>
          <cell r="EN140">
            <v>0</v>
          </cell>
          <cell r="EO140">
            <v>0</v>
          </cell>
          <cell r="EP140">
            <v>0</v>
          </cell>
          <cell r="EQ140">
            <v>0</v>
          </cell>
          <cell r="ER140">
            <v>0</v>
          </cell>
          <cell r="ES140">
            <v>0</v>
          </cell>
        </row>
        <row r="141">
          <cell r="F141">
            <v>403252</v>
          </cell>
          <cell r="G141" t="str">
            <v>CUPULA LISA BAJA FOOD PACK</v>
          </cell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>
            <v>100</v>
          </cell>
          <cell r="DE141"/>
          <cell r="DF141"/>
          <cell r="DG141"/>
          <cell r="DH141"/>
          <cell r="DI141"/>
          <cell r="DJ141"/>
          <cell r="DK141"/>
          <cell r="DL141"/>
          <cell r="DM141"/>
          <cell r="DN141"/>
          <cell r="DO141"/>
          <cell r="DP141"/>
          <cell r="DQ141"/>
          <cell r="DR141"/>
          <cell r="DS141"/>
          <cell r="DT141"/>
          <cell r="DU141"/>
          <cell r="DV141"/>
          <cell r="DW141"/>
          <cell r="DX141"/>
          <cell r="DY141"/>
          <cell r="DZ141"/>
          <cell r="EA141"/>
          <cell r="EB141"/>
          <cell r="EC141"/>
          <cell r="ED141"/>
          <cell r="EE141"/>
          <cell r="EF141"/>
          <cell r="EG141"/>
          <cell r="EH141"/>
          <cell r="EI141"/>
          <cell r="EJ141" t="str">
            <v>SIN USO</v>
          </cell>
          <cell r="EK141" t="str">
            <v>C</v>
          </cell>
          <cell r="EL141" t="str">
            <v/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  <cell r="ES141">
            <v>0</v>
          </cell>
        </row>
        <row r="142">
          <cell r="F142">
            <v>405375</v>
          </cell>
          <cell r="G142" t="str">
            <v>CUPULA TORTA ALTA  15PP (98-5) FOOD PACK</v>
          </cell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K142"/>
          <cell r="DL142"/>
          <cell r="DM142"/>
          <cell r="DN142"/>
          <cell r="DO142"/>
          <cell r="DP142"/>
          <cell r="DQ142"/>
          <cell r="DR142"/>
          <cell r="DS142"/>
          <cell r="DT142"/>
          <cell r="DU142"/>
          <cell r="DV142"/>
          <cell r="DW142"/>
          <cell r="DX142"/>
          <cell r="DY142"/>
          <cell r="DZ142"/>
          <cell r="EA142"/>
          <cell r="EB142"/>
          <cell r="EC142"/>
          <cell r="ED142"/>
          <cell r="EE142"/>
          <cell r="EF142">
            <v>4480</v>
          </cell>
          <cell r="EG142"/>
          <cell r="EH142"/>
          <cell r="EI142"/>
          <cell r="EJ142" t="str">
            <v>ACTIVO</v>
          </cell>
          <cell r="EK142" t="str">
            <v/>
          </cell>
          <cell r="EL142" t="str">
            <v/>
          </cell>
          <cell r="EM142">
            <v>4480</v>
          </cell>
          <cell r="EN142">
            <v>746.66666666666663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</row>
        <row r="143">
          <cell r="F143"/>
          <cell r="G143"/>
          <cell r="H143">
            <v>81630</v>
          </cell>
          <cell r="I143">
            <v>95260</v>
          </cell>
          <cell r="J143">
            <v>80530</v>
          </cell>
          <cell r="K143">
            <v>96890</v>
          </cell>
          <cell r="L143">
            <v>68542</v>
          </cell>
          <cell r="M143">
            <v>96172</v>
          </cell>
          <cell r="N143">
            <v>69842</v>
          </cell>
          <cell r="O143">
            <v>82160</v>
          </cell>
          <cell r="P143">
            <v>60270</v>
          </cell>
          <cell r="Q143">
            <v>66910</v>
          </cell>
          <cell r="R143">
            <v>66450</v>
          </cell>
          <cell r="S143">
            <v>51460</v>
          </cell>
          <cell r="T143">
            <v>47740</v>
          </cell>
          <cell r="U143">
            <v>95860</v>
          </cell>
          <cell r="V143">
            <v>75310</v>
          </cell>
          <cell r="W143">
            <v>64540</v>
          </cell>
          <cell r="X143">
            <v>91610</v>
          </cell>
          <cell r="Y143">
            <v>77360</v>
          </cell>
          <cell r="Z143">
            <v>59305</v>
          </cell>
          <cell r="AA143">
            <v>65100</v>
          </cell>
          <cell r="AB143">
            <v>79910</v>
          </cell>
          <cell r="AC143">
            <v>83880</v>
          </cell>
          <cell r="AD143">
            <v>83230</v>
          </cell>
          <cell r="AE143">
            <v>86370</v>
          </cell>
          <cell r="AF143">
            <v>76310</v>
          </cell>
          <cell r="AG143">
            <v>77030</v>
          </cell>
          <cell r="AH143">
            <v>72760</v>
          </cell>
          <cell r="AI143">
            <v>75100</v>
          </cell>
          <cell r="AJ143">
            <v>108270</v>
          </cell>
          <cell r="AK143">
            <v>91525</v>
          </cell>
          <cell r="AL143">
            <v>113280</v>
          </cell>
          <cell r="AM143">
            <v>72580</v>
          </cell>
          <cell r="AN143">
            <v>74870</v>
          </cell>
          <cell r="AO143">
            <v>69090</v>
          </cell>
          <cell r="AP143">
            <v>81930</v>
          </cell>
          <cell r="AQ143">
            <v>80620</v>
          </cell>
          <cell r="AR143">
            <v>87760</v>
          </cell>
          <cell r="AS143">
            <v>33860</v>
          </cell>
          <cell r="AT143">
            <v>86920</v>
          </cell>
          <cell r="AU143">
            <v>82007</v>
          </cell>
          <cell r="AV143">
            <v>83022</v>
          </cell>
          <cell r="AW143">
            <v>75043</v>
          </cell>
          <cell r="AX143">
            <v>104801</v>
          </cell>
          <cell r="AY143">
            <v>87970</v>
          </cell>
          <cell r="AZ143">
            <v>111116</v>
          </cell>
          <cell r="BA143">
            <v>125030</v>
          </cell>
          <cell r="BB143">
            <v>96240</v>
          </cell>
          <cell r="BC143">
            <v>92960</v>
          </cell>
          <cell r="BD143">
            <v>81450</v>
          </cell>
          <cell r="BE143">
            <v>85271.5</v>
          </cell>
          <cell r="BF143">
            <v>106200</v>
          </cell>
          <cell r="BG143">
            <v>123670</v>
          </cell>
          <cell r="BH143">
            <v>58570</v>
          </cell>
          <cell r="BI143">
            <v>120700</v>
          </cell>
          <cell r="BJ143">
            <v>105892</v>
          </cell>
          <cell r="BK143">
            <v>167440</v>
          </cell>
          <cell r="BL143">
            <v>121230</v>
          </cell>
          <cell r="BM143">
            <v>112392</v>
          </cell>
          <cell r="BN143">
            <v>118320</v>
          </cell>
          <cell r="BO143">
            <v>128032</v>
          </cell>
          <cell r="BP143">
            <v>102900</v>
          </cell>
          <cell r="BQ143">
            <v>113650</v>
          </cell>
          <cell r="BR143">
            <v>136390</v>
          </cell>
          <cell r="BS143">
            <v>128230</v>
          </cell>
          <cell r="BT143">
            <v>155400</v>
          </cell>
          <cell r="BU143">
            <v>123451.056</v>
          </cell>
          <cell r="BV143">
            <v>132411</v>
          </cell>
          <cell r="BW143">
            <v>136290</v>
          </cell>
          <cell r="BX143">
            <v>145540</v>
          </cell>
          <cell r="BY143">
            <v>139230</v>
          </cell>
          <cell r="BZ143">
            <v>124230</v>
          </cell>
          <cell r="CA143">
            <v>130270.06</v>
          </cell>
          <cell r="CB143">
            <v>124653</v>
          </cell>
          <cell r="CC143">
            <v>124320</v>
          </cell>
          <cell r="CD143">
            <v>128000</v>
          </cell>
          <cell r="CE143">
            <v>144730</v>
          </cell>
          <cell r="CF143">
            <v>127300</v>
          </cell>
          <cell r="CG143">
            <v>122600</v>
          </cell>
          <cell r="CH143">
            <v>107150</v>
          </cell>
          <cell r="CI143">
            <v>90780</v>
          </cell>
          <cell r="CJ143">
            <v>129580</v>
          </cell>
          <cell r="CK143">
            <v>139920</v>
          </cell>
          <cell r="CL143">
            <v>110270</v>
          </cell>
          <cell r="CM143">
            <v>146829</v>
          </cell>
          <cell r="CN143">
            <v>143820</v>
          </cell>
          <cell r="CO143">
            <v>109460</v>
          </cell>
          <cell r="CP143">
            <v>147120</v>
          </cell>
          <cell r="CQ143">
            <v>131680</v>
          </cell>
          <cell r="CR143">
            <v>156780</v>
          </cell>
          <cell r="CS143">
            <v>62330</v>
          </cell>
          <cell r="CT143">
            <v>135570</v>
          </cell>
          <cell r="CU143">
            <v>141510</v>
          </cell>
          <cell r="CV143">
            <v>172840</v>
          </cell>
          <cell r="CW143">
            <v>126190</v>
          </cell>
          <cell r="CX143">
            <v>131310</v>
          </cell>
          <cell r="CY143">
            <v>102210</v>
          </cell>
          <cell r="CZ143">
            <v>126800</v>
          </cell>
          <cell r="DA143">
            <v>121710</v>
          </cell>
          <cell r="DB143">
            <v>129750</v>
          </cell>
          <cell r="DC143">
            <v>130830</v>
          </cell>
          <cell r="DD143">
            <v>114160</v>
          </cell>
          <cell r="DE143">
            <v>103297</v>
          </cell>
          <cell r="DF143">
            <v>144440</v>
          </cell>
          <cell r="DG143">
            <v>124730</v>
          </cell>
          <cell r="DH143">
            <v>69610</v>
          </cell>
          <cell r="DI143">
            <v>41180</v>
          </cell>
          <cell r="DJ143">
            <v>146150</v>
          </cell>
          <cell r="DK143">
            <v>141830</v>
          </cell>
          <cell r="DL143">
            <v>144850</v>
          </cell>
          <cell r="DM143">
            <v>137670</v>
          </cell>
          <cell r="DN143">
            <v>144940</v>
          </cell>
          <cell r="DO143">
            <v>147670</v>
          </cell>
          <cell r="DP143">
            <v>129574</v>
          </cell>
          <cell r="DQ143">
            <v>129790</v>
          </cell>
          <cell r="DR143">
            <v>126630</v>
          </cell>
          <cell r="DS143">
            <v>134680</v>
          </cell>
          <cell r="DT143">
            <v>131860</v>
          </cell>
          <cell r="DU143">
            <v>157020</v>
          </cell>
          <cell r="DV143">
            <v>140850</v>
          </cell>
          <cell r="DW143">
            <v>147200</v>
          </cell>
          <cell r="DX143">
            <v>206847</v>
          </cell>
          <cell r="DY143">
            <v>193200</v>
          </cell>
          <cell r="DZ143">
            <v>174230</v>
          </cell>
          <cell r="EA143">
            <v>132510</v>
          </cell>
          <cell r="EB143">
            <v>160700</v>
          </cell>
          <cell r="EC143">
            <v>187820</v>
          </cell>
          <cell r="ED143">
            <v>145643</v>
          </cell>
          <cell r="EE143">
            <v>193810</v>
          </cell>
          <cell r="EF143">
            <v>160310</v>
          </cell>
          <cell r="EG143">
            <v>170050</v>
          </cell>
          <cell r="EH143">
            <v>157690</v>
          </cell>
          <cell r="EI143">
            <v>106590</v>
          </cell>
          <cell r="EJ143" t="str">
            <v>ACTIVO</v>
          </cell>
          <cell r="EK143" t="str">
            <v/>
          </cell>
          <cell r="EL143" t="str">
            <v/>
          </cell>
          <cell r="EM143">
            <v>149080.56</v>
          </cell>
          <cell r="EN143">
            <v>24846.76</v>
          </cell>
          <cell r="EO143">
            <v>22182.011007187633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</row>
        <row r="144">
          <cell r="F144">
            <v>404718</v>
          </cell>
          <cell r="G144" t="str">
            <v>ETIQUETA BLANCA 100x80 SISA</v>
          </cell>
          <cell r="H144"/>
          <cell r="I144">
            <v>13000</v>
          </cell>
          <cell r="J144">
            <v>22000</v>
          </cell>
          <cell r="K144">
            <v>10000</v>
          </cell>
          <cell r="L144">
            <v>14000</v>
          </cell>
          <cell r="M144">
            <v>12000</v>
          </cell>
          <cell r="N144"/>
          <cell r="O144"/>
          <cell r="P144">
            <v>12000</v>
          </cell>
          <cell r="Q144">
            <v>6000</v>
          </cell>
          <cell r="R144"/>
          <cell r="S144">
            <v>2000</v>
          </cell>
          <cell r="T144">
            <v>16000</v>
          </cell>
          <cell r="U144">
            <v>2000</v>
          </cell>
          <cell r="V144">
            <v>2000</v>
          </cell>
          <cell r="W144">
            <v>2000</v>
          </cell>
          <cell r="X144">
            <v>4000</v>
          </cell>
          <cell r="Y144">
            <v>2000</v>
          </cell>
          <cell r="Z144"/>
          <cell r="AA144">
            <v>2000</v>
          </cell>
          <cell r="AB144">
            <v>4000</v>
          </cell>
          <cell r="AC144">
            <v>2000</v>
          </cell>
          <cell r="AD144">
            <v>4000</v>
          </cell>
          <cell r="AE144">
            <v>4000</v>
          </cell>
          <cell r="AF144">
            <v>2000</v>
          </cell>
          <cell r="AG144">
            <v>4000</v>
          </cell>
          <cell r="AH144">
            <v>2000</v>
          </cell>
          <cell r="AI144">
            <v>2000</v>
          </cell>
          <cell r="AJ144">
            <v>4000</v>
          </cell>
          <cell r="AK144">
            <v>3000</v>
          </cell>
          <cell r="AL144">
            <v>2000</v>
          </cell>
          <cell r="AM144">
            <v>4000</v>
          </cell>
          <cell r="AN144">
            <v>2000</v>
          </cell>
          <cell r="AO144">
            <v>2000</v>
          </cell>
          <cell r="AP144">
            <v>2000</v>
          </cell>
          <cell r="AQ144">
            <v>2000</v>
          </cell>
          <cell r="AR144">
            <v>2000</v>
          </cell>
          <cell r="AS144">
            <v>4000</v>
          </cell>
          <cell r="AT144">
            <v>4000</v>
          </cell>
          <cell r="AU144">
            <v>4000</v>
          </cell>
          <cell r="AV144">
            <v>2000</v>
          </cell>
          <cell r="AW144">
            <v>2000</v>
          </cell>
          <cell r="AX144">
            <v>4000</v>
          </cell>
          <cell r="AY144">
            <v>4000</v>
          </cell>
          <cell r="AZ144"/>
          <cell r="BA144">
            <v>5000</v>
          </cell>
          <cell r="BB144">
            <v>6000</v>
          </cell>
          <cell r="BC144"/>
          <cell r="BD144">
            <v>2000</v>
          </cell>
          <cell r="BE144">
            <v>8000</v>
          </cell>
          <cell r="BF144">
            <v>2</v>
          </cell>
          <cell r="BG144">
            <v>7998</v>
          </cell>
          <cell r="BH144">
            <v>4000</v>
          </cell>
          <cell r="BI144"/>
          <cell r="BJ144">
            <v>4000</v>
          </cell>
          <cell r="BK144">
            <v>8000</v>
          </cell>
          <cell r="BL144"/>
          <cell r="BM144">
            <v>2000</v>
          </cell>
          <cell r="BN144">
            <v>2000</v>
          </cell>
          <cell r="BO144">
            <v>2000</v>
          </cell>
          <cell r="BP144"/>
          <cell r="BQ144">
            <v>12000</v>
          </cell>
          <cell r="BR144">
            <v>4000</v>
          </cell>
          <cell r="BS144"/>
          <cell r="BT144">
            <v>8000</v>
          </cell>
          <cell r="BU144"/>
          <cell r="BV144">
            <v>9000</v>
          </cell>
          <cell r="BW144">
            <v>4000</v>
          </cell>
          <cell r="BX144">
            <v>4000</v>
          </cell>
          <cell r="BY144">
            <v>2000</v>
          </cell>
          <cell r="BZ144"/>
          <cell r="CA144">
            <v>4000</v>
          </cell>
          <cell r="CB144">
            <v>4000</v>
          </cell>
          <cell r="CC144"/>
          <cell r="CD144">
            <v>2000</v>
          </cell>
          <cell r="CE144">
            <v>4000</v>
          </cell>
          <cell r="CF144">
            <v>4000</v>
          </cell>
          <cell r="CG144">
            <v>8000</v>
          </cell>
          <cell r="CH144"/>
          <cell r="CI144">
            <v>4000</v>
          </cell>
          <cell r="CJ144">
            <v>6000</v>
          </cell>
          <cell r="CK144"/>
          <cell r="CL144">
            <v>2000</v>
          </cell>
          <cell r="CM144">
            <v>4000</v>
          </cell>
          <cell r="CN144">
            <v>5000</v>
          </cell>
          <cell r="CO144">
            <v>2000</v>
          </cell>
          <cell r="CP144">
            <v>2000</v>
          </cell>
          <cell r="CQ144">
            <v>2000</v>
          </cell>
          <cell r="CR144"/>
          <cell r="CS144"/>
          <cell r="CT144">
            <v>4000</v>
          </cell>
          <cell r="CU144">
            <v>2000</v>
          </cell>
          <cell r="CV144">
            <v>1000</v>
          </cell>
          <cell r="CW144">
            <v>1000</v>
          </cell>
          <cell r="CX144">
            <v>3000</v>
          </cell>
          <cell r="CY144">
            <v>10000</v>
          </cell>
          <cell r="CZ144">
            <v>2000</v>
          </cell>
          <cell r="DA144"/>
          <cell r="DB144">
            <v>4000</v>
          </cell>
          <cell r="DC144">
            <v>2000</v>
          </cell>
          <cell r="DD144">
            <v>4000</v>
          </cell>
          <cell r="DE144">
            <v>5000</v>
          </cell>
          <cell r="DF144">
            <v>2000</v>
          </cell>
          <cell r="DG144">
            <v>2000</v>
          </cell>
          <cell r="DH144"/>
          <cell r="DI144"/>
          <cell r="DJ144">
            <v>2000</v>
          </cell>
          <cell r="DK144">
            <v>4000</v>
          </cell>
          <cell r="DL144">
            <v>2000</v>
          </cell>
          <cell r="DM144">
            <v>2000</v>
          </cell>
          <cell r="DN144">
            <v>2000</v>
          </cell>
          <cell r="DO144">
            <v>2000</v>
          </cell>
          <cell r="DP144">
            <v>2000</v>
          </cell>
          <cell r="DQ144">
            <v>2000</v>
          </cell>
          <cell r="DR144">
            <v>2000</v>
          </cell>
          <cell r="DS144">
            <v>2000</v>
          </cell>
          <cell r="DT144">
            <v>4000</v>
          </cell>
          <cell r="DU144">
            <v>6000</v>
          </cell>
          <cell r="DV144">
            <v>8000</v>
          </cell>
          <cell r="DW144">
            <v>2000</v>
          </cell>
          <cell r="DX144">
            <v>2000</v>
          </cell>
          <cell r="DY144">
            <v>2000</v>
          </cell>
          <cell r="DZ144">
            <v>6000</v>
          </cell>
          <cell r="EA144">
            <v>2000</v>
          </cell>
          <cell r="EB144">
            <v>4000</v>
          </cell>
          <cell r="EC144">
            <v>2000</v>
          </cell>
          <cell r="ED144">
            <v>3000</v>
          </cell>
          <cell r="EE144">
            <v>2000</v>
          </cell>
          <cell r="EF144">
            <v>2000</v>
          </cell>
          <cell r="EG144">
            <v>8000</v>
          </cell>
          <cell r="EH144">
            <v>4000</v>
          </cell>
          <cell r="EI144"/>
          <cell r="EJ144" t="str">
            <v>ACTIVO</v>
          </cell>
          <cell r="EK144" t="str">
            <v>C</v>
          </cell>
          <cell r="EL144">
            <v>20000</v>
          </cell>
          <cell r="EM144">
            <v>3125</v>
          </cell>
          <cell r="EN144">
            <v>520.83333333333337</v>
          </cell>
          <cell r="EO144">
            <v>2552.0228276448693</v>
          </cell>
          <cell r="EP144">
            <v>5000</v>
          </cell>
          <cell r="EQ144">
            <v>39500</v>
          </cell>
          <cell r="ER144">
            <v>1.6</v>
          </cell>
          <cell r="ES144">
            <v>3125</v>
          </cell>
        </row>
        <row r="145">
          <cell r="F145">
            <v>404719</v>
          </cell>
          <cell r="G145" t="str">
            <v>ETIQUETA BLANCA 100x120 SISA</v>
          </cell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>
            <v>4000</v>
          </cell>
          <cell r="AI145"/>
          <cell r="AJ145"/>
          <cell r="AK145"/>
          <cell r="AL145">
            <v>10000</v>
          </cell>
          <cell r="AM145"/>
          <cell r="AN145"/>
          <cell r="AO145"/>
          <cell r="AP145">
            <v>10000</v>
          </cell>
          <cell r="AQ145"/>
          <cell r="AR145"/>
          <cell r="AS145"/>
          <cell r="AT145"/>
          <cell r="AU145"/>
          <cell r="AV145">
            <v>20000</v>
          </cell>
          <cell r="AW145"/>
          <cell r="AX145"/>
          <cell r="AY145"/>
          <cell r="AZ145"/>
          <cell r="BA145"/>
          <cell r="BB145">
            <v>30000</v>
          </cell>
          <cell r="BC145"/>
          <cell r="BD145">
            <v>30000</v>
          </cell>
          <cell r="BE145"/>
          <cell r="BF145"/>
          <cell r="BG145"/>
          <cell r="BH145"/>
          <cell r="BI145"/>
          <cell r="BJ145"/>
          <cell r="BK145"/>
          <cell r="BL145"/>
          <cell r="BM145"/>
          <cell r="BN145">
            <v>30000</v>
          </cell>
          <cell r="BO145"/>
          <cell r="BP145"/>
          <cell r="BQ145"/>
          <cell r="BR145"/>
          <cell r="BS145">
            <v>0</v>
          </cell>
          <cell r="BT145">
            <v>5000</v>
          </cell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>
            <v>10000</v>
          </cell>
          <cell r="CF145">
            <v>24000</v>
          </cell>
          <cell r="CG145">
            <v>3000</v>
          </cell>
          <cell r="CH145"/>
          <cell r="CI145"/>
          <cell r="CJ145">
            <v>20000</v>
          </cell>
          <cell r="CK145"/>
          <cell r="CL145"/>
          <cell r="CM145"/>
          <cell r="CN145"/>
          <cell r="CO145"/>
          <cell r="CP145"/>
          <cell r="CQ145"/>
          <cell r="CR145"/>
          <cell r="CS145"/>
          <cell r="CT145">
            <v>2000</v>
          </cell>
          <cell r="CU145">
            <v>40000</v>
          </cell>
          <cell r="CV145"/>
          <cell r="CW145">
            <v>4000</v>
          </cell>
          <cell r="CX145"/>
          <cell r="CY145"/>
          <cell r="CZ145"/>
          <cell r="DA145"/>
          <cell r="DB145">
            <v>30000</v>
          </cell>
          <cell r="DC145">
            <v>28000</v>
          </cell>
          <cell r="DD145"/>
          <cell r="DE145"/>
          <cell r="DF145"/>
          <cell r="DG145"/>
          <cell r="DH145"/>
          <cell r="DI145"/>
          <cell r="DJ145"/>
          <cell r="DK145"/>
          <cell r="DL145"/>
          <cell r="DM145"/>
          <cell r="DN145"/>
          <cell r="DO145"/>
          <cell r="DP145"/>
          <cell r="DQ145"/>
          <cell r="DR145"/>
          <cell r="DS145"/>
          <cell r="DT145"/>
          <cell r="DU145"/>
          <cell r="DV145"/>
          <cell r="DW145"/>
          <cell r="DX145"/>
          <cell r="DY145"/>
          <cell r="DZ145"/>
          <cell r="EA145"/>
          <cell r="EB145"/>
          <cell r="EC145"/>
          <cell r="ED145"/>
          <cell r="EE145"/>
          <cell r="EF145"/>
          <cell r="EG145"/>
          <cell r="EH145"/>
          <cell r="EI145"/>
          <cell r="EJ145" t="str">
            <v>CURICO</v>
          </cell>
          <cell r="EK145" t="str">
            <v>C</v>
          </cell>
          <cell r="EL145" t="str">
            <v/>
          </cell>
          <cell r="EM145">
            <v>0</v>
          </cell>
          <cell r="EN145">
            <v>0</v>
          </cell>
          <cell r="EO145">
            <v>13858.593220836163</v>
          </cell>
          <cell r="EP145">
            <v>18000</v>
          </cell>
          <cell r="EQ145">
            <v>285480</v>
          </cell>
          <cell r="ER145">
            <v>0</v>
          </cell>
          <cell r="ES145">
            <v>0</v>
          </cell>
        </row>
        <row r="146">
          <cell r="F146">
            <v>404720</v>
          </cell>
          <cell r="G146" t="str">
            <v>ETIQUETA BLANCA 100x50</v>
          </cell>
          <cell r="H146"/>
          <cell r="I146"/>
          <cell r="J146"/>
          <cell r="K146"/>
          <cell r="L146"/>
          <cell r="M146"/>
          <cell r="N146">
            <v>30000</v>
          </cell>
          <cell r="O146"/>
          <cell r="P146">
            <v>2500</v>
          </cell>
          <cell r="Q146"/>
          <cell r="R146">
            <v>20000</v>
          </cell>
          <cell r="S146"/>
          <cell r="T146"/>
          <cell r="U146"/>
          <cell r="V146"/>
          <cell r="W146"/>
          <cell r="X146"/>
          <cell r="Y146">
            <v>30000</v>
          </cell>
          <cell r="Z146"/>
          <cell r="AA146"/>
          <cell r="AB146"/>
          <cell r="AC146"/>
          <cell r="AD146"/>
          <cell r="AE146"/>
          <cell r="AF146"/>
          <cell r="AG146">
            <v>20000</v>
          </cell>
          <cell r="AH146"/>
          <cell r="AI146">
            <v>40000</v>
          </cell>
          <cell r="AJ146"/>
          <cell r="AK146"/>
          <cell r="AL146"/>
          <cell r="AM146"/>
          <cell r="AN146"/>
          <cell r="AO146">
            <v>50000</v>
          </cell>
          <cell r="AP146"/>
          <cell r="AQ146"/>
          <cell r="AR146"/>
          <cell r="AS146"/>
          <cell r="AT146"/>
          <cell r="AU146"/>
          <cell r="AV146"/>
          <cell r="AW146">
            <v>30000</v>
          </cell>
          <cell r="AX146"/>
          <cell r="AY146"/>
          <cell r="AZ146"/>
          <cell r="BA146"/>
          <cell r="BB146"/>
          <cell r="BC146"/>
          <cell r="BD146">
            <v>10000</v>
          </cell>
          <cell r="BE146">
            <v>30000</v>
          </cell>
          <cell r="BF146"/>
          <cell r="BG146"/>
          <cell r="BH146"/>
          <cell r="BI146"/>
          <cell r="BJ146"/>
          <cell r="BK146"/>
          <cell r="BL146"/>
          <cell r="BM146"/>
          <cell r="BN146">
            <v>30000</v>
          </cell>
          <cell r="BO146"/>
          <cell r="BP146">
            <v>30000</v>
          </cell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>
            <v>50000</v>
          </cell>
          <cell r="CC146"/>
          <cell r="CD146"/>
          <cell r="CE146"/>
          <cell r="CF146"/>
          <cell r="CG146"/>
          <cell r="CH146">
            <v>50000</v>
          </cell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>
            <v>50000</v>
          </cell>
          <cell r="CV146"/>
          <cell r="CW146"/>
          <cell r="CX146"/>
          <cell r="CY146"/>
          <cell r="CZ146"/>
          <cell r="DA146"/>
          <cell r="DB146"/>
          <cell r="DC146"/>
          <cell r="DD146">
            <v>50000</v>
          </cell>
          <cell r="DE146"/>
          <cell r="DF146"/>
          <cell r="DG146"/>
          <cell r="DH146"/>
          <cell r="DI146"/>
          <cell r="DJ146"/>
          <cell r="DK146"/>
          <cell r="DL146"/>
          <cell r="DM146"/>
          <cell r="DN146">
            <v>30000</v>
          </cell>
          <cell r="DO146"/>
          <cell r="DP146"/>
          <cell r="DQ146"/>
          <cell r="DR146">
            <v>70000</v>
          </cell>
          <cell r="DS146"/>
          <cell r="DT146"/>
          <cell r="DU146"/>
          <cell r="DV146"/>
          <cell r="DW146"/>
          <cell r="DX146"/>
          <cell r="DY146"/>
          <cell r="DZ146"/>
          <cell r="EA146"/>
          <cell r="EB146"/>
          <cell r="EC146"/>
          <cell r="ED146">
            <v>260000</v>
          </cell>
          <cell r="EE146"/>
          <cell r="EF146"/>
          <cell r="EG146">
            <v>60000</v>
          </cell>
          <cell r="EH146"/>
          <cell r="EI146"/>
          <cell r="EJ146" t="str">
            <v>CURICO</v>
          </cell>
          <cell r="EK146" t="str">
            <v>C</v>
          </cell>
          <cell r="EL146" t="str">
            <v/>
          </cell>
          <cell r="EM146">
            <v>105000</v>
          </cell>
          <cell r="EN146">
            <v>17500</v>
          </cell>
          <cell r="EO146">
            <v>10327.955589886451</v>
          </cell>
          <cell r="EP146">
            <v>0</v>
          </cell>
          <cell r="EQ146">
            <v>0</v>
          </cell>
          <cell r="ER146">
            <v>0</v>
          </cell>
          <cell r="ES146">
            <v>105000</v>
          </cell>
        </row>
        <row r="147">
          <cell r="F147">
            <v>404722</v>
          </cell>
          <cell r="G147" t="str">
            <v>ETIQUETA BLANCA 30X40</v>
          </cell>
          <cell r="H147"/>
          <cell r="I147"/>
          <cell r="J147">
            <v>60000</v>
          </cell>
          <cell r="K147"/>
          <cell r="L147"/>
          <cell r="M147"/>
          <cell r="N147"/>
          <cell r="O147"/>
          <cell r="P147">
            <v>100000</v>
          </cell>
          <cell r="Q147"/>
          <cell r="R147"/>
          <cell r="S147"/>
          <cell r="T147"/>
          <cell r="U147">
            <v>50000</v>
          </cell>
          <cell r="V147"/>
          <cell r="W147"/>
          <cell r="X147"/>
          <cell r="Y147"/>
          <cell r="Z147"/>
          <cell r="AA147"/>
          <cell r="AB147"/>
          <cell r="AC147">
            <v>40000</v>
          </cell>
          <cell r="AD147"/>
          <cell r="AE147">
            <v>60000</v>
          </cell>
          <cell r="AF147"/>
          <cell r="AG147"/>
          <cell r="AH147"/>
          <cell r="AI147">
            <v>50000</v>
          </cell>
          <cell r="AJ147"/>
          <cell r="AK147"/>
          <cell r="AL147">
            <v>30000</v>
          </cell>
          <cell r="AM147"/>
          <cell r="AN147"/>
          <cell r="AO147">
            <v>30000</v>
          </cell>
          <cell r="AP147"/>
          <cell r="AQ147"/>
          <cell r="AR147">
            <v>60000</v>
          </cell>
          <cell r="AS147"/>
          <cell r="AT147"/>
          <cell r="AU147"/>
          <cell r="AV147"/>
          <cell r="AW147">
            <v>50000</v>
          </cell>
          <cell r="AX147"/>
          <cell r="AY147"/>
          <cell r="AZ147"/>
          <cell r="BA147"/>
          <cell r="BB147">
            <v>50000</v>
          </cell>
          <cell r="BC147"/>
          <cell r="BD147">
            <v>50000</v>
          </cell>
          <cell r="BE147"/>
          <cell r="BF147"/>
          <cell r="BG147"/>
          <cell r="BH147"/>
          <cell r="BI147"/>
          <cell r="BJ147"/>
          <cell r="BK147"/>
          <cell r="BL147">
            <v>60000</v>
          </cell>
          <cell r="BM147"/>
          <cell r="BN147"/>
          <cell r="BO147"/>
          <cell r="BP147"/>
          <cell r="BQ147">
            <v>60000</v>
          </cell>
          <cell r="BR147"/>
          <cell r="BS147"/>
          <cell r="BT147">
            <v>50000</v>
          </cell>
          <cell r="BU147"/>
          <cell r="BV147"/>
          <cell r="BW147"/>
          <cell r="BX147"/>
          <cell r="BY147">
            <v>50000</v>
          </cell>
          <cell r="BZ147"/>
          <cell r="CA147">
            <v>10000</v>
          </cell>
          <cell r="CB147">
            <v>20000</v>
          </cell>
          <cell r="CC147"/>
          <cell r="CD147">
            <v>13000</v>
          </cell>
          <cell r="CE147">
            <v>57000</v>
          </cell>
          <cell r="CF147">
            <v>50000</v>
          </cell>
          <cell r="CG147"/>
          <cell r="CH147"/>
          <cell r="CI147"/>
          <cell r="CJ147"/>
          <cell r="CK147">
            <v>100000</v>
          </cell>
          <cell r="CL147"/>
          <cell r="CM147">
            <v>10000</v>
          </cell>
          <cell r="CN147"/>
          <cell r="CO147"/>
          <cell r="CP147">
            <v>110000</v>
          </cell>
          <cell r="CQ147"/>
          <cell r="CR147"/>
          <cell r="CS147"/>
          <cell r="CT147">
            <v>5000</v>
          </cell>
          <cell r="CU147">
            <v>200000</v>
          </cell>
          <cell r="CV147"/>
          <cell r="CW147">
            <v>20000</v>
          </cell>
          <cell r="CX147"/>
          <cell r="CY147">
            <v>150000</v>
          </cell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K147"/>
          <cell r="DL147">
            <v>150000</v>
          </cell>
          <cell r="DM147"/>
          <cell r="DN147"/>
          <cell r="DO147"/>
          <cell r="DP147">
            <v>100000</v>
          </cell>
          <cell r="DQ147"/>
          <cell r="DR147"/>
          <cell r="DS147"/>
          <cell r="DT147"/>
          <cell r="DU147"/>
          <cell r="DV147"/>
          <cell r="DW147">
            <v>100000</v>
          </cell>
          <cell r="DX147"/>
          <cell r="DY147"/>
          <cell r="DZ147"/>
          <cell r="EA147"/>
          <cell r="EB147"/>
          <cell r="EC147"/>
          <cell r="ED147"/>
          <cell r="EE147"/>
          <cell r="EF147">
            <v>150000</v>
          </cell>
          <cell r="EG147"/>
          <cell r="EH147"/>
          <cell r="EI147"/>
          <cell r="EJ147" t="str">
            <v>CURICO</v>
          </cell>
          <cell r="EK147" t="str">
            <v>C</v>
          </cell>
          <cell r="EL147" t="str">
            <v/>
          </cell>
          <cell r="EM147">
            <v>125000</v>
          </cell>
          <cell r="EN147">
            <v>20833.333333333332</v>
          </cell>
          <cell r="EO147">
            <v>55100.778881367311</v>
          </cell>
          <cell r="EP147">
            <v>220000</v>
          </cell>
          <cell r="EQ147">
            <v>598400</v>
          </cell>
          <cell r="ER147">
            <v>1.76</v>
          </cell>
          <cell r="ES147">
            <v>125000</v>
          </cell>
        </row>
        <row r="148">
          <cell r="F148">
            <v>404731</v>
          </cell>
          <cell r="G148" t="str">
            <v>ETIQUETA  4,2X6cm IMPR.PASTEL 5 COLOR + BARNIZ UV</v>
          </cell>
          <cell r="H148"/>
          <cell r="I148">
            <v>2500</v>
          </cell>
          <cell r="J148">
            <v>5500</v>
          </cell>
          <cell r="K148">
            <v>3000</v>
          </cell>
          <cell r="L148">
            <v>7500</v>
          </cell>
          <cell r="M148"/>
          <cell r="N148"/>
          <cell r="O148">
            <v>2000</v>
          </cell>
          <cell r="P148">
            <v>2000</v>
          </cell>
          <cell r="Q148">
            <v>2000</v>
          </cell>
          <cell r="R148"/>
          <cell r="S148"/>
          <cell r="T148">
            <v>2000</v>
          </cell>
          <cell r="U148">
            <v>2000</v>
          </cell>
          <cell r="V148">
            <v>2000</v>
          </cell>
          <cell r="W148">
            <v>2000</v>
          </cell>
          <cell r="X148">
            <v>2000</v>
          </cell>
          <cell r="Y148"/>
          <cell r="Z148"/>
          <cell r="AA148">
            <v>2000</v>
          </cell>
          <cell r="AB148">
            <v>4000</v>
          </cell>
          <cell r="AC148">
            <v>2000</v>
          </cell>
          <cell r="AD148"/>
          <cell r="AE148">
            <v>2000</v>
          </cell>
          <cell r="AF148">
            <v>2000</v>
          </cell>
          <cell r="AG148">
            <v>2500</v>
          </cell>
          <cell r="AH148">
            <v>2000</v>
          </cell>
          <cell r="AI148">
            <v>2000</v>
          </cell>
          <cell r="AJ148">
            <v>2000</v>
          </cell>
          <cell r="AK148">
            <v>2500</v>
          </cell>
          <cell r="AL148"/>
          <cell r="AM148">
            <v>2500</v>
          </cell>
          <cell r="AN148">
            <v>2500</v>
          </cell>
          <cell r="AO148">
            <v>5000</v>
          </cell>
          <cell r="AP148"/>
          <cell r="AQ148">
            <v>2500</v>
          </cell>
          <cell r="AR148"/>
          <cell r="AS148">
            <v>2500</v>
          </cell>
          <cell r="AT148">
            <v>2500</v>
          </cell>
          <cell r="AU148"/>
          <cell r="AV148">
            <v>2500</v>
          </cell>
          <cell r="AW148">
            <v>2500</v>
          </cell>
          <cell r="AX148">
            <v>5000</v>
          </cell>
          <cell r="AY148">
            <v>2500</v>
          </cell>
          <cell r="AZ148"/>
          <cell r="BA148">
            <v>5000</v>
          </cell>
          <cell r="BB148"/>
          <cell r="BC148"/>
          <cell r="BD148">
            <v>2500</v>
          </cell>
          <cell r="BE148">
            <v>2500</v>
          </cell>
          <cell r="BF148">
            <v>1</v>
          </cell>
          <cell r="BG148">
            <v>4999</v>
          </cell>
          <cell r="BH148">
            <v>2500</v>
          </cell>
          <cell r="BI148"/>
          <cell r="BJ148"/>
          <cell r="BK148">
            <v>5000</v>
          </cell>
          <cell r="BL148"/>
          <cell r="BM148">
            <v>2500</v>
          </cell>
          <cell r="BN148">
            <v>2500</v>
          </cell>
          <cell r="BO148">
            <v>10000</v>
          </cell>
          <cell r="BP148"/>
          <cell r="BQ148">
            <v>2500</v>
          </cell>
          <cell r="BR148">
            <v>2500</v>
          </cell>
          <cell r="BS148"/>
          <cell r="BT148">
            <v>5000</v>
          </cell>
          <cell r="BU148"/>
          <cell r="BV148">
            <v>2500</v>
          </cell>
          <cell r="BW148">
            <v>2500</v>
          </cell>
          <cell r="BX148">
            <v>2500</v>
          </cell>
          <cell r="BY148">
            <v>5000</v>
          </cell>
          <cell r="BZ148"/>
          <cell r="CA148">
            <v>10000</v>
          </cell>
          <cell r="CB148">
            <v>2500</v>
          </cell>
          <cell r="CC148"/>
          <cell r="CD148">
            <v>2500</v>
          </cell>
          <cell r="CE148">
            <v>5000</v>
          </cell>
          <cell r="CF148">
            <v>5000</v>
          </cell>
          <cell r="CG148">
            <v>2500</v>
          </cell>
          <cell r="CH148"/>
          <cell r="CI148">
            <v>10000</v>
          </cell>
          <cell r="CJ148">
            <v>2500</v>
          </cell>
          <cell r="CK148"/>
          <cell r="CL148">
            <v>2500</v>
          </cell>
          <cell r="CM148">
            <v>5000</v>
          </cell>
          <cell r="CN148">
            <v>3000</v>
          </cell>
          <cell r="CO148"/>
          <cell r="CP148"/>
          <cell r="CQ148"/>
          <cell r="CR148"/>
          <cell r="CS148"/>
          <cell r="CT148"/>
          <cell r="CU148">
            <v>12500</v>
          </cell>
          <cell r="CV148">
            <v>2500</v>
          </cell>
          <cell r="CW148">
            <v>2500</v>
          </cell>
          <cell r="CX148"/>
          <cell r="CY148">
            <v>3500</v>
          </cell>
          <cell r="CZ148">
            <v>5000</v>
          </cell>
          <cell r="DA148"/>
          <cell r="DB148">
            <v>2500</v>
          </cell>
          <cell r="DC148">
            <v>1500</v>
          </cell>
          <cell r="DD148"/>
          <cell r="DE148"/>
          <cell r="DF148">
            <v>5000</v>
          </cell>
          <cell r="DG148">
            <v>2500</v>
          </cell>
          <cell r="DH148"/>
          <cell r="DI148"/>
          <cell r="DJ148">
            <v>2500</v>
          </cell>
          <cell r="DK148">
            <v>5000</v>
          </cell>
          <cell r="DL148">
            <v>2500</v>
          </cell>
          <cell r="DM148"/>
          <cell r="DN148">
            <v>5000</v>
          </cell>
          <cell r="DO148">
            <v>2500</v>
          </cell>
          <cell r="DP148"/>
          <cell r="DQ148">
            <v>1500</v>
          </cell>
          <cell r="DR148">
            <v>2500</v>
          </cell>
          <cell r="DS148">
            <v>2500</v>
          </cell>
          <cell r="DT148">
            <v>2500</v>
          </cell>
          <cell r="DU148">
            <v>2500</v>
          </cell>
          <cell r="DV148"/>
          <cell r="DW148"/>
          <cell r="DX148">
            <v>2500</v>
          </cell>
          <cell r="DY148">
            <v>2500</v>
          </cell>
          <cell r="DZ148"/>
          <cell r="EA148"/>
          <cell r="EB148">
            <v>2500</v>
          </cell>
          <cell r="EC148"/>
          <cell r="ED148">
            <v>2500</v>
          </cell>
          <cell r="EE148"/>
          <cell r="EF148"/>
          <cell r="EG148"/>
          <cell r="EH148"/>
          <cell r="EI148"/>
          <cell r="EJ148" t="str">
            <v>SIN USO</v>
          </cell>
          <cell r="EK148" t="str">
            <v>C</v>
          </cell>
          <cell r="EL148">
            <v>10000</v>
          </cell>
          <cell r="EM148">
            <v>2785.7142857142858</v>
          </cell>
          <cell r="EN148">
            <v>464.28571428571428</v>
          </cell>
          <cell r="EO148">
            <v>2742.8425918872863</v>
          </cell>
          <cell r="EP148">
            <v>0</v>
          </cell>
          <cell r="EQ148">
            <v>0</v>
          </cell>
          <cell r="ER148">
            <v>0</v>
          </cell>
          <cell r="ES148">
            <v>2785.7142857142858</v>
          </cell>
        </row>
        <row r="149">
          <cell r="F149">
            <v>405461</v>
          </cell>
          <cell r="G149" t="str">
            <v>ETIQUETA CIRCULAR 4cm IMPR. PASTEL SISA</v>
          </cell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>
            <v>2500</v>
          </cell>
          <cell r="CQ149"/>
          <cell r="CR149"/>
          <cell r="CS149"/>
          <cell r="CT149">
            <v>6000</v>
          </cell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>
            <v>2500</v>
          </cell>
          <cell r="DF149"/>
          <cell r="DG149">
            <v>5000</v>
          </cell>
          <cell r="DH149"/>
          <cell r="DI149"/>
          <cell r="DJ149"/>
          <cell r="DK149"/>
          <cell r="DL149"/>
          <cell r="DM149"/>
          <cell r="DN149"/>
          <cell r="DO149"/>
          <cell r="DP149"/>
          <cell r="DQ149"/>
          <cell r="DR149"/>
          <cell r="DS149"/>
          <cell r="DT149"/>
          <cell r="DU149">
            <v>2500</v>
          </cell>
          <cell r="DV149"/>
          <cell r="DW149"/>
          <cell r="DX149"/>
          <cell r="DY149"/>
          <cell r="DZ149">
            <v>2500</v>
          </cell>
          <cell r="EA149"/>
          <cell r="EB149"/>
          <cell r="EC149"/>
          <cell r="ED149"/>
          <cell r="EE149"/>
          <cell r="EF149"/>
          <cell r="EG149">
            <v>5000</v>
          </cell>
          <cell r="EH149">
            <v>5000</v>
          </cell>
          <cell r="EI149"/>
          <cell r="EJ149" t="str">
            <v>ACTIVO</v>
          </cell>
          <cell r="EK149" t="str">
            <v>C</v>
          </cell>
          <cell r="EL149" t="str">
            <v/>
          </cell>
          <cell r="EM149">
            <v>3333.3333333333335</v>
          </cell>
          <cell r="EN149">
            <v>555.55555555555554</v>
          </cell>
          <cell r="EO149">
            <v>1779.5130420052185</v>
          </cell>
          <cell r="EP149">
            <v>15000</v>
          </cell>
          <cell r="EQ149">
            <v>75000</v>
          </cell>
          <cell r="ER149">
            <v>4.5</v>
          </cell>
          <cell r="ES149">
            <v>3333.333333333333</v>
          </cell>
        </row>
        <row r="150">
          <cell r="F150">
            <v>404735</v>
          </cell>
          <cell r="G150" t="str">
            <v>ETIQUETA CIRCULAR 9,8cm IMPR. TARTA  5 COL +UV</v>
          </cell>
          <cell r="H150"/>
          <cell r="I150">
            <v>2000</v>
          </cell>
          <cell r="J150">
            <v>2000</v>
          </cell>
          <cell r="K150">
            <v>2000</v>
          </cell>
          <cell r="L150"/>
          <cell r="M150"/>
          <cell r="N150"/>
          <cell r="O150">
            <v>2000</v>
          </cell>
          <cell r="P150">
            <v>2000</v>
          </cell>
          <cell r="Q150">
            <v>2000</v>
          </cell>
          <cell r="R150"/>
          <cell r="S150"/>
          <cell r="T150">
            <v>2000</v>
          </cell>
          <cell r="U150">
            <v>2000</v>
          </cell>
          <cell r="V150">
            <v>2000</v>
          </cell>
          <cell r="W150">
            <v>2000</v>
          </cell>
          <cell r="X150">
            <v>2000</v>
          </cell>
          <cell r="Y150"/>
          <cell r="Z150"/>
          <cell r="AA150">
            <v>2000</v>
          </cell>
          <cell r="AB150">
            <v>4000</v>
          </cell>
          <cell r="AC150">
            <v>2000</v>
          </cell>
          <cell r="AD150"/>
          <cell r="AE150">
            <v>2000</v>
          </cell>
          <cell r="AF150">
            <v>2000</v>
          </cell>
          <cell r="AG150"/>
          <cell r="AH150">
            <v>2000</v>
          </cell>
          <cell r="AI150">
            <v>2000</v>
          </cell>
          <cell r="AJ150">
            <v>2000</v>
          </cell>
          <cell r="AK150">
            <v>2000</v>
          </cell>
          <cell r="AL150">
            <v>2000</v>
          </cell>
          <cell r="AM150">
            <v>2000</v>
          </cell>
          <cell r="AN150">
            <v>2000</v>
          </cell>
          <cell r="AO150"/>
          <cell r="AP150">
            <v>2000</v>
          </cell>
          <cell r="AQ150">
            <v>2000</v>
          </cell>
          <cell r="AR150"/>
          <cell r="AS150">
            <v>1000</v>
          </cell>
          <cell r="AT150">
            <v>2000</v>
          </cell>
          <cell r="AU150"/>
          <cell r="AV150">
            <v>2000</v>
          </cell>
          <cell r="AW150">
            <v>2000</v>
          </cell>
          <cell r="AX150">
            <v>3000</v>
          </cell>
          <cell r="AY150">
            <v>2000</v>
          </cell>
          <cell r="AZ150"/>
          <cell r="BA150">
            <v>6000</v>
          </cell>
          <cell r="BB150"/>
          <cell r="BC150"/>
          <cell r="BD150">
            <v>2000</v>
          </cell>
          <cell r="BE150">
            <v>2000</v>
          </cell>
          <cell r="BF150">
            <v>2</v>
          </cell>
          <cell r="BG150">
            <v>3998</v>
          </cell>
          <cell r="BH150">
            <v>2000</v>
          </cell>
          <cell r="BI150"/>
          <cell r="BJ150">
            <v>1000</v>
          </cell>
          <cell r="BK150">
            <v>4000</v>
          </cell>
          <cell r="BL150"/>
          <cell r="BM150">
            <v>2000</v>
          </cell>
          <cell r="BN150">
            <v>2000</v>
          </cell>
          <cell r="BO150">
            <v>4000</v>
          </cell>
          <cell r="BP150"/>
          <cell r="BQ150">
            <v>2000</v>
          </cell>
          <cell r="BR150">
            <v>2000</v>
          </cell>
          <cell r="BS150"/>
          <cell r="BT150">
            <v>4000</v>
          </cell>
          <cell r="BU150"/>
          <cell r="BV150">
            <v>2000</v>
          </cell>
          <cell r="BW150">
            <v>2000</v>
          </cell>
          <cell r="BX150">
            <v>2000</v>
          </cell>
          <cell r="BY150"/>
          <cell r="BZ150"/>
          <cell r="CA150">
            <v>4000</v>
          </cell>
          <cell r="CB150">
            <v>2000</v>
          </cell>
          <cell r="CC150"/>
          <cell r="CD150">
            <v>2000</v>
          </cell>
          <cell r="CE150">
            <v>2000</v>
          </cell>
          <cell r="CF150">
            <v>4000</v>
          </cell>
          <cell r="CG150">
            <v>2000</v>
          </cell>
          <cell r="CH150"/>
          <cell r="CI150">
            <v>4000</v>
          </cell>
          <cell r="CJ150">
            <v>2000</v>
          </cell>
          <cell r="CK150"/>
          <cell r="CL150">
            <v>2000</v>
          </cell>
          <cell r="CM150">
            <v>2000</v>
          </cell>
          <cell r="CN150">
            <v>4000</v>
          </cell>
          <cell r="CO150">
            <v>2000</v>
          </cell>
          <cell r="CP150">
            <v>2000</v>
          </cell>
          <cell r="CQ150"/>
          <cell r="CR150"/>
          <cell r="CS150"/>
          <cell r="CT150">
            <v>4000</v>
          </cell>
          <cell r="CU150">
            <v>4000</v>
          </cell>
          <cell r="CV150">
            <v>2000</v>
          </cell>
          <cell r="CW150">
            <v>5000</v>
          </cell>
          <cell r="CX150"/>
          <cell r="CY150">
            <v>3000</v>
          </cell>
          <cell r="CZ150">
            <v>2000</v>
          </cell>
          <cell r="DA150"/>
          <cell r="DB150">
            <v>2000</v>
          </cell>
          <cell r="DC150">
            <v>1000</v>
          </cell>
          <cell r="DD150"/>
          <cell r="DE150">
            <v>1000</v>
          </cell>
          <cell r="DF150">
            <v>1000</v>
          </cell>
          <cell r="DG150">
            <v>1000</v>
          </cell>
          <cell r="DH150"/>
          <cell r="DI150"/>
          <cell r="DJ150">
            <v>1000</v>
          </cell>
          <cell r="DK150">
            <v>2000</v>
          </cell>
          <cell r="DL150">
            <v>2000</v>
          </cell>
          <cell r="DM150"/>
          <cell r="DN150">
            <v>1000</v>
          </cell>
          <cell r="DO150">
            <v>1000</v>
          </cell>
          <cell r="DP150">
            <v>3000</v>
          </cell>
          <cell r="DQ150">
            <v>2000</v>
          </cell>
          <cell r="DR150">
            <v>4000</v>
          </cell>
          <cell r="DS150">
            <v>2000</v>
          </cell>
          <cell r="DT150">
            <v>3000</v>
          </cell>
          <cell r="DU150">
            <v>2000</v>
          </cell>
          <cell r="DV150"/>
          <cell r="DW150">
            <v>2000</v>
          </cell>
          <cell r="DX150">
            <v>2000</v>
          </cell>
          <cell r="DY150">
            <v>4000</v>
          </cell>
          <cell r="DZ150">
            <v>2000</v>
          </cell>
          <cell r="EA150"/>
          <cell r="EB150">
            <v>4000</v>
          </cell>
          <cell r="EC150">
            <v>3000</v>
          </cell>
          <cell r="ED150">
            <v>2000</v>
          </cell>
          <cell r="EE150"/>
          <cell r="EF150">
            <v>3000</v>
          </cell>
          <cell r="EG150">
            <v>2000</v>
          </cell>
          <cell r="EH150"/>
          <cell r="EI150"/>
          <cell r="EJ150" t="str">
            <v>ACTIVO</v>
          </cell>
          <cell r="EK150" t="str">
            <v>C</v>
          </cell>
          <cell r="EL150">
            <v>10000</v>
          </cell>
          <cell r="EM150">
            <v>2350</v>
          </cell>
          <cell r="EN150">
            <v>391.66666666666669</v>
          </cell>
          <cell r="EO150">
            <v>1108.0513425729771</v>
          </cell>
          <cell r="EP150">
            <v>4000</v>
          </cell>
          <cell r="EQ150">
            <v>68680</v>
          </cell>
          <cell r="ER150">
            <v>1.7021276595744681</v>
          </cell>
          <cell r="ES150">
            <v>2350</v>
          </cell>
        </row>
        <row r="151">
          <cell r="F151">
            <v>404736</v>
          </cell>
          <cell r="G151" t="str">
            <v>ETIQUETA CIRCULAR 9,8cm IMPR. PIE  5 COL +UV</v>
          </cell>
          <cell r="H151"/>
          <cell r="I151">
            <v>2000</v>
          </cell>
          <cell r="J151">
            <v>2000</v>
          </cell>
          <cell r="K151">
            <v>2000</v>
          </cell>
          <cell r="L151"/>
          <cell r="M151"/>
          <cell r="N151"/>
          <cell r="O151">
            <v>2000</v>
          </cell>
          <cell r="P151">
            <v>2000</v>
          </cell>
          <cell r="Q151">
            <v>2000</v>
          </cell>
          <cell r="R151"/>
          <cell r="S151">
            <v>2000</v>
          </cell>
          <cell r="T151">
            <v>2000</v>
          </cell>
          <cell r="U151">
            <v>2000</v>
          </cell>
          <cell r="V151">
            <v>2000</v>
          </cell>
          <cell r="W151">
            <v>2000</v>
          </cell>
          <cell r="X151">
            <v>2000</v>
          </cell>
          <cell r="Y151"/>
          <cell r="Z151">
            <v>2000</v>
          </cell>
          <cell r="AA151">
            <v>2000</v>
          </cell>
          <cell r="AB151">
            <v>4000</v>
          </cell>
          <cell r="AC151">
            <v>2000</v>
          </cell>
          <cell r="AD151"/>
          <cell r="AE151">
            <v>3000</v>
          </cell>
          <cell r="AF151">
            <v>2000</v>
          </cell>
          <cell r="AG151"/>
          <cell r="AH151">
            <v>2000</v>
          </cell>
          <cell r="AI151">
            <v>2000</v>
          </cell>
          <cell r="AJ151">
            <v>2000</v>
          </cell>
          <cell r="AK151">
            <v>2000</v>
          </cell>
          <cell r="AL151">
            <v>2000</v>
          </cell>
          <cell r="AM151">
            <v>2000</v>
          </cell>
          <cell r="AN151">
            <v>2000</v>
          </cell>
          <cell r="AO151">
            <v>1000</v>
          </cell>
          <cell r="AP151">
            <v>2000</v>
          </cell>
          <cell r="AQ151">
            <v>2000</v>
          </cell>
          <cell r="AR151"/>
          <cell r="AS151">
            <v>2000</v>
          </cell>
          <cell r="AT151">
            <v>2000</v>
          </cell>
          <cell r="AU151"/>
          <cell r="AV151">
            <v>2000</v>
          </cell>
          <cell r="AW151">
            <v>2000</v>
          </cell>
          <cell r="AX151">
            <v>3000</v>
          </cell>
          <cell r="AY151">
            <v>3000</v>
          </cell>
          <cell r="AZ151"/>
          <cell r="BA151">
            <v>6000</v>
          </cell>
          <cell r="BB151"/>
          <cell r="BC151">
            <v>1000</v>
          </cell>
          <cell r="BD151">
            <v>3000</v>
          </cell>
          <cell r="BE151">
            <v>3000</v>
          </cell>
          <cell r="BF151">
            <v>3</v>
          </cell>
          <cell r="BG151">
            <v>6997</v>
          </cell>
          <cell r="BH151">
            <v>2000</v>
          </cell>
          <cell r="BI151"/>
          <cell r="BJ151"/>
          <cell r="BK151">
            <v>6000</v>
          </cell>
          <cell r="BL151"/>
          <cell r="BM151">
            <v>3000</v>
          </cell>
          <cell r="BN151">
            <v>3000</v>
          </cell>
          <cell r="BO151">
            <v>5000</v>
          </cell>
          <cell r="BP151"/>
          <cell r="BQ151">
            <v>2000</v>
          </cell>
          <cell r="BR151">
            <v>2000</v>
          </cell>
          <cell r="BS151"/>
          <cell r="BT151">
            <v>5000</v>
          </cell>
          <cell r="BU151"/>
          <cell r="BV151">
            <v>2000</v>
          </cell>
          <cell r="BW151">
            <v>4000</v>
          </cell>
          <cell r="BX151">
            <v>2000</v>
          </cell>
          <cell r="BY151">
            <v>2000</v>
          </cell>
          <cell r="BZ151"/>
          <cell r="CA151">
            <v>4000</v>
          </cell>
          <cell r="CB151">
            <v>2000</v>
          </cell>
          <cell r="CC151"/>
          <cell r="CD151">
            <v>2000</v>
          </cell>
          <cell r="CE151">
            <v>2000</v>
          </cell>
          <cell r="CF151">
            <v>5000</v>
          </cell>
          <cell r="CG151">
            <v>2000</v>
          </cell>
          <cell r="CH151"/>
          <cell r="CI151">
            <v>4000</v>
          </cell>
          <cell r="CJ151">
            <v>3000</v>
          </cell>
          <cell r="CK151"/>
          <cell r="CL151">
            <v>2000</v>
          </cell>
          <cell r="CM151">
            <v>2000</v>
          </cell>
          <cell r="CN151">
            <v>4000</v>
          </cell>
          <cell r="CO151">
            <v>2000</v>
          </cell>
          <cell r="CP151">
            <v>3000</v>
          </cell>
          <cell r="CQ151"/>
          <cell r="CR151">
            <v>2000</v>
          </cell>
          <cell r="CS151"/>
          <cell r="CT151">
            <v>4000</v>
          </cell>
          <cell r="CU151">
            <v>2000</v>
          </cell>
          <cell r="CV151">
            <v>2000</v>
          </cell>
          <cell r="CW151">
            <v>2000</v>
          </cell>
          <cell r="CX151"/>
          <cell r="CY151">
            <v>3000</v>
          </cell>
          <cell r="CZ151">
            <v>2000</v>
          </cell>
          <cell r="DA151"/>
          <cell r="DB151">
            <v>2000</v>
          </cell>
          <cell r="DC151">
            <v>1000</v>
          </cell>
          <cell r="DD151"/>
          <cell r="DE151">
            <v>1000</v>
          </cell>
          <cell r="DF151">
            <v>1000</v>
          </cell>
          <cell r="DG151">
            <v>1000</v>
          </cell>
          <cell r="DH151"/>
          <cell r="DI151"/>
          <cell r="DJ151">
            <v>1000</v>
          </cell>
          <cell r="DK151">
            <v>2000</v>
          </cell>
          <cell r="DL151">
            <v>1000</v>
          </cell>
          <cell r="DM151">
            <v>1000</v>
          </cell>
          <cell r="DN151">
            <v>1000</v>
          </cell>
          <cell r="DO151">
            <v>1000</v>
          </cell>
          <cell r="DP151">
            <v>1000</v>
          </cell>
          <cell r="DQ151">
            <v>1000</v>
          </cell>
          <cell r="DR151">
            <v>1000</v>
          </cell>
          <cell r="DS151">
            <v>1000</v>
          </cell>
          <cell r="DT151">
            <v>1000</v>
          </cell>
          <cell r="DU151">
            <v>1000</v>
          </cell>
          <cell r="DV151">
            <v>1000</v>
          </cell>
          <cell r="DW151">
            <v>1000</v>
          </cell>
          <cell r="DX151">
            <v>1000</v>
          </cell>
          <cell r="DY151">
            <v>3000</v>
          </cell>
          <cell r="DZ151">
            <v>3000</v>
          </cell>
          <cell r="EA151"/>
          <cell r="EB151">
            <v>2000</v>
          </cell>
          <cell r="EC151">
            <v>1000</v>
          </cell>
          <cell r="ED151">
            <v>1000</v>
          </cell>
          <cell r="EE151">
            <v>1000</v>
          </cell>
          <cell r="EF151">
            <v>2000</v>
          </cell>
          <cell r="EG151">
            <v>1000</v>
          </cell>
          <cell r="EH151">
            <v>1000</v>
          </cell>
          <cell r="EI151"/>
          <cell r="EJ151" t="str">
            <v>ACTIVO</v>
          </cell>
          <cell r="EK151" t="str">
            <v>C</v>
          </cell>
          <cell r="EL151">
            <v>10000</v>
          </cell>
          <cell r="EM151">
            <v>1304.3478260869565</v>
          </cell>
          <cell r="EN151">
            <v>217.39130434782609</v>
          </cell>
          <cell r="EO151">
            <v>1252.0253861514022</v>
          </cell>
          <cell r="EP151">
            <v>1000</v>
          </cell>
          <cell r="EQ151">
            <v>17170</v>
          </cell>
          <cell r="ER151">
            <v>0.76666666666666672</v>
          </cell>
          <cell r="ES151">
            <v>1304.3478260869565</v>
          </cell>
        </row>
        <row r="152">
          <cell r="F152">
            <v>404739</v>
          </cell>
          <cell r="G152" t="str">
            <v>ETIQUETA CIRCULAR 9cm IMPR. TORTA CREMA MANJAR</v>
          </cell>
          <cell r="H152"/>
          <cell r="I152">
            <v>5000</v>
          </cell>
          <cell r="J152">
            <v>6000</v>
          </cell>
          <cell r="K152">
            <v>5000</v>
          </cell>
          <cell r="L152"/>
          <cell r="M152">
            <v>3000</v>
          </cell>
          <cell r="N152">
            <v>1000</v>
          </cell>
          <cell r="O152">
            <v>7000</v>
          </cell>
          <cell r="P152">
            <v>2000</v>
          </cell>
          <cell r="Q152">
            <v>2000</v>
          </cell>
          <cell r="R152"/>
          <cell r="S152">
            <v>8000</v>
          </cell>
          <cell r="T152">
            <v>2000</v>
          </cell>
          <cell r="U152">
            <v>2000</v>
          </cell>
          <cell r="V152">
            <v>3000</v>
          </cell>
          <cell r="W152">
            <v>2000</v>
          </cell>
          <cell r="X152">
            <v>3000</v>
          </cell>
          <cell r="Y152"/>
          <cell r="Z152"/>
          <cell r="AA152">
            <v>2000</v>
          </cell>
          <cell r="AB152">
            <v>8000</v>
          </cell>
          <cell r="AC152">
            <v>3000</v>
          </cell>
          <cell r="AD152"/>
          <cell r="AE152">
            <v>2000</v>
          </cell>
          <cell r="AF152">
            <v>6000</v>
          </cell>
          <cell r="AG152">
            <v>5000</v>
          </cell>
          <cell r="AH152">
            <v>3000</v>
          </cell>
          <cell r="AI152">
            <v>3000</v>
          </cell>
          <cell r="AJ152">
            <v>3000</v>
          </cell>
          <cell r="AK152">
            <v>5000</v>
          </cell>
          <cell r="AL152"/>
          <cell r="AM152">
            <v>4000</v>
          </cell>
          <cell r="AN152">
            <v>2000</v>
          </cell>
          <cell r="AO152">
            <v>3000</v>
          </cell>
          <cell r="AP152"/>
          <cell r="AQ152">
            <v>2000</v>
          </cell>
          <cell r="AR152"/>
          <cell r="AS152">
            <v>2000</v>
          </cell>
          <cell r="AT152">
            <v>2000</v>
          </cell>
          <cell r="AU152"/>
          <cell r="AV152">
            <v>2000</v>
          </cell>
          <cell r="AW152">
            <v>2000</v>
          </cell>
          <cell r="AX152">
            <v>5000</v>
          </cell>
          <cell r="AY152"/>
          <cell r="AZ152"/>
          <cell r="BA152">
            <v>10000</v>
          </cell>
          <cell r="BB152"/>
          <cell r="BC152"/>
          <cell r="BD152"/>
          <cell r="BE152">
            <v>8000</v>
          </cell>
          <cell r="BF152"/>
          <cell r="BG152"/>
          <cell r="BH152"/>
          <cell r="BI152"/>
          <cell r="BJ152"/>
          <cell r="BK152">
            <v>3000</v>
          </cell>
          <cell r="BL152">
            <v>3000</v>
          </cell>
          <cell r="BM152"/>
          <cell r="BN152"/>
          <cell r="BO152">
            <v>8000</v>
          </cell>
          <cell r="BP152"/>
          <cell r="BQ152"/>
          <cell r="BR152">
            <v>7000</v>
          </cell>
          <cell r="BS152">
            <v>8000</v>
          </cell>
          <cell r="BT152">
            <v>8000</v>
          </cell>
          <cell r="BU152"/>
          <cell r="BV152"/>
          <cell r="BW152">
            <v>2000</v>
          </cell>
          <cell r="BX152">
            <v>2000</v>
          </cell>
          <cell r="BY152">
            <v>1000</v>
          </cell>
          <cell r="BZ152">
            <v>2000</v>
          </cell>
          <cell r="CA152">
            <v>4000</v>
          </cell>
          <cell r="CB152">
            <v>8000</v>
          </cell>
          <cell r="CC152"/>
          <cell r="CD152">
            <v>2000</v>
          </cell>
          <cell r="CE152"/>
          <cell r="CF152">
            <v>1000</v>
          </cell>
          <cell r="CG152">
            <v>4000</v>
          </cell>
          <cell r="CH152"/>
          <cell r="CI152">
            <v>8000</v>
          </cell>
          <cell r="CJ152"/>
          <cell r="CK152"/>
          <cell r="CL152"/>
          <cell r="CM152">
            <v>5000</v>
          </cell>
          <cell r="CN152">
            <v>10000</v>
          </cell>
          <cell r="CO152">
            <v>4000</v>
          </cell>
          <cell r="CP152">
            <v>4000</v>
          </cell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K152"/>
          <cell r="DL152"/>
          <cell r="DM152"/>
          <cell r="DN152"/>
          <cell r="DO152"/>
          <cell r="DP152"/>
          <cell r="DQ152"/>
          <cell r="DR152"/>
          <cell r="DS152"/>
          <cell r="DT152"/>
          <cell r="DU152"/>
          <cell r="DV152"/>
          <cell r="DW152"/>
          <cell r="DX152">
            <v>8000</v>
          </cell>
          <cell r="DY152"/>
          <cell r="DZ152"/>
          <cell r="EA152"/>
          <cell r="EB152">
            <v>8000</v>
          </cell>
          <cell r="EC152"/>
          <cell r="ED152"/>
          <cell r="EE152"/>
          <cell r="EF152"/>
          <cell r="EG152">
            <v>3000</v>
          </cell>
          <cell r="EH152">
            <v>2000</v>
          </cell>
          <cell r="EI152"/>
          <cell r="EJ152" t="str">
            <v>ACTIVO</v>
          </cell>
          <cell r="EK152" t="str">
            <v>C</v>
          </cell>
          <cell r="EL152">
            <v>10000</v>
          </cell>
          <cell r="EM152">
            <v>6333.333333333333</v>
          </cell>
          <cell r="EN152">
            <v>1055.5555555555554</v>
          </cell>
          <cell r="EO152">
            <v>2830.2873203598028</v>
          </cell>
          <cell r="EP152">
            <v>11000</v>
          </cell>
          <cell r="EQ152">
            <v>249480</v>
          </cell>
          <cell r="ER152">
            <v>1.736842105263158</v>
          </cell>
          <cell r="ES152">
            <v>6333.3333333333321</v>
          </cell>
        </row>
        <row r="153">
          <cell r="F153">
            <v>404744</v>
          </cell>
          <cell r="G153" t="str">
            <v>ETIQUETA CIRCULAR 9cm IMPR. TORTA TRS LECHES</v>
          </cell>
          <cell r="H153"/>
          <cell r="I153">
            <v>3000</v>
          </cell>
          <cell r="J153">
            <v>3000</v>
          </cell>
          <cell r="K153">
            <v>2000</v>
          </cell>
          <cell r="L153"/>
          <cell r="M153"/>
          <cell r="N153"/>
          <cell r="O153">
            <v>6000</v>
          </cell>
          <cell r="P153">
            <v>3000</v>
          </cell>
          <cell r="Q153">
            <v>3000</v>
          </cell>
          <cell r="R153"/>
          <cell r="S153">
            <v>2000</v>
          </cell>
          <cell r="T153">
            <v>3000</v>
          </cell>
          <cell r="U153">
            <v>3000</v>
          </cell>
          <cell r="V153">
            <v>3000</v>
          </cell>
          <cell r="W153">
            <v>3000</v>
          </cell>
          <cell r="X153">
            <v>3000</v>
          </cell>
          <cell r="Y153">
            <v>7000</v>
          </cell>
          <cell r="Z153">
            <v>3000</v>
          </cell>
          <cell r="AA153">
            <v>3000</v>
          </cell>
          <cell r="AB153">
            <v>6000</v>
          </cell>
          <cell r="AC153">
            <v>3000</v>
          </cell>
          <cell r="AD153">
            <v>6000</v>
          </cell>
          <cell r="AE153">
            <v>3000</v>
          </cell>
          <cell r="AF153">
            <v>2000</v>
          </cell>
          <cell r="AG153">
            <v>3000</v>
          </cell>
          <cell r="AH153">
            <v>3000</v>
          </cell>
          <cell r="AI153">
            <v>5000</v>
          </cell>
          <cell r="AJ153">
            <v>3000</v>
          </cell>
          <cell r="AK153">
            <v>3000</v>
          </cell>
          <cell r="AL153">
            <v>4000</v>
          </cell>
          <cell r="AM153">
            <v>3000</v>
          </cell>
          <cell r="AN153">
            <v>3000</v>
          </cell>
          <cell r="AO153"/>
          <cell r="AP153">
            <v>3000</v>
          </cell>
          <cell r="AQ153">
            <v>3000</v>
          </cell>
          <cell r="AR153">
            <v>1000</v>
          </cell>
          <cell r="AS153">
            <v>3000</v>
          </cell>
          <cell r="AT153">
            <v>3000</v>
          </cell>
          <cell r="AU153"/>
          <cell r="AV153">
            <v>3000</v>
          </cell>
          <cell r="AW153">
            <v>2000</v>
          </cell>
          <cell r="AX153">
            <v>4000</v>
          </cell>
          <cell r="AY153">
            <v>1000</v>
          </cell>
          <cell r="AZ153"/>
          <cell r="BA153">
            <v>4000</v>
          </cell>
          <cell r="BB153">
            <v>1000</v>
          </cell>
          <cell r="BC153"/>
          <cell r="BD153">
            <v>2000</v>
          </cell>
          <cell r="BE153">
            <v>2000</v>
          </cell>
          <cell r="BF153">
            <v>2</v>
          </cell>
          <cell r="BG153">
            <v>5998</v>
          </cell>
          <cell r="BH153">
            <v>2000</v>
          </cell>
          <cell r="BI153"/>
          <cell r="BJ153">
            <v>2000</v>
          </cell>
          <cell r="BK153">
            <v>4000</v>
          </cell>
          <cell r="BL153"/>
          <cell r="BM153">
            <v>2000</v>
          </cell>
          <cell r="BN153">
            <v>2000</v>
          </cell>
          <cell r="BO153">
            <v>4000</v>
          </cell>
          <cell r="BP153"/>
          <cell r="BQ153">
            <v>2000</v>
          </cell>
          <cell r="BR153">
            <v>2000</v>
          </cell>
          <cell r="BS153"/>
          <cell r="BT153">
            <v>4000</v>
          </cell>
          <cell r="BU153"/>
          <cell r="BV153">
            <v>2000</v>
          </cell>
          <cell r="BW153">
            <v>3000</v>
          </cell>
          <cell r="BX153">
            <v>2000</v>
          </cell>
          <cell r="BY153">
            <v>6000</v>
          </cell>
          <cell r="BZ153"/>
          <cell r="CA153">
            <v>4000</v>
          </cell>
          <cell r="CB153">
            <v>2000</v>
          </cell>
          <cell r="CC153"/>
          <cell r="CD153">
            <v>2000</v>
          </cell>
          <cell r="CE153">
            <v>4000</v>
          </cell>
          <cell r="CF153">
            <v>4000</v>
          </cell>
          <cell r="CG153">
            <v>2000</v>
          </cell>
          <cell r="CH153"/>
          <cell r="CI153">
            <v>4000</v>
          </cell>
          <cell r="CJ153">
            <v>2000</v>
          </cell>
          <cell r="CK153"/>
          <cell r="CL153">
            <v>2000</v>
          </cell>
          <cell r="CM153">
            <v>2000</v>
          </cell>
          <cell r="CN153">
            <v>4000</v>
          </cell>
          <cell r="CO153">
            <v>2000</v>
          </cell>
          <cell r="CP153">
            <v>2000</v>
          </cell>
          <cell r="CQ153"/>
          <cell r="CR153">
            <v>2000</v>
          </cell>
          <cell r="CS153"/>
          <cell r="CT153">
            <v>4000</v>
          </cell>
          <cell r="CU153">
            <v>3000</v>
          </cell>
          <cell r="CV153">
            <v>2000</v>
          </cell>
          <cell r="CW153">
            <v>3000</v>
          </cell>
          <cell r="CX153">
            <v>3000</v>
          </cell>
          <cell r="CY153">
            <v>3000</v>
          </cell>
          <cell r="CZ153">
            <v>3000</v>
          </cell>
          <cell r="DA153"/>
          <cell r="DB153">
            <v>3000</v>
          </cell>
          <cell r="DC153">
            <v>2000</v>
          </cell>
          <cell r="DD153"/>
          <cell r="DE153">
            <v>3000</v>
          </cell>
          <cell r="DF153">
            <v>2000</v>
          </cell>
          <cell r="DG153">
            <v>3000</v>
          </cell>
          <cell r="DH153"/>
          <cell r="DI153"/>
          <cell r="DJ153">
            <v>2000</v>
          </cell>
          <cell r="DK153">
            <v>4000</v>
          </cell>
          <cell r="DL153">
            <v>2000</v>
          </cell>
          <cell r="DM153">
            <v>2000</v>
          </cell>
          <cell r="DN153">
            <v>2000</v>
          </cell>
          <cell r="DO153">
            <v>2000</v>
          </cell>
          <cell r="DP153">
            <v>2000</v>
          </cell>
          <cell r="DQ153">
            <v>1000</v>
          </cell>
          <cell r="DR153">
            <v>2000</v>
          </cell>
          <cell r="DS153">
            <v>2000</v>
          </cell>
          <cell r="DT153">
            <v>3000</v>
          </cell>
          <cell r="DU153">
            <v>2000</v>
          </cell>
          <cell r="DV153">
            <v>2000</v>
          </cell>
          <cell r="DW153">
            <v>2000</v>
          </cell>
          <cell r="DX153">
            <v>2000</v>
          </cell>
          <cell r="DY153">
            <v>5000</v>
          </cell>
          <cell r="DZ153">
            <v>5000</v>
          </cell>
          <cell r="EA153"/>
          <cell r="EB153">
            <v>4000</v>
          </cell>
          <cell r="EC153"/>
          <cell r="ED153">
            <v>2000</v>
          </cell>
          <cell r="EE153">
            <v>1000</v>
          </cell>
          <cell r="EF153">
            <v>5000</v>
          </cell>
          <cell r="EG153">
            <v>3000</v>
          </cell>
          <cell r="EH153">
            <v>3000</v>
          </cell>
          <cell r="EI153"/>
          <cell r="EJ153" t="str">
            <v>ACTIVO</v>
          </cell>
          <cell r="EK153" t="str">
            <v>C</v>
          </cell>
          <cell r="EL153">
            <v>10000</v>
          </cell>
          <cell r="EM153">
            <v>2590.909090909091</v>
          </cell>
          <cell r="EN153">
            <v>431.81818181818181</v>
          </cell>
          <cell r="EO153">
            <v>978.16926690110802</v>
          </cell>
          <cell r="EP153">
            <v>0</v>
          </cell>
          <cell r="EQ153">
            <v>0</v>
          </cell>
          <cell r="ER153">
            <v>0</v>
          </cell>
          <cell r="ES153">
            <v>2590.909090909091</v>
          </cell>
        </row>
        <row r="154">
          <cell r="F154">
            <v>404748</v>
          </cell>
          <cell r="G154" t="str">
            <v>ETIQUETA BLANCA 40x200 SISA</v>
          </cell>
          <cell r="H154"/>
          <cell r="I154">
            <v>3000</v>
          </cell>
          <cell r="J154">
            <v>6000</v>
          </cell>
          <cell r="K154">
            <v>3000</v>
          </cell>
          <cell r="L154">
            <v>3000</v>
          </cell>
          <cell r="M154">
            <v>3000</v>
          </cell>
          <cell r="N154"/>
          <cell r="O154">
            <v>6000</v>
          </cell>
          <cell r="P154">
            <v>3000</v>
          </cell>
          <cell r="Q154">
            <v>3000</v>
          </cell>
          <cell r="R154"/>
          <cell r="S154"/>
          <cell r="T154">
            <v>4000</v>
          </cell>
          <cell r="U154">
            <v>5000</v>
          </cell>
          <cell r="V154">
            <v>3000</v>
          </cell>
          <cell r="W154">
            <v>3000</v>
          </cell>
          <cell r="X154">
            <v>28000</v>
          </cell>
          <cell r="Y154"/>
          <cell r="Z154">
            <v>2000</v>
          </cell>
          <cell r="AA154">
            <v>3000</v>
          </cell>
          <cell r="AB154">
            <v>7000</v>
          </cell>
          <cell r="AC154">
            <v>3000</v>
          </cell>
          <cell r="AD154">
            <v>1000</v>
          </cell>
          <cell r="AE154">
            <v>5000</v>
          </cell>
          <cell r="AF154">
            <v>3000</v>
          </cell>
          <cell r="AG154">
            <v>4000</v>
          </cell>
          <cell r="AH154">
            <v>5000</v>
          </cell>
          <cell r="AI154">
            <v>6000</v>
          </cell>
          <cell r="AJ154">
            <v>4000</v>
          </cell>
          <cell r="AK154">
            <v>6000</v>
          </cell>
          <cell r="AL154">
            <v>4000</v>
          </cell>
          <cell r="AM154">
            <v>4000</v>
          </cell>
          <cell r="AN154">
            <v>4000</v>
          </cell>
          <cell r="AO154">
            <v>4000</v>
          </cell>
          <cell r="AP154">
            <v>4000</v>
          </cell>
          <cell r="AQ154">
            <v>4000</v>
          </cell>
          <cell r="AR154"/>
          <cell r="AS154">
            <v>3000</v>
          </cell>
          <cell r="AT154">
            <v>6000</v>
          </cell>
          <cell r="AU154"/>
          <cell r="AV154">
            <v>3000</v>
          </cell>
          <cell r="AW154">
            <v>3000</v>
          </cell>
          <cell r="AX154">
            <v>6000</v>
          </cell>
          <cell r="AY154">
            <v>4000</v>
          </cell>
          <cell r="AZ154"/>
          <cell r="BA154">
            <v>6000</v>
          </cell>
          <cell r="BB154">
            <v>4000</v>
          </cell>
          <cell r="BC154"/>
          <cell r="BD154">
            <v>3000</v>
          </cell>
          <cell r="BE154">
            <v>4000</v>
          </cell>
          <cell r="BF154">
            <v>1003</v>
          </cell>
          <cell r="BG154">
            <v>4997</v>
          </cell>
          <cell r="BH154"/>
          <cell r="BI154"/>
          <cell r="BJ154"/>
          <cell r="BK154">
            <v>10000</v>
          </cell>
          <cell r="BL154"/>
          <cell r="BM154"/>
          <cell r="BN154"/>
          <cell r="BO154">
            <v>3000</v>
          </cell>
          <cell r="BP154"/>
          <cell r="BQ154">
            <v>3000</v>
          </cell>
          <cell r="BR154">
            <v>6000</v>
          </cell>
          <cell r="BS154"/>
          <cell r="BT154">
            <v>3000</v>
          </cell>
          <cell r="BU154"/>
          <cell r="BV154">
            <v>3000</v>
          </cell>
          <cell r="BW154"/>
          <cell r="BX154">
            <v>3000</v>
          </cell>
          <cell r="BY154"/>
          <cell r="BZ154"/>
          <cell r="CA154">
            <v>3000</v>
          </cell>
          <cell r="CB154">
            <v>3000</v>
          </cell>
          <cell r="CC154"/>
          <cell r="CD154">
            <v>3000</v>
          </cell>
          <cell r="CE154">
            <v>6000</v>
          </cell>
          <cell r="CF154">
            <v>3000</v>
          </cell>
          <cell r="CG154">
            <v>3000</v>
          </cell>
          <cell r="CH154"/>
          <cell r="CI154">
            <v>1000</v>
          </cell>
          <cell r="CJ154">
            <v>5000</v>
          </cell>
          <cell r="CK154"/>
          <cell r="CL154">
            <v>3000</v>
          </cell>
          <cell r="CM154">
            <v>3000</v>
          </cell>
          <cell r="CN154">
            <v>3000</v>
          </cell>
          <cell r="CO154">
            <v>3000</v>
          </cell>
          <cell r="CP154">
            <v>3000</v>
          </cell>
          <cell r="CQ154"/>
          <cell r="CR154"/>
          <cell r="CS154"/>
          <cell r="CT154">
            <v>6000</v>
          </cell>
          <cell r="CU154"/>
          <cell r="CV154">
            <v>3000</v>
          </cell>
          <cell r="CW154">
            <v>3000</v>
          </cell>
          <cell r="CX154">
            <v>3000</v>
          </cell>
          <cell r="CY154"/>
          <cell r="CZ154">
            <v>3000</v>
          </cell>
          <cell r="DA154"/>
          <cell r="DB154">
            <v>3000</v>
          </cell>
          <cell r="DC154">
            <v>2000</v>
          </cell>
          <cell r="DD154">
            <v>2000</v>
          </cell>
          <cell r="DE154">
            <v>2000</v>
          </cell>
          <cell r="DF154">
            <v>2000</v>
          </cell>
          <cell r="DG154">
            <v>2000</v>
          </cell>
          <cell r="DH154"/>
          <cell r="DI154"/>
          <cell r="DJ154">
            <v>2000</v>
          </cell>
          <cell r="DK154">
            <v>4000</v>
          </cell>
          <cell r="DL154">
            <v>2000</v>
          </cell>
          <cell r="DM154">
            <v>2000</v>
          </cell>
          <cell r="DN154">
            <v>2000</v>
          </cell>
          <cell r="DO154">
            <v>2000</v>
          </cell>
          <cell r="DP154"/>
          <cell r="DQ154">
            <v>2000</v>
          </cell>
          <cell r="DR154">
            <v>2000</v>
          </cell>
          <cell r="DS154">
            <v>2000</v>
          </cell>
          <cell r="DT154">
            <v>3000</v>
          </cell>
          <cell r="DU154">
            <v>3000</v>
          </cell>
          <cell r="DV154">
            <v>3000</v>
          </cell>
          <cell r="DW154">
            <v>3000</v>
          </cell>
          <cell r="DX154">
            <v>3000</v>
          </cell>
          <cell r="DY154">
            <v>5000</v>
          </cell>
          <cell r="DZ154"/>
          <cell r="EA154"/>
          <cell r="EB154">
            <v>6000</v>
          </cell>
          <cell r="EC154"/>
          <cell r="ED154">
            <v>3000</v>
          </cell>
          <cell r="EE154"/>
          <cell r="EF154">
            <v>4000</v>
          </cell>
          <cell r="EG154">
            <v>11000</v>
          </cell>
          <cell r="EH154"/>
          <cell r="EI154"/>
          <cell r="EJ154" t="str">
            <v>ACTIVO</v>
          </cell>
          <cell r="EK154" t="str">
            <v>C</v>
          </cell>
          <cell r="EL154">
            <v>10000</v>
          </cell>
          <cell r="EM154">
            <v>3368.4210526315787</v>
          </cell>
          <cell r="EN154">
            <v>561.40350877192975</v>
          </cell>
          <cell r="EO154">
            <v>1684.2087577806221</v>
          </cell>
          <cell r="EP154">
            <v>32000</v>
          </cell>
          <cell r="EQ154">
            <v>438080</v>
          </cell>
          <cell r="ER154">
            <v>9.5</v>
          </cell>
          <cell r="ES154">
            <v>3368.4210526315783</v>
          </cell>
        </row>
        <row r="155">
          <cell r="F155">
            <v>405103</v>
          </cell>
          <cell r="G155" t="str">
            <v>ETIQUETA BLANCA 200X50 SISA OPP</v>
          </cell>
          <cell r="H155">
            <v>15000</v>
          </cell>
          <cell r="I155">
            <v>75000</v>
          </cell>
          <cell r="J155">
            <v>133000</v>
          </cell>
          <cell r="K155">
            <v>57000</v>
          </cell>
          <cell r="L155">
            <v>65000</v>
          </cell>
          <cell r="M155">
            <v>57000</v>
          </cell>
          <cell r="N155">
            <v>3000</v>
          </cell>
          <cell r="O155">
            <v>120000</v>
          </cell>
          <cell r="P155">
            <v>68000</v>
          </cell>
          <cell r="Q155">
            <v>63000</v>
          </cell>
          <cell r="R155">
            <v>11000</v>
          </cell>
          <cell r="S155">
            <v>85000</v>
          </cell>
          <cell r="T155">
            <v>89000</v>
          </cell>
          <cell r="U155">
            <v>63000</v>
          </cell>
          <cell r="V155">
            <v>77000</v>
          </cell>
          <cell r="W155">
            <v>33000</v>
          </cell>
          <cell r="X155">
            <v>127000</v>
          </cell>
          <cell r="Y155">
            <v>18000</v>
          </cell>
          <cell r="Z155">
            <v>89000</v>
          </cell>
          <cell r="AA155">
            <v>66000</v>
          </cell>
          <cell r="AB155">
            <v>142000</v>
          </cell>
          <cell r="AC155">
            <v>70000</v>
          </cell>
          <cell r="AD155">
            <v>33000</v>
          </cell>
          <cell r="AE155">
            <v>155000</v>
          </cell>
          <cell r="AF155">
            <v>68000</v>
          </cell>
          <cell r="AG155">
            <v>81000</v>
          </cell>
          <cell r="AH155">
            <v>79000</v>
          </cell>
          <cell r="AI155">
            <v>85000</v>
          </cell>
          <cell r="AJ155">
            <v>69000</v>
          </cell>
          <cell r="AK155">
            <v>94000</v>
          </cell>
          <cell r="AL155">
            <v>97000</v>
          </cell>
          <cell r="AM155">
            <v>81000</v>
          </cell>
          <cell r="AN155">
            <v>84000</v>
          </cell>
          <cell r="AO155">
            <v>87000</v>
          </cell>
          <cell r="AP155">
            <v>93000</v>
          </cell>
          <cell r="AQ155">
            <v>81000</v>
          </cell>
          <cell r="AR155">
            <v>15000</v>
          </cell>
          <cell r="AS155">
            <v>68000</v>
          </cell>
          <cell r="AT155">
            <v>147000</v>
          </cell>
          <cell r="AU155"/>
          <cell r="AV155">
            <v>94000</v>
          </cell>
          <cell r="AW155">
            <v>57000</v>
          </cell>
          <cell r="AX155">
            <v>145000</v>
          </cell>
          <cell r="AY155">
            <v>39000</v>
          </cell>
          <cell r="AZ155">
            <v>61000</v>
          </cell>
          <cell r="BA155">
            <v>111000</v>
          </cell>
          <cell r="BB155">
            <v>95000</v>
          </cell>
          <cell r="BC155">
            <v>25000</v>
          </cell>
          <cell r="BD155">
            <v>121000</v>
          </cell>
          <cell r="BE155">
            <v>81000</v>
          </cell>
          <cell r="BF155">
            <v>5074</v>
          </cell>
          <cell r="BG155">
            <v>149326</v>
          </cell>
          <cell r="BH155">
            <v>81000</v>
          </cell>
          <cell r="BI155">
            <v>10000</v>
          </cell>
          <cell r="BJ155">
            <v>85000</v>
          </cell>
          <cell r="BK155">
            <v>152000</v>
          </cell>
          <cell r="BL155">
            <v>5000</v>
          </cell>
          <cell r="BM155">
            <v>87000</v>
          </cell>
          <cell r="BN155">
            <v>82000</v>
          </cell>
          <cell r="BO155">
            <v>152000</v>
          </cell>
          <cell r="BP155">
            <v>10000</v>
          </cell>
          <cell r="BQ155">
            <v>139000</v>
          </cell>
          <cell r="BR155">
            <v>151000</v>
          </cell>
          <cell r="BS155">
            <v>15000</v>
          </cell>
          <cell r="BT155">
            <v>130000</v>
          </cell>
          <cell r="BU155">
            <v>18000</v>
          </cell>
          <cell r="BV155">
            <v>91000</v>
          </cell>
          <cell r="BW155">
            <v>165000</v>
          </cell>
          <cell r="BX155">
            <v>112000</v>
          </cell>
          <cell r="BY155">
            <v>89000</v>
          </cell>
          <cell r="BZ155">
            <v>40000</v>
          </cell>
          <cell r="CA155">
            <v>159000</v>
          </cell>
          <cell r="CB155">
            <v>106000</v>
          </cell>
          <cell r="CC155">
            <v>20000</v>
          </cell>
          <cell r="CD155">
            <v>100000</v>
          </cell>
          <cell r="CE155">
            <v>96000</v>
          </cell>
          <cell r="CF155">
            <v>156000</v>
          </cell>
          <cell r="CG155">
            <v>84000</v>
          </cell>
          <cell r="CH155">
            <v>22000</v>
          </cell>
          <cell r="CI155">
            <v>147000</v>
          </cell>
          <cell r="CJ155">
            <v>84000</v>
          </cell>
          <cell r="CK155">
            <v>46000</v>
          </cell>
          <cell r="CL155">
            <v>74000</v>
          </cell>
          <cell r="CM155">
            <v>87000</v>
          </cell>
          <cell r="CN155">
            <v>148000</v>
          </cell>
          <cell r="CO155">
            <v>108000</v>
          </cell>
          <cell r="CP155">
            <v>116000</v>
          </cell>
          <cell r="CQ155">
            <v>108000</v>
          </cell>
          <cell r="CR155">
            <v>20000</v>
          </cell>
          <cell r="CS155"/>
          <cell r="CT155">
            <v>157000</v>
          </cell>
          <cell r="CU155">
            <v>95000</v>
          </cell>
          <cell r="CV155">
            <v>100000</v>
          </cell>
          <cell r="CW155">
            <v>101000</v>
          </cell>
          <cell r="CX155">
            <v>50010</v>
          </cell>
          <cell r="CY155">
            <v>158000</v>
          </cell>
          <cell r="CZ155">
            <v>74000</v>
          </cell>
          <cell r="DA155">
            <v>19000</v>
          </cell>
          <cell r="DB155">
            <v>135990</v>
          </cell>
          <cell r="DC155">
            <v>85000</v>
          </cell>
          <cell r="DD155">
            <v>62000</v>
          </cell>
          <cell r="DE155">
            <v>94000</v>
          </cell>
          <cell r="DF155">
            <v>79000</v>
          </cell>
          <cell r="DG155">
            <v>58000</v>
          </cell>
          <cell r="DH155">
            <v>5000</v>
          </cell>
          <cell r="DI155"/>
          <cell r="DJ155">
            <v>88000</v>
          </cell>
          <cell r="DK155">
            <v>154000</v>
          </cell>
          <cell r="DL155">
            <v>101000</v>
          </cell>
          <cell r="DM155">
            <v>75000</v>
          </cell>
          <cell r="DN155">
            <v>89000</v>
          </cell>
          <cell r="DO155">
            <v>87000</v>
          </cell>
          <cell r="DP155">
            <v>89000</v>
          </cell>
          <cell r="DQ155">
            <v>67000</v>
          </cell>
          <cell r="DR155">
            <v>72000</v>
          </cell>
          <cell r="DS155">
            <v>96000</v>
          </cell>
          <cell r="DT155">
            <v>140000</v>
          </cell>
          <cell r="DU155">
            <v>78000</v>
          </cell>
          <cell r="DV155">
            <v>101000</v>
          </cell>
          <cell r="DW155">
            <v>103000</v>
          </cell>
          <cell r="DX155">
            <v>83000</v>
          </cell>
          <cell r="DY155">
            <v>113000</v>
          </cell>
          <cell r="DZ155">
            <v>60000</v>
          </cell>
          <cell r="EA155">
            <v>25000</v>
          </cell>
          <cell r="EB155">
            <v>136000</v>
          </cell>
          <cell r="EC155">
            <v>92000</v>
          </cell>
          <cell r="ED155">
            <v>84000</v>
          </cell>
          <cell r="EE155">
            <v>101000</v>
          </cell>
          <cell r="EF155">
            <v>117000</v>
          </cell>
          <cell r="EG155">
            <v>92000</v>
          </cell>
          <cell r="EH155">
            <v>83000</v>
          </cell>
          <cell r="EI155"/>
          <cell r="EJ155" t="str">
            <v>ACTIVO</v>
          </cell>
          <cell r="EK155" t="str">
            <v>B</v>
          </cell>
          <cell r="EL155">
            <v>10000</v>
          </cell>
          <cell r="EM155">
            <v>93458.333333333328</v>
          </cell>
          <cell r="EN155">
            <v>15576.388888888889</v>
          </cell>
          <cell r="EO155">
            <v>47794.709985144829</v>
          </cell>
          <cell r="EP155">
            <v>125000</v>
          </cell>
          <cell r="EQ155">
            <v>1962500</v>
          </cell>
          <cell r="ER155">
            <v>1.3374944271065539</v>
          </cell>
          <cell r="ES155">
            <v>93458.333333333328</v>
          </cell>
        </row>
        <row r="156">
          <cell r="F156">
            <v>405108</v>
          </cell>
          <cell r="G156" t="str">
            <v>ETIQUETA TORTA  MOCACCINO</v>
          </cell>
          <cell r="H156"/>
          <cell r="I156">
            <v>3000</v>
          </cell>
          <cell r="J156">
            <v>10000</v>
          </cell>
          <cell r="K156">
            <v>3000</v>
          </cell>
          <cell r="L156"/>
          <cell r="M156">
            <v>3000</v>
          </cell>
          <cell r="N156"/>
          <cell r="O156">
            <v>11000</v>
          </cell>
          <cell r="P156">
            <v>3000</v>
          </cell>
          <cell r="Q156"/>
          <cell r="R156"/>
          <cell r="S156">
            <v>10000</v>
          </cell>
          <cell r="T156"/>
          <cell r="U156"/>
          <cell r="V156"/>
          <cell r="W156">
            <v>3000</v>
          </cell>
          <cell r="X156">
            <v>3000</v>
          </cell>
          <cell r="Y156"/>
          <cell r="Z156"/>
          <cell r="AA156">
            <v>6000</v>
          </cell>
          <cell r="AB156">
            <v>8000</v>
          </cell>
          <cell r="AC156">
            <v>3000</v>
          </cell>
          <cell r="AD156"/>
          <cell r="AE156">
            <v>3000</v>
          </cell>
          <cell r="AF156">
            <v>2000</v>
          </cell>
          <cell r="AG156">
            <v>4000</v>
          </cell>
          <cell r="AH156">
            <v>5000</v>
          </cell>
          <cell r="AI156">
            <v>3000</v>
          </cell>
          <cell r="AJ156">
            <v>3000</v>
          </cell>
          <cell r="AK156">
            <v>3000</v>
          </cell>
          <cell r="AL156"/>
          <cell r="AM156">
            <v>3000</v>
          </cell>
          <cell r="AN156">
            <v>5000</v>
          </cell>
          <cell r="AO156">
            <v>5000</v>
          </cell>
          <cell r="AP156"/>
          <cell r="AQ156">
            <v>3000</v>
          </cell>
          <cell r="AR156"/>
          <cell r="AS156">
            <v>3000</v>
          </cell>
          <cell r="AT156">
            <v>3000</v>
          </cell>
          <cell r="AU156"/>
          <cell r="AV156">
            <v>3000</v>
          </cell>
          <cell r="AW156">
            <v>8000</v>
          </cell>
          <cell r="AX156"/>
          <cell r="AY156">
            <v>3000</v>
          </cell>
          <cell r="AZ156"/>
          <cell r="BA156">
            <v>4000</v>
          </cell>
          <cell r="BB156"/>
          <cell r="BC156"/>
          <cell r="BD156">
            <v>11000</v>
          </cell>
          <cell r="BE156"/>
          <cell r="BF156"/>
          <cell r="BG156">
            <v>6000</v>
          </cell>
          <cell r="BH156"/>
          <cell r="BI156"/>
          <cell r="BJ156"/>
          <cell r="BK156">
            <v>12000</v>
          </cell>
          <cell r="BL156"/>
          <cell r="BM156">
            <v>2000</v>
          </cell>
          <cell r="BN156">
            <v>6000</v>
          </cell>
          <cell r="BO156">
            <v>5000</v>
          </cell>
          <cell r="BP156"/>
          <cell r="BQ156">
            <v>6000</v>
          </cell>
          <cell r="BR156">
            <v>10000</v>
          </cell>
          <cell r="BS156">
            <v>10000</v>
          </cell>
          <cell r="BT156">
            <v>8000</v>
          </cell>
          <cell r="BU156">
            <v>2000</v>
          </cell>
          <cell r="BV156">
            <v>15000</v>
          </cell>
          <cell r="BW156">
            <v>2000</v>
          </cell>
          <cell r="BX156">
            <v>4000</v>
          </cell>
          <cell r="BY156"/>
          <cell r="BZ156"/>
          <cell r="CA156">
            <v>4000</v>
          </cell>
          <cell r="CB156">
            <v>4000</v>
          </cell>
          <cell r="CC156"/>
          <cell r="CD156">
            <v>1000</v>
          </cell>
          <cell r="CE156">
            <v>4000</v>
          </cell>
          <cell r="CF156">
            <v>4000</v>
          </cell>
          <cell r="CG156">
            <v>3000</v>
          </cell>
          <cell r="CH156"/>
          <cell r="CI156">
            <v>2000</v>
          </cell>
          <cell r="CJ156">
            <v>4000</v>
          </cell>
          <cell r="CK156"/>
          <cell r="CL156"/>
          <cell r="CM156">
            <v>4000</v>
          </cell>
          <cell r="CN156">
            <v>8000</v>
          </cell>
          <cell r="CO156"/>
          <cell r="CP156">
            <v>4000</v>
          </cell>
          <cell r="CQ156">
            <v>5000</v>
          </cell>
          <cell r="CR156"/>
          <cell r="CS156"/>
          <cell r="CT156">
            <v>10000</v>
          </cell>
          <cell r="CU156"/>
          <cell r="CV156"/>
          <cell r="CW156">
            <v>4000</v>
          </cell>
          <cell r="CX156">
            <v>2000</v>
          </cell>
          <cell r="CY156">
            <v>4000</v>
          </cell>
          <cell r="CZ156"/>
          <cell r="DA156"/>
          <cell r="DB156"/>
          <cell r="DC156">
            <v>4000</v>
          </cell>
          <cell r="DD156"/>
          <cell r="DE156"/>
          <cell r="DF156">
            <v>4000</v>
          </cell>
          <cell r="DG156"/>
          <cell r="DH156"/>
          <cell r="DI156"/>
          <cell r="DJ156">
            <v>4000</v>
          </cell>
          <cell r="DK156">
            <v>4000</v>
          </cell>
          <cell r="DL156">
            <v>4000</v>
          </cell>
          <cell r="DM156"/>
          <cell r="DN156">
            <v>4000</v>
          </cell>
          <cell r="DO156">
            <v>4000</v>
          </cell>
          <cell r="DP156">
            <v>4000</v>
          </cell>
          <cell r="DQ156"/>
          <cell r="DR156">
            <v>4000</v>
          </cell>
          <cell r="DS156">
            <v>4000</v>
          </cell>
          <cell r="DT156">
            <v>3000</v>
          </cell>
          <cell r="DU156">
            <v>8000</v>
          </cell>
          <cell r="DV156">
            <v>1000</v>
          </cell>
          <cell r="DW156">
            <v>4000</v>
          </cell>
          <cell r="DX156"/>
          <cell r="DY156">
            <v>4000</v>
          </cell>
          <cell r="DZ156"/>
          <cell r="EA156"/>
          <cell r="EB156"/>
          <cell r="EC156"/>
          <cell r="ED156">
            <v>4000</v>
          </cell>
          <cell r="EE156">
            <v>4000</v>
          </cell>
          <cell r="EF156"/>
          <cell r="EG156">
            <v>4000</v>
          </cell>
          <cell r="EH156"/>
          <cell r="EI156"/>
          <cell r="EJ156" t="str">
            <v>ACTIVO</v>
          </cell>
          <cell r="EK156" t="str">
            <v>C</v>
          </cell>
          <cell r="EL156">
            <v>10000</v>
          </cell>
          <cell r="EM156">
            <v>4000</v>
          </cell>
          <cell r="EN156">
            <v>666.66666666666663</v>
          </cell>
          <cell r="EO156">
            <v>3318.5303491396489</v>
          </cell>
          <cell r="EP156">
            <v>7000</v>
          </cell>
          <cell r="EQ156">
            <v>158900</v>
          </cell>
          <cell r="ER156">
            <v>1.75</v>
          </cell>
          <cell r="ES156">
            <v>4000</v>
          </cell>
        </row>
        <row r="157">
          <cell r="F157">
            <v>405111</v>
          </cell>
          <cell r="G157" t="str">
            <v>ETIQUETA CIRCULAR TORTA AMOR</v>
          </cell>
          <cell r="H157"/>
          <cell r="I157">
            <v>2000</v>
          </cell>
          <cell r="J157">
            <v>2000</v>
          </cell>
          <cell r="K157">
            <v>2000</v>
          </cell>
          <cell r="L157"/>
          <cell r="M157">
            <v>3000</v>
          </cell>
          <cell r="N157"/>
          <cell r="O157">
            <v>2000</v>
          </cell>
          <cell r="P157">
            <v>2000</v>
          </cell>
          <cell r="Q157">
            <v>2000</v>
          </cell>
          <cell r="R157"/>
          <cell r="S157">
            <v>2000</v>
          </cell>
          <cell r="T157">
            <v>2000</v>
          </cell>
          <cell r="U157">
            <v>2000</v>
          </cell>
          <cell r="V157">
            <v>2000</v>
          </cell>
          <cell r="W157">
            <v>2000</v>
          </cell>
          <cell r="X157">
            <v>2000</v>
          </cell>
          <cell r="Y157">
            <v>6000</v>
          </cell>
          <cell r="Z157">
            <v>3000</v>
          </cell>
          <cell r="AA157">
            <v>2000</v>
          </cell>
          <cell r="AB157">
            <v>5000</v>
          </cell>
          <cell r="AC157">
            <v>3000</v>
          </cell>
          <cell r="AD157">
            <v>5000</v>
          </cell>
          <cell r="AE157">
            <v>3000</v>
          </cell>
          <cell r="AF157">
            <v>3000</v>
          </cell>
          <cell r="AG157">
            <v>3000</v>
          </cell>
          <cell r="AH157">
            <v>3000</v>
          </cell>
          <cell r="AI157">
            <v>5000</v>
          </cell>
          <cell r="AJ157">
            <v>3000</v>
          </cell>
          <cell r="AK157">
            <v>3000</v>
          </cell>
          <cell r="AL157">
            <v>3000</v>
          </cell>
          <cell r="AM157">
            <v>3000</v>
          </cell>
          <cell r="AN157">
            <v>3000</v>
          </cell>
          <cell r="AO157"/>
          <cell r="AP157">
            <v>2000</v>
          </cell>
          <cell r="AQ157">
            <v>3000</v>
          </cell>
          <cell r="AR157">
            <v>1000</v>
          </cell>
          <cell r="AS157">
            <v>2000</v>
          </cell>
          <cell r="AT157">
            <v>2000</v>
          </cell>
          <cell r="AU157"/>
          <cell r="AV157">
            <v>3000</v>
          </cell>
          <cell r="AW157">
            <v>2000</v>
          </cell>
          <cell r="AX157">
            <v>5000</v>
          </cell>
          <cell r="AY157">
            <v>1000</v>
          </cell>
          <cell r="AZ157"/>
          <cell r="BA157">
            <v>4000</v>
          </cell>
          <cell r="BB157">
            <v>2000</v>
          </cell>
          <cell r="BC157">
            <v>2000</v>
          </cell>
          <cell r="BD157">
            <v>3000</v>
          </cell>
          <cell r="BE157">
            <v>5000</v>
          </cell>
          <cell r="BF157">
            <v>3</v>
          </cell>
          <cell r="BG157">
            <v>4997</v>
          </cell>
          <cell r="BH157">
            <v>2000</v>
          </cell>
          <cell r="BI157"/>
          <cell r="BJ157"/>
          <cell r="BK157">
            <v>4000</v>
          </cell>
          <cell r="BL157"/>
          <cell r="BM157">
            <v>3000</v>
          </cell>
          <cell r="BN157">
            <v>2000</v>
          </cell>
          <cell r="BO157">
            <v>7000</v>
          </cell>
          <cell r="BP157"/>
          <cell r="BQ157">
            <v>3000</v>
          </cell>
          <cell r="BR157">
            <v>3000</v>
          </cell>
          <cell r="BS157"/>
          <cell r="BT157">
            <v>6000</v>
          </cell>
          <cell r="BU157"/>
          <cell r="BV157">
            <v>3000</v>
          </cell>
          <cell r="BW157">
            <v>2000</v>
          </cell>
          <cell r="BX157">
            <v>2000</v>
          </cell>
          <cell r="BY157">
            <v>6000</v>
          </cell>
          <cell r="BZ157">
            <v>1000</v>
          </cell>
          <cell r="CA157">
            <v>6000</v>
          </cell>
          <cell r="CB157">
            <v>4000</v>
          </cell>
          <cell r="CC157"/>
          <cell r="CD157">
            <v>3000</v>
          </cell>
          <cell r="CE157">
            <v>3000</v>
          </cell>
          <cell r="CF157">
            <v>6000</v>
          </cell>
          <cell r="CG157">
            <v>3000</v>
          </cell>
          <cell r="CH157"/>
          <cell r="CI157">
            <v>6000</v>
          </cell>
          <cell r="CJ157">
            <v>2000</v>
          </cell>
          <cell r="CK157">
            <v>1000</v>
          </cell>
          <cell r="CL157">
            <v>2000</v>
          </cell>
          <cell r="CM157">
            <v>2000</v>
          </cell>
          <cell r="CN157">
            <v>4000</v>
          </cell>
          <cell r="CO157">
            <v>2000</v>
          </cell>
          <cell r="CP157">
            <v>2000</v>
          </cell>
          <cell r="CQ157"/>
          <cell r="CR157"/>
          <cell r="CS157"/>
          <cell r="CT157">
            <v>4000</v>
          </cell>
          <cell r="CU157">
            <v>3000</v>
          </cell>
          <cell r="CV157">
            <v>2000</v>
          </cell>
          <cell r="CW157">
            <v>3000</v>
          </cell>
          <cell r="CX157">
            <v>3000</v>
          </cell>
          <cell r="CY157">
            <v>3000</v>
          </cell>
          <cell r="CZ157">
            <v>3000</v>
          </cell>
          <cell r="DA157"/>
          <cell r="DB157">
            <v>4000</v>
          </cell>
          <cell r="DC157">
            <v>3000</v>
          </cell>
          <cell r="DD157"/>
          <cell r="DE157">
            <v>3000</v>
          </cell>
          <cell r="DF157">
            <v>3000</v>
          </cell>
          <cell r="DG157">
            <v>3000</v>
          </cell>
          <cell r="DH157"/>
          <cell r="DI157"/>
          <cell r="DJ157">
            <v>3000</v>
          </cell>
          <cell r="DK157">
            <v>6000</v>
          </cell>
          <cell r="DL157">
            <v>3000</v>
          </cell>
          <cell r="DM157"/>
          <cell r="DN157">
            <v>3000</v>
          </cell>
          <cell r="DO157">
            <v>4000</v>
          </cell>
          <cell r="DP157">
            <v>3000</v>
          </cell>
          <cell r="DQ157">
            <v>3000</v>
          </cell>
          <cell r="DR157">
            <v>3000</v>
          </cell>
          <cell r="DS157">
            <v>3000</v>
          </cell>
          <cell r="DT157">
            <v>3000</v>
          </cell>
          <cell r="DU157">
            <v>3000</v>
          </cell>
          <cell r="DV157">
            <v>3000</v>
          </cell>
          <cell r="DW157">
            <v>3000</v>
          </cell>
          <cell r="DX157">
            <v>3000</v>
          </cell>
          <cell r="DY157">
            <v>5000</v>
          </cell>
          <cell r="DZ157">
            <v>5000</v>
          </cell>
          <cell r="EA157"/>
          <cell r="EB157">
            <v>6000</v>
          </cell>
          <cell r="EC157">
            <v>3000</v>
          </cell>
          <cell r="ED157">
            <v>3000</v>
          </cell>
          <cell r="EE157"/>
          <cell r="EF157">
            <v>4000</v>
          </cell>
          <cell r="EG157">
            <v>3000</v>
          </cell>
          <cell r="EH157">
            <v>3000</v>
          </cell>
          <cell r="EI157"/>
          <cell r="EJ157" t="str">
            <v>ACTIVO</v>
          </cell>
          <cell r="EK157" t="str">
            <v>C</v>
          </cell>
          <cell r="EL157">
            <v>10000</v>
          </cell>
          <cell r="EM157">
            <v>3571.4285714285716</v>
          </cell>
          <cell r="EN157">
            <v>595.2380952380953</v>
          </cell>
          <cell r="EO157">
            <v>1463.9159581491065</v>
          </cell>
          <cell r="EP157">
            <v>0</v>
          </cell>
          <cell r="EQ157">
            <v>0</v>
          </cell>
          <cell r="ER157">
            <v>0</v>
          </cell>
          <cell r="ES157">
            <v>3571.4285714285716</v>
          </cell>
        </row>
        <row r="158">
          <cell r="F158">
            <v>405121</v>
          </cell>
          <cell r="G158" t="str">
            <v>ETIQUETAS CIRCULAR 9cm IMPR.TORTA TRES LECHES JUMB0</v>
          </cell>
          <cell r="H158"/>
          <cell r="I158">
            <v>2000</v>
          </cell>
          <cell r="J158">
            <v>2000</v>
          </cell>
          <cell r="K158">
            <v>2000</v>
          </cell>
          <cell r="L158">
            <v>2000</v>
          </cell>
          <cell r="M158"/>
          <cell r="N158"/>
          <cell r="O158">
            <v>2000</v>
          </cell>
          <cell r="P158">
            <v>2000</v>
          </cell>
          <cell r="Q158">
            <v>2000</v>
          </cell>
          <cell r="R158"/>
          <cell r="S158">
            <v>2000</v>
          </cell>
          <cell r="T158">
            <v>2000</v>
          </cell>
          <cell r="U158">
            <v>2000</v>
          </cell>
          <cell r="V158">
            <v>2000</v>
          </cell>
          <cell r="W158">
            <v>2000</v>
          </cell>
          <cell r="X158">
            <v>2000</v>
          </cell>
          <cell r="Y158"/>
          <cell r="Z158">
            <v>5000</v>
          </cell>
          <cell r="AA158">
            <v>3000</v>
          </cell>
          <cell r="AB158">
            <v>4000</v>
          </cell>
          <cell r="AC158">
            <v>2000</v>
          </cell>
          <cell r="AD158">
            <v>5000</v>
          </cell>
          <cell r="AE158">
            <v>3000</v>
          </cell>
          <cell r="AF158">
            <v>2000</v>
          </cell>
          <cell r="AG158">
            <v>2000</v>
          </cell>
          <cell r="AH158">
            <v>2000</v>
          </cell>
          <cell r="AI158">
            <v>2000</v>
          </cell>
          <cell r="AJ158">
            <v>2000</v>
          </cell>
          <cell r="AK158">
            <v>3000</v>
          </cell>
          <cell r="AL158">
            <v>3000</v>
          </cell>
          <cell r="AM158">
            <v>2000</v>
          </cell>
          <cell r="AN158">
            <v>2000</v>
          </cell>
          <cell r="AO158">
            <v>2000</v>
          </cell>
          <cell r="AP158">
            <v>2000</v>
          </cell>
          <cell r="AQ158">
            <v>2000</v>
          </cell>
          <cell r="AR158"/>
          <cell r="AS158">
            <v>2000</v>
          </cell>
          <cell r="AT158">
            <v>2000</v>
          </cell>
          <cell r="AU158"/>
          <cell r="AV158">
            <v>2000</v>
          </cell>
          <cell r="AW158">
            <v>2000</v>
          </cell>
          <cell r="AX158">
            <v>2000</v>
          </cell>
          <cell r="AY158">
            <v>1000</v>
          </cell>
          <cell r="AZ158"/>
          <cell r="BA158">
            <v>3000</v>
          </cell>
          <cell r="BB158">
            <v>1000</v>
          </cell>
          <cell r="BC158"/>
          <cell r="BD158">
            <v>1000</v>
          </cell>
          <cell r="BE158">
            <v>1000</v>
          </cell>
          <cell r="BF158">
            <v>1002</v>
          </cell>
          <cell r="BG158">
            <v>5998</v>
          </cell>
          <cell r="BH158">
            <v>3000</v>
          </cell>
          <cell r="BI158"/>
          <cell r="BJ158">
            <v>2000</v>
          </cell>
          <cell r="BK158">
            <v>4000</v>
          </cell>
          <cell r="BL158"/>
          <cell r="BM158">
            <v>2000</v>
          </cell>
          <cell r="BN158">
            <v>3000</v>
          </cell>
          <cell r="BO158">
            <v>4000</v>
          </cell>
          <cell r="BP158"/>
          <cell r="BQ158"/>
          <cell r="BR158">
            <v>2000</v>
          </cell>
          <cell r="BS158"/>
          <cell r="BT158">
            <v>4000</v>
          </cell>
          <cell r="BU158"/>
          <cell r="BV158">
            <v>2000</v>
          </cell>
          <cell r="BW158">
            <v>2000</v>
          </cell>
          <cell r="BX158">
            <v>2000</v>
          </cell>
          <cell r="BY158">
            <v>5000</v>
          </cell>
          <cell r="BZ158"/>
          <cell r="CA158">
            <v>4000</v>
          </cell>
          <cell r="CB158">
            <v>2000</v>
          </cell>
          <cell r="CC158"/>
          <cell r="CD158">
            <v>2000</v>
          </cell>
          <cell r="CE158">
            <v>7000</v>
          </cell>
          <cell r="CF158">
            <v>4000</v>
          </cell>
          <cell r="CG158">
            <v>2000</v>
          </cell>
          <cell r="CH158"/>
          <cell r="CI158">
            <v>4000</v>
          </cell>
          <cell r="CJ158">
            <v>2000</v>
          </cell>
          <cell r="CK158"/>
          <cell r="CL158">
            <v>2000</v>
          </cell>
          <cell r="CM158">
            <v>2000</v>
          </cell>
          <cell r="CN158">
            <v>4000</v>
          </cell>
          <cell r="CO158">
            <v>3000</v>
          </cell>
          <cell r="CP158">
            <v>2000</v>
          </cell>
          <cell r="CQ158"/>
          <cell r="CR158">
            <v>1000</v>
          </cell>
          <cell r="CS158"/>
          <cell r="CT158">
            <v>4000</v>
          </cell>
          <cell r="CU158">
            <v>3000</v>
          </cell>
          <cell r="CV158">
            <v>2000</v>
          </cell>
          <cell r="CW158">
            <v>2000</v>
          </cell>
          <cell r="CX158">
            <v>2000</v>
          </cell>
          <cell r="CY158">
            <v>2000</v>
          </cell>
          <cell r="CZ158">
            <v>2000</v>
          </cell>
          <cell r="DA158"/>
          <cell r="DB158">
            <v>2000</v>
          </cell>
          <cell r="DC158">
            <v>2000</v>
          </cell>
          <cell r="DD158"/>
          <cell r="DE158">
            <v>3000</v>
          </cell>
          <cell r="DF158">
            <v>2000</v>
          </cell>
          <cell r="DG158">
            <v>3000</v>
          </cell>
          <cell r="DH158"/>
          <cell r="DI158"/>
          <cell r="DJ158">
            <v>2000</v>
          </cell>
          <cell r="DK158">
            <v>4000</v>
          </cell>
          <cell r="DL158">
            <v>2000</v>
          </cell>
          <cell r="DM158">
            <v>2000</v>
          </cell>
          <cell r="DN158"/>
          <cell r="DO158">
            <v>3000</v>
          </cell>
          <cell r="DP158">
            <v>2000</v>
          </cell>
          <cell r="DQ158">
            <v>2000</v>
          </cell>
          <cell r="DR158">
            <v>2000</v>
          </cell>
          <cell r="DS158">
            <v>2000</v>
          </cell>
          <cell r="DT158">
            <v>2000</v>
          </cell>
          <cell r="DU158">
            <v>2000</v>
          </cell>
          <cell r="DV158">
            <v>2000</v>
          </cell>
          <cell r="DW158">
            <v>2000</v>
          </cell>
          <cell r="DX158">
            <v>2000</v>
          </cell>
          <cell r="DY158">
            <v>3000</v>
          </cell>
          <cell r="DZ158">
            <v>3000</v>
          </cell>
          <cell r="EA158"/>
          <cell r="EB158">
            <v>4000</v>
          </cell>
          <cell r="EC158">
            <v>2000</v>
          </cell>
          <cell r="ED158">
            <v>2000</v>
          </cell>
          <cell r="EE158">
            <v>2000</v>
          </cell>
          <cell r="EF158">
            <v>3000</v>
          </cell>
          <cell r="EG158">
            <v>2000</v>
          </cell>
          <cell r="EH158">
            <v>2000</v>
          </cell>
          <cell r="EI158"/>
          <cell r="EJ158" t="str">
            <v>ACTIVO</v>
          </cell>
          <cell r="EK158" t="str">
            <v>C</v>
          </cell>
          <cell r="EL158">
            <v>10000</v>
          </cell>
          <cell r="EM158">
            <v>2363.6363636363635</v>
          </cell>
          <cell r="EN158">
            <v>393.93939393939394</v>
          </cell>
          <cell r="EO158">
            <v>1172.5281193266385</v>
          </cell>
          <cell r="EP158">
            <v>3000</v>
          </cell>
          <cell r="EQ158">
            <v>51510</v>
          </cell>
          <cell r="ER158">
            <v>1.2692307692307694</v>
          </cell>
          <cell r="ES158">
            <v>2363.6363636363635</v>
          </cell>
        </row>
        <row r="159">
          <cell r="F159">
            <v>405159</v>
          </cell>
          <cell r="G159" t="str">
            <v>ETIQUETA BLANCA 120X100 OPP</v>
          </cell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>
            <v>20000</v>
          </cell>
          <cell r="AK159"/>
          <cell r="AL159"/>
          <cell r="AM159"/>
          <cell r="AN159"/>
          <cell r="AO159"/>
          <cell r="AP159"/>
          <cell r="AQ159">
            <v>8000</v>
          </cell>
          <cell r="AR159">
            <v>7000</v>
          </cell>
          <cell r="AS159"/>
          <cell r="AT159"/>
          <cell r="AU159"/>
          <cell r="AV159">
            <v>3000</v>
          </cell>
          <cell r="AW159"/>
          <cell r="AX159">
            <v>2000</v>
          </cell>
          <cell r="AY159">
            <v>2000</v>
          </cell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K159"/>
          <cell r="DL159"/>
          <cell r="DM159"/>
          <cell r="DN159"/>
          <cell r="DO159"/>
          <cell r="DP159"/>
          <cell r="DQ159"/>
          <cell r="DR159"/>
          <cell r="DS159"/>
          <cell r="DT159"/>
          <cell r="DU159"/>
          <cell r="DV159">
            <v>5000</v>
          </cell>
          <cell r="DW159"/>
          <cell r="DX159"/>
          <cell r="DY159"/>
          <cell r="DZ159"/>
          <cell r="EA159"/>
          <cell r="EB159"/>
          <cell r="EC159"/>
          <cell r="ED159"/>
          <cell r="EE159"/>
          <cell r="EF159"/>
          <cell r="EG159">
            <v>2000</v>
          </cell>
          <cell r="EH159"/>
          <cell r="EI159"/>
          <cell r="EJ159" t="str">
            <v>SIN USO</v>
          </cell>
          <cell r="EK159" t="str">
            <v/>
          </cell>
          <cell r="EL159">
            <v>10000</v>
          </cell>
          <cell r="EM159">
            <v>3500</v>
          </cell>
          <cell r="EN159">
            <v>583.33333333333337</v>
          </cell>
          <cell r="EO159">
            <v>0</v>
          </cell>
          <cell r="EP159">
            <v>4000</v>
          </cell>
          <cell r="EQ159">
            <v>59120</v>
          </cell>
          <cell r="ER159">
            <v>1.1428571428571428</v>
          </cell>
          <cell r="ES159">
            <v>3500</v>
          </cell>
        </row>
        <row r="160">
          <cell r="F160">
            <v>405160</v>
          </cell>
          <cell r="G160" t="str">
            <v>ETIQUETA 200X50 POLIPROPILENO IMPR. QUINTA</v>
          </cell>
          <cell r="H160"/>
          <cell r="I160"/>
          <cell r="J160"/>
          <cell r="K160"/>
          <cell r="L160"/>
          <cell r="M160"/>
          <cell r="N160"/>
          <cell r="O160"/>
          <cell r="P160">
            <v>3000</v>
          </cell>
          <cell r="Q160"/>
          <cell r="R160"/>
          <cell r="S160">
            <v>3000</v>
          </cell>
          <cell r="T160"/>
          <cell r="U160">
            <v>3000</v>
          </cell>
          <cell r="V160"/>
          <cell r="W160"/>
          <cell r="X160"/>
          <cell r="Y160"/>
          <cell r="Z160">
            <v>5000</v>
          </cell>
          <cell r="AA160"/>
          <cell r="AB160">
            <v>2000</v>
          </cell>
          <cell r="AC160"/>
          <cell r="AD160"/>
          <cell r="AE160">
            <v>2000</v>
          </cell>
          <cell r="AF160"/>
          <cell r="AG160">
            <v>2000</v>
          </cell>
          <cell r="AH160"/>
          <cell r="AI160">
            <v>3000</v>
          </cell>
          <cell r="AJ160"/>
          <cell r="AK160">
            <v>5000</v>
          </cell>
          <cell r="AL160">
            <v>5000</v>
          </cell>
          <cell r="AM160"/>
          <cell r="AN160">
            <v>5000</v>
          </cell>
          <cell r="AO160"/>
          <cell r="AP160"/>
          <cell r="AQ160"/>
          <cell r="AR160">
            <v>5000</v>
          </cell>
          <cell r="AS160"/>
          <cell r="AT160"/>
          <cell r="AU160"/>
          <cell r="AV160">
            <v>5000</v>
          </cell>
          <cell r="AW160"/>
          <cell r="AX160"/>
          <cell r="AY160">
            <v>4000</v>
          </cell>
          <cell r="AZ160"/>
          <cell r="BA160"/>
          <cell r="BB160">
            <v>4000</v>
          </cell>
          <cell r="BC160"/>
          <cell r="BD160"/>
          <cell r="BE160"/>
          <cell r="BF160"/>
          <cell r="BG160">
            <v>2000</v>
          </cell>
          <cell r="BH160"/>
          <cell r="BI160"/>
          <cell r="BJ160"/>
          <cell r="BK160"/>
          <cell r="BL160"/>
          <cell r="BM160">
            <v>2000</v>
          </cell>
          <cell r="BN160">
            <v>2000</v>
          </cell>
          <cell r="BO160"/>
          <cell r="BP160">
            <v>5000</v>
          </cell>
          <cell r="BQ160"/>
          <cell r="BR160"/>
          <cell r="BS160"/>
          <cell r="BT160">
            <v>5000</v>
          </cell>
          <cell r="BU160"/>
          <cell r="BV160">
            <v>2000</v>
          </cell>
          <cell r="BW160"/>
          <cell r="BX160"/>
          <cell r="BY160">
            <v>3000</v>
          </cell>
          <cell r="BZ160"/>
          <cell r="CA160"/>
          <cell r="CB160"/>
          <cell r="CC160"/>
          <cell r="CD160">
            <v>5000</v>
          </cell>
          <cell r="CE160">
            <v>2000</v>
          </cell>
          <cell r="CF160"/>
          <cell r="CG160">
            <v>2000</v>
          </cell>
          <cell r="CH160"/>
          <cell r="CI160">
            <v>2000</v>
          </cell>
          <cell r="CJ160"/>
          <cell r="CK160"/>
          <cell r="CL160"/>
          <cell r="CM160"/>
          <cell r="CN160">
            <v>5000</v>
          </cell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>
            <v>40000</v>
          </cell>
          <cell r="DE160"/>
          <cell r="DF160"/>
          <cell r="DG160"/>
          <cell r="DH160"/>
          <cell r="DI160"/>
          <cell r="DJ160"/>
          <cell r="DK160"/>
          <cell r="DL160"/>
          <cell r="DM160"/>
          <cell r="DN160"/>
          <cell r="DO160"/>
          <cell r="DP160"/>
          <cell r="DQ160"/>
          <cell r="DR160"/>
          <cell r="DS160"/>
          <cell r="DT160"/>
          <cell r="DU160"/>
          <cell r="DV160"/>
          <cell r="DW160"/>
          <cell r="DX160">
            <v>15000</v>
          </cell>
          <cell r="DY160">
            <v>3000</v>
          </cell>
          <cell r="DZ160">
            <v>6000</v>
          </cell>
          <cell r="EA160">
            <v>10000</v>
          </cell>
          <cell r="EB160">
            <v>3000</v>
          </cell>
          <cell r="EC160"/>
          <cell r="ED160">
            <v>3000</v>
          </cell>
          <cell r="EE160">
            <v>5000</v>
          </cell>
          <cell r="EF160">
            <v>10000</v>
          </cell>
          <cell r="EG160">
            <v>5000</v>
          </cell>
          <cell r="EH160"/>
          <cell r="EI160"/>
          <cell r="EJ160" t="str">
            <v>ACTIVO</v>
          </cell>
          <cell r="EK160" t="str">
            <v>C</v>
          </cell>
          <cell r="EL160">
            <v>10000</v>
          </cell>
          <cell r="EM160">
            <v>6666.666666666667</v>
          </cell>
          <cell r="EN160">
            <v>1111.1111111111111</v>
          </cell>
          <cell r="EO160">
            <v>10720.625829764705</v>
          </cell>
          <cell r="EP160">
            <v>10000</v>
          </cell>
          <cell r="EQ160">
            <v>161600</v>
          </cell>
          <cell r="ER160">
            <v>1.5</v>
          </cell>
          <cell r="ES160">
            <v>6666.6666666666661</v>
          </cell>
        </row>
        <row r="161">
          <cell r="F161">
            <v>405353</v>
          </cell>
          <cell r="G161" t="str">
            <v>ETIQ. CIRCULAR 90cm IMPR. TORTA CUSINE &amp; CO JUMBO COOKIES AND CREAM</v>
          </cell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>
            <v>10000</v>
          </cell>
          <cell r="AK161"/>
          <cell r="AL161"/>
          <cell r="AM161"/>
          <cell r="AN161"/>
          <cell r="AO161"/>
          <cell r="AP161"/>
          <cell r="AQ161">
            <v>1000</v>
          </cell>
          <cell r="AR161">
            <v>1000</v>
          </cell>
          <cell r="AS161"/>
          <cell r="AT161">
            <v>2000</v>
          </cell>
          <cell r="AU161">
            <v>4000</v>
          </cell>
          <cell r="AV161"/>
          <cell r="AW161">
            <v>3000</v>
          </cell>
          <cell r="AX161"/>
          <cell r="AY161">
            <v>2000</v>
          </cell>
          <cell r="AZ161">
            <v>3000</v>
          </cell>
          <cell r="BA161"/>
          <cell r="BB161"/>
          <cell r="BC161">
            <v>7000</v>
          </cell>
          <cell r="BD161">
            <v>1000</v>
          </cell>
          <cell r="BE161">
            <v>1000</v>
          </cell>
          <cell r="BF161"/>
          <cell r="BG161"/>
          <cell r="BH161">
            <v>1000</v>
          </cell>
          <cell r="BI161"/>
          <cell r="BJ161">
            <v>4000</v>
          </cell>
          <cell r="BK161">
            <v>7000</v>
          </cell>
          <cell r="BL161"/>
          <cell r="BM161"/>
          <cell r="BN161"/>
          <cell r="BO161">
            <v>9000</v>
          </cell>
          <cell r="BP161"/>
          <cell r="BQ161"/>
          <cell r="BR161">
            <v>7000</v>
          </cell>
          <cell r="BS161">
            <v>2000</v>
          </cell>
          <cell r="BT161">
            <v>8000</v>
          </cell>
          <cell r="BU161"/>
          <cell r="BV161"/>
          <cell r="BW161"/>
          <cell r="BX161">
            <v>4000</v>
          </cell>
          <cell r="BY161">
            <v>1000</v>
          </cell>
          <cell r="BZ161"/>
          <cell r="CA161">
            <v>4000</v>
          </cell>
          <cell r="CB161">
            <v>4000</v>
          </cell>
          <cell r="CC161"/>
          <cell r="CD161">
            <v>4000</v>
          </cell>
          <cell r="CE161"/>
          <cell r="CF161">
            <v>4000</v>
          </cell>
          <cell r="CG161"/>
          <cell r="CH161"/>
          <cell r="CI161">
            <v>4000</v>
          </cell>
          <cell r="CJ161"/>
          <cell r="CK161"/>
          <cell r="CL161">
            <v>4000</v>
          </cell>
          <cell r="CM161"/>
          <cell r="CN161">
            <v>8000</v>
          </cell>
          <cell r="CO161">
            <v>4000</v>
          </cell>
          <cell r="CP161">
            <v>4000</v>
          </cell>
          <cell r="CQ161"/>
          <cell r="CR161"/>
          <cell r="CS161"/>
          <cell r="CT161">
            <v>10000</v>
          </cell>
          <cell r="CU161"/>
          <cell r="CV161">
            <v>4000</v>
          </cell>
          <cell r="CW161">
            <v>5000</v>
          </cell>
          <cell r="CX161"/>
          <cell r="CY161">
            <v>2000</v>
          </cell>
          <cell r="CZ161">
            <v>5000</v>
          </cell>
          <cell r="DA161"/>
          <cell r="DB161">
            <v>4000</v>
          </cell>
          <cell r="DC161"/>
          <cell r="DD161"/>
          <cell r="DE161">
            <v>4000</v>
          </cell>
          <cell r="DF161"/>
          <cell r="DG161"/>
          <cell r="DH161"/>
          <cell r="DI161"/>
          <cell r="DJ161">
            <v>4000</v>
          </cell>
          <cell r="DK161">
            <v>4000</v>
          </cell>
          <cell r="DL161"/>
          <cell r="DM161">
            <v>4000</v>
          </cell>
          <cell r="DN161"/>
          <cell r="DO161">
            <v>4000</v>
          </cell>
          <cell r="DP161">
            <v>4000</v>
          </cell>
          <cell r="DQ161"/>
          <cell r="DR161">
            <v>4000</v>
          </cell>
          <cell r="DS161">
            <v>5000</v>
          </cell>
          <cell r="DT161">
            <v>4000</v>
          </cell>
          <cell r="DU161">
            <v>4000</v>
          </cell>
          <cell r="DV161"/>
          <cell r="DW161">
            <v>1000</v>
          </cell>
          <cell r="DX161"/>
          <cell r="DY161"/>
          <cell r="DZ161"/>
          <cell r="EA161"/>
          <cell r="EB161">
            <v>4000</v>
          </cell>
          <cell r="EC161">
            <v>4000</v>
          </cell>
          <cell r="ED161"/>
          <cell r="EE161">
            <v>4000</v>
          </cell>
          <cell r="EF161"/>
          <cell r="EG161">
            <v>7000</v>
          </cell>
          <cell r="EH161"/>
          <cell r="EI161"/>
          <cell r="EJ161" t="str">
            <v>ACTIVO</v>
          </cell>
          <cell r="EK161" t="str">
            <v>C</v>
          </cell>
          <cell r="EL161" t="str">
            <v/>
          </cell>
          <cell r="EM161">
            <v>4071.4285714285716</v>
          </cell>
          <cell r="EN161">
            <v>678.57142857142856</v>
          </cell>
          <cell r="EO161">
            <v>2304.3437243605827</v>
          </cell>
          <cell r="EP161">
            <v>4000</v>
          </cell>
          <cell r="EQ161">
            <v>90800</v>
          </cell>
          <cell r="ER161">
            <v>0.98245614035087714</v>
          </cell>
          <cell r="ES161">
            <v>4071.4285714285716</v>
          </cell>
        </row>
        <row r="162">
          <cell r="F162">
            <v>405354</v>
          </cell>
          <cell r="G162" t="str">
            <v>ETIQ. CIRCULAR 90cm IMPR. JUMBO KUCHEN DE DURAZNO</v>
          </cell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>
            <v>1000</v>
          </cell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K162"/>
          <cell r="DL162"/>
          <cell r="DM162"/>
          <cell r="DN162"/>
          <cell r="DO162"/>
          <cell r="DP162"/>
          <cell r="DQ162"/>
          <cell r="DR162"/>
          <cell r="DS162"/>
          <cell r="DT162"/>
          <cell r="DU162"/>
          <cell r="DV162"/>
          <cell r="DW162"/>
          <cell r="DX162"/>
          <cell r="DY162"/>
          <cell r="DZ162"/>
          <cell r="EA162"/>
          <cell r="EB162"/>
          <cell r="EC162"/>
          <cell r="ED162"/>
          <cell r="EE162"/>
          <cell r="EF162"/>
          <cell r="EG162"/>
          <cell r="EH162"/>
          <cell r="EI162"/>
          <cell r="EJ162" t="str">
            <v>SIN USO</v>
          </cell>
          <cell r="EK162" t="str">
            <v>C</v>
          </cell>
          <cell r="EL162" t="str">
            <v/>
          </cell>
          <cell r="EM162">
            <v>0</v>
          </cell>
          <cell r="EN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</row>
        <row r="163">
          <cell r="F163">
            <v>405357</v>
          </cell>
          <cell r="G163" t="str">
            <v>ETIQ. CIRCULAR 90cm IMPR. JUMBO KUCHEN DE STROISSEL MANZANA</v>
          </cell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>
            <v>1000</v>
          </cell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K163"/>
          <cell r="DL163"/>
          <cell r="DM163"/>
          <cell r="DN163"/>
          <cell r="DO163"/>
          <cell r="DP163"/>
          <cell r="DQ163"/>
          <cell r="DR163"/>
          <cell r="DS163"/>
          <cell r="DT163"/>
          <cell r="DU163"/>
          <cell r="DV163"/>
          <cell r="DW163"/>
          <cell r="DX163"/>
          <cell r="DY163"/>
          <cell r="DZ163"/>
          <cell r="EA163"/>
          <cell r="EB163"/>
          <cell r="EC163"/>
          <cell r="ED163"/>
          <cell r="EE163"/>
          <cell r="EF163"/>
          <cell r="EG163"/>
          <cell r="EH163"/>
          <cell r="EI163"/>
          <cell r="EJ163" t="str">
            <v>SIN USO</v>
          </cell>
          <cell r="EK163" t="str">
            <v>C</v>
          </cell>
          <cell r="EL163" t="str">
            <v/>
          </cell>
          <cell r="EM163">
            <v>0</v>
          </cell>
          <cell r="EN163">
            <v>0</v>
          </cell>
          <cell r="EO163">
            <v>0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</row>
        <row r="164">
          <cell r="F164">
            <v>405360</v>
          </cell>
          <cell r="G164" t="str">
            <v>ETIQ. CIRCULAR 90cm IMPR. JUMBO KUCHEN DE FRAMBUESA</v>
          </cell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>
            <v>2000</v>
          </cell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K164"/>
          <cell r="DL164"/>
          <cell r="DM164"/>
          <cell r="DN164"/>
          <cell r="DO164"/>
          <cell r="DP164"/>
          <cell r="DQ164"/>
          <cell r="DR164"/>
          <cell r="DS164"/>
          <cell r="DT164"/>
          <cell r="DU164"/>
          <cell r="DV164"/>
          <cell r="DW164"/>
          <cell r="DX164"/>
          <cell r="DY164"/>
          <cell r="DZ164"/>
          <cell r="EA164"/>
          <cell r="EB164"/>
          <cell r="EC164"/>
          <cell r="ED164"/>
          <cell r="EE164"/>
          <cell r="EF164"/>
          <cell r="EG164"/>
          <cell r="EH164"/>
          <cell r="EI164"/>
          <cell r="EJ164" t="str">
            <v>SIN USO</v>
          </cell>
          <cell r="EK164" t="str">
            <v>C</v>
          </cell>
          <cell r="EL164" t="str">
            <v/>
          </cell>
          <cell r="EM164">
            <v>0</v>
          </cell>
          <cell r="EN164">
            <v>0</v>
          </cell>
          <cell r="EO164">
            <v>0</v>
          </cell>
          <cell r="EP164">
            <v>0</v>
          </cell>
          <cell r="EQ164">
            <v>0</v>
          </cell>
          <cell r="ER164">
            <v>0</v>
          </cell>
          <cell r="ES164">
            <v>0</v>
          </cell>
        </row>
        <row r="165">
          <cell r="F165">
            <v>405376</v>
          </cell>
          <cell r="G165" t="str">
            <v>ETIQUETA CIRCULAR 9cm TORTA SACHER</v>
          </cell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>
            <v>8000</v>
          </cell>
          <cell r="AN165"/>
          <cell r="AO165"/>
          <cell r="AP165"/>
          <cell r="AQ165"/>
          <cell r="AR165"/>
          <cell r="AS165">
            <v>1000</v>
          </cell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>
            <v>9000</v>
          </cell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>
            <v>14000</v>
          </cell>
          <cell r="BP165"/>
          <cell r="BQ165"/>
          <cell r="BR165"/>
          <cell r="BS165"/>
          <cell r="BT165"/>
          <cell r="BU165"/>
          <cell r="BV165">
            <v>2000</v>
          </cell>
          <cell r="BW165">
            <v>4000</v>
          </cell>
          <cell r="BX165">
            <v>3500</v>
          </cell>
          <cell r="BY165"/>
          <cell r="BZ165"/>
          <cell r="CA165">
            <v>2000</v>
          </cell>
          <cell r="CB165">
            <v>3000</v>
          </cell>
          <cell r="CC165"/>
          <cell r="CD165">
            <v>10000</v>
          </cell>
          <cell r="CE165"/>
          <cell r="CF165">
            <v>5000</v>
          </cell>
          <cell r="CG165">
            <v>3000</v>
          </cell>
          <cell r="CH165"/>
          <cell r="CI165">
            <v>8000</v>
          </cell>
          <cell r="CJ165"/>
          <cell r="CK165"/>
          <cell r="CL165">
            <v>7000</v>
          </cell>
          <cell r="CM165"/>
          <cell r="CN165">
            <v>4000</v>
          </cell>
          <cell r="CO165">
            <v>4000</v>
          </cell>
          <cell r="CP165">
            <v>4000</v>
          </cell>
          <cell r="CQ165"/>
          <cell r="CR165">
            <v>4000</v>
          </cell>
          <cell r="CS165"/>
          <cell r="CT165">
            <v>5000</v>
          </cell>
          <cell r="CU165"/>
          <cell r="CV165">
            <v>3000</v>
          </cell>
          <cell r="CW165"/>
          <cell r="CX165"/>
          <cell r="CY165">
            <v>10000</v>
          </cell>
          <cell r="CZ165"/>
          <cell r="DA165"/>
          <cell r="DB165"/>
          <cell r="DC165">
            <v>8000</v>
          </cell>
          <cell r="DD165"/>
          <cell r="DE165">
            <v>4000</v>
          </cell>
          <cell r="DF165"/>
          <cell r="DG165">
            <v>4000</v>
          </cell>
          <cell r="DH165"/>
          <cell r="DI165"/>
          <cell r="DJ165"/>
          <cell r="DK165"/>
          <cell r="DL165">
            <v>2000</v>
          </cell>
          <cell r="DM165">
            <v>8000</v>
          </cell>
          <cell r="DN165">
            <v>4000</v>
          </cell>
          <cell r="DO165">
            <v>4000</v>
          </cell>
          <cell r="DP165"/>
          <cell r="DQ165">
            <v>4000</v>
          </cell>
          <cell r="DR165"/>
          <cell r="DS165"/>
          <cell r="DT165">
            <v>8000</v>
          </cell>
          <cell r="DU165"/>
          <cell r="DV165"/>
          <cell r="DW165">
            <v>4000</v>
          </cell>
          <cell r="DX165">
            <v>2000</v>
          </cell>
          <cell r="DY165">
            <v>4000</v>
          </cell>
          <cell r="DZ165"/>
          <cell r="EA165"/>
          <cell r="EB165">
            <v>4000</v>
          </cell>
          <cell r="EC165">
            <v>4000</v>
          </cell>
          <cell r="ED165"/>
          <cell r="EE165"/>
          <cell r="EF165">
            <v>7000</v>
          </cell>
          <cell r="EG165"/>
          <cell r="EH165">
            <v>1000</v>
          </cell>
          <cell r="EI165">
            <v>3000</v>
          </cell>
          <cell r="EJ165" t="str">
            <v>ACTIVO</v>
          </cell>
          <cell r="EK165" t="str">
            <v>C</v>
          </cell>
          <cell r="EL165">
            <v>10000</v>
          </cell>
          <cell r="EM165">
            <v>4583.333333333333</v>
          </cell>
          <cell r="EN165">
            <v>763.8888888888888</v>
          </cell>
          <cell r="EO165">
            <v>3084.1376042428401</v>
          </cell>
          <cell r="EP165">
            <v>10000</v>
          </cell>
          <cell r="EQ165">
            <v>227000</v>
          </cell>
          <cell r="ER165">
            <v>2.1818181818181821</v>
          </cell>
          <cell r="ES165">
            <v>4583.333333333333</v>
          </cell>
        </row>
        <row r="166">
          <cell r="F166">
            <v>405377</v>
          </cell>
          <cell r="G166" t="str">
            <v>ETIQUETA CIRCULAR 9cm TORTA MANJAR LUCUMA</v>
          </cell>
          <cell r="H166">
            <v>2000</v>
          </cell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>
            <v>8000</v>
          </cell>
          <cell r="AN166"/>
          <cell r="AO166"/>
          <cell r="AP166"/>
          <cell r="AQ166">
            <v>1000</v>
          </cell>
          <cell r="AR166"/>
          <cell r="AS166"/>
          <cell r="AT166">
            <v>1000</v>
          </cell>
          <cell r="AU166"/>
          <cell r="AV166"/>
          <cell r="AW166"/>
          <cell r="AX166">
            <v>6000</v>
          </cell>
          <cell r="AY166"/>
          <cell r="AZ166"/>
          <cell r="BA166">
            <v>2000</v>
          </cell>
          <cell r="BB166">
            <v>3000</v>
          </cell>
          <cell r="BC166"/>
          <cell r="BD166">
            <v>4000</v>
          </cell>
          <cell r="BE166">
            <v>3000</v>
          </cell>
          <cell r="BF166"/>
          <cell r="BG166"/>
          <cell r="BH166"/>
          <cell r="BI166"/>
          <cell r="BJ166">
            <v>4000</v>
          </cell>
          <cell r="BK166"/>
          <cell r="BL166"/>
          <cell r="BM166">
            <v>8000</v>
          </cell>
          <cell r="BN166"/>
          <cell r="BO166">
            <v>12000</v>
          </cell>
          <cell r="BP166"/>
          <cell r="BQ166">
            <v>7000</v>
          </cell>
          <cell r="BR166">
            <v>3000</v>
          </cell>
          <cell r="BS166"/>
          <cell r="BT166"/>
          <cell r="BU166">
            <v>4000</v>
          </cell>
          <cell r="BV166"/>
          <cell r="BW166">
            <v>10000</v>
          </cell>
          <cell r="BX166">
            <v>1000</v>
          </cell>
          <cell r="BY166">
            <v>1000</v>
          </cell>
          <cell r="BZ166">
            <v>2000</v>
          </cell>
          <cell r="CA166">
            <v>4000</v>
          </cell>
          <cell r="CB166">
            <v>3000</v>
          </cell>
          <cell r="CC166"/>
          <cell r="CD166">
            <v>4000</v>
          </cell>
          <cell r="CE166">
            <v>4000</v>
          </cell>
          <cell r="CF166">
            <v>5000</v>
          </cell>
          <cell r="CG166"/>
          <cell r="CH166"/>
          <cell r="CI166">
            <v>8000</v>
          </cell>
          <cell r="CJ166">
            <v>4000</v>
          </cell>
          <cell r="CK166"/>
          <cell r="CL166">
            <v>4000</v>
          </cell>
          <cell r="CM166">
            <v>7000</v>
          </cell>
          <cell r="CN166">
            <v>8000</v>
          </cell>
          <cell r="CO166">
            <v>4000</v>
          </cell>
          <cell r="CP166">
            <v>5000</v>
          </cell>
          <cell r="CQ166">
            <v>10000</v>
          </cell>
          <cell r="CR166"/>
          <cell r="CS166"/>
          <cell r="CT166">
            <v>5000</v>
          </cell>
          <cell r="CU166">
            <v>1000</v>
          </cell>
          <cell r="CV166">
            <v>10000</v>
          </cell>
          <cell r="CW166"/>
          <cell r="CX166"/>
          <cell r="CY166">
            <v>6000</v>
          </cell>
          <cell r="CZ166">
            <v>5000</v>
          </cell>
          <cell r="DA166"/>
          <cell r="DB166"/>
          <cell r="DC166">
            <v>4000</v>
          </cell>
          <cell r="DD166"/>
          <cell r="DE166">
            <v>8000</v>
          </cell>
          <cell r="DF166"/>
          <cell r="DG166"/>
          <cell r="DH166">
            <v>3000</v>
          </cell>
          <cell r="DI166"/>
          <cell r="DJ166">
            <v>4000</v>
          </cell>
          <cell r="DK166">
            <v>10000</v>
          </cell>
          <cell r="DL166">
            <v>4000</v>
          </cell>
          <cell r="DM166"/>
          <cell r="DN166">
            <v>5000</v>
          </cell>
          <cell r="DO166">
            <v>2000</v>
          </cell>
          <cell r="DP166">
            <v>4000</v>
          </cell>
          <cell r="DQ166">
            <v>8000</v>
          </cell>
          <cell r="DR166">
            <v>4000</v>
          </cell>
          <cell r="DS166">
            <v>4000</v>
          </cell>
          <cell r="DT166">
            <v>8000</v>
          </cell>
          <cell r="DU166">
            <v>4000</v>
          </cell>
          <cell r="DV166"/>
          <cell r="DW166">
            <v>8000</v>
          </cell>
          <cell r="DX166"/>
          <cell r="DY166">
            <v>3000</v>
          </cell>
          <cell r="DZ166"/>
          <cell r="EA166"/>
          <cell r="EB166">
            <v>8000</v>
          </cell>
          <cell r="EC166"/>
          <cell r="ED166">
            <v>8000</v>
          </cell>
          <cell r="EE166">
            <v>1000</v>
          </cell>
          <cell r="EF166">
            <v>4000</v>
          </cell>
          <cell r="EG166">
            <v>3000</v>
          </cell>
          <cell r="EH166">
            <v>4000</v>
          </cell>
          <cell r="EI166"/>
          <cell r="EJ166" t="str">
            <v>ACTIVO</v>
          </cell>
          <cell r="EK166" t="str">
            <v>C</v>
          </cell>
          <cell r="EL166">
            <v>10000</v>
          </cell>
          <cell r="EM166">
            <v>5111.1111111111113</v>
          </cell>
          <cell r="EN166">
            <v>851.85185185185185</v>
          </cell>
          <cell r="EO166">
            <v>2854.1612706957862</v>
          </cell>
          <cell r="EP166">
            <v>1000</v>
          </cell>
          <cell r="EQ166">
            <v>22700</v>
          </cell>
          <cell r="ER166">
            <v>0.19565217391304346</v>
          </cell>
          <cell r="ES166">
            <v>5111.1111111111113</v>
          </cell>
        </row>
        <row r="167">
          <cell r="F167">
            <v>405378</v>
          </cell>
          <cell r="G167" t="str">
            <v>ETIQUETA CIRCULAR 9cm TORTA GUINDA CHOCOLATE</v>
          </cell>
          <cell r="H167">
            <v>1000</v>
          </cell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>
            <v>8000</v>
          </cell>
          <cell r="AN167"/>
          <cell r="AO167"/>
          <cell r="AP167"/>
          <cell r="AQ167">
            <v>2000</v>
          </cell>
          <cell r="AR167"/>
          <cell r="AS167"/>
          <cell r="AT167"/>
          <cell r="AU167"/>
          <cell r="AV167"/>
          <cell r="AW167"/>
          <cell r="AX167"/>
          <cell r="AY167"/>
          <cell r="AZ167"/>
          <cell r="BA167">
            <v>1000</v>
          </cell>
          <cell r="BB167">
            <v>4000</v>
          </cell>
          <cell r="BC167"/>
          <cell r="BD167"/>
          <cell r="BE167"/>
          <cell r="BF167"/>
          <cell r="BG167">
            <v>2000</v>
          </cell>
          <cell r="BH167"/>
          <cell r="BI167">
            <v>4000</v>
          </cell>
          <cell r="BJ167"/>
          <cell r="BK167"/>
          <cell r="BL167"/>
          <cell r="BM167"/>
          <cell r="BN167">
            <v>4000</v>
          </cell>
          <cell r="BO167"/>
          <cell r="BP167">
            <v>1000</v>
          </cell>
          <cell r="BQ167">
            <v>7000</v>
          </cell>
          <cell r="BR167"/>
          <cell r="BS167">
            <v>4000</v>
          </cell>
          <cell r="BT167"/>
          <cell r="BU167">
            <v>5000</v>
          </cell>
          <cell r="BV167">
            <v>11000</v>
          </cell>
          <cell r="BW167">
            <v>4000</v>
          </cell>
          <cell r="BX167">
            <v>4000</v>
          </cell>
          <cell r="BY167"/>
          <cell r="BZ167">
            <v>1000</v>
          </cell>
          <cell r="CA167">
            <v>4000</v>
          </cell>
          <cell r="CB167">
            <v>7000</v>
          </cell>
          <cell r="CC167">
            <v>3000</v>
          </cell>
          <cell r="CD167"/>
          <cell r="CE167"/>
          <cell r="CF167">
            <v>4000</v>
          </cell>
          <cell r="CG167">
            <v>4000</v>
          </cell>
          <cell r="CH167"/>
          <cell r="CI167"/>
          <cell r="CJ167">
            <v>4000</v>
          </cell>
          <cell r="CK167"/>
          <cell r="CL167">
            <v>7000</v>
          </cell>
          <cell r="CM167"/>
          <cell r="CN167">
            <v>4000</v>
          </cell>
          <cell r="CO167">
            <v>4000</v>
          </cell>
          <cell r="CP167">
            <v>5000</v>
          </cell>
          <cell r="CQ167"/>
          <cell r="CR167"/>
          <cell r="CS167"/>
          <cell r="CT167">
            <v>1000</v>
          </cell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K167"/>
          <cell r="DL167"/>
          <cell r="DM167"/>
          <cell r="DN167"/>
          <cell r="DO167"/>
          <cell r="DP167"/>
          <cell r="DQ167"/>
          <cell r="DR167"/>
          <cell r="DS167"/>
          <cell r="DT167"/>
          <cell r="DU167"/>
          <cell r="DV167"/>
          <cell r="DW167"/>
          <cell r="DX167"/>
          <cell r="DY167"/>
          <cell r="DZ167"/>
          <cell r="EA167"/>
          <cell r="EB167"/>
          <cell r="EC167"/>
          <cell r="ED167"/>
          <cell r="EE167"/>
          <cell r="EF167"/>
          <cell r="EG167"/>
          <cell r="EH167"/>
          <cell r="EI167"/>
          <cell r="EJ167" t="str">
            <v>ACTIVO</v>
          </cell>
          <cell r="EK167" t="str">
            <v>C</v>
          </cell>
          <cell r="EL167">
            <v>10000</v>
          </cell>
          <cell r="EM167">
            <v>0</v>
          </cell>
          <cell r="EN167">
            <v>0</v>
          </cell>
          <cell r="EO167">
            <v>2268.8364964490165</v>
          </cell>
          <cell r="EP167">
            <v>9000</v>
          </cell>
          <cell r="EQ167">
            <v>204300</v>
          </cell>
          <cell r="ER167">
            <v>0</v>
          </cell>
          <cell r="ES167">
            <v>0</v>
          </cell>
        </row>
        <row r="168">
          <cell r="F168">
            <v>405090</v>
          </cell>
          <cell r="G168" t="str">
            <v>ETIQUETA TORTA MERENGUE LUCUMA CONGELADA</v>
          </cell>
          <cell r="H168">
            <v>1000</v>
          </cell>
          <cell r="I168">
            <v>4000</v>
          </cell>
          <cell r="J168">
            <v>1000</v>
          </cell>
          <cell r="K168"/>
          <cell r="L168">
            <v>2000</v>
          </cell>
          <cell r="M168">
            <v>3000</v>
          </cell>
          <cell r="N168">
            <v>2000</v>
          </cell>
          <cell r="O168"/>
          <cell r="P168"/>
          <cell r="Q168"/>
          <cell r="R168"/>
          <cell r="S168"/>
          <cell r="T168">
            <v>1000</v>
          </cell>
          <cell r="U168"/>
          <cell r="V168">
            <v>1000</v>
          </cell>
          <cell r="W168"/>
          <cell r="X168">
            <v>1000</v>
          </cell>
          <cell r="Y168"/>
          <cell r="Z168"/>
          <cell r="AA168">
            <v>1000</v>
          </cell>
          <cell r="AB168">
            <v>1000</v>
          </cell>
          <cell r="AC168"/>
          <cell r="AD168"/>
          <cell r="AE168">
            <v>1000</v>
          </cell>
          <cell r="AF168">
            <v>1000</v>
          </cell>
          <cell r="AG168"/>
          <cell r="AH168"/>
          <cell r="AI168"/>
          <cell r="AJ168"/>
          <cell r="AK168">
            <v>2000</v>
          </cell>
          <cell r="AL168"/>
          <cell r="AM168"/>
          <cell r="AN168">
            <v>1000</v>
          </cell>
          <cell r="AO168">
            <v>1000</v>
          </cell>
          <cell r="AP168"/>
          <cell r="AQ168"/>
          <cell r="AR168"/>
          <cell r="AS168"/>
          <cell r="AT168">
            <v>1000</v>
          </cell>
          <cell r="AU168">
            <v>1000</v>
          </cell>
          <cell r="AV168">
            <v>1000</v>
          </cell>
          <cell r="AW168">
            <v>2000</v>
          </cell>
          <cell r="AX168">
            <v>3000</v>
          </cell>
          <cell r="AY168"/>
          <cell r="AZ168">
            <v>1000</v>
          </cell>
          <cell r="BA168">
            <v>1000</v>
          </cell>
          <cell r="BB168">
            <v>2000</v>
          </cell>
          <cell r="BC168">
            <v>1000</v>
          </cell>
          <cell r="BD168"/>
          <cell r="BE168">
            <v>2000</v>
          </cell>
          <cell r="BF168"/>
          <cell r="BG168"/>
          <cell r="BH168">
            <v>1000</v>
          </cell>
          <cell r="BI168">
            <v>1000</v>
          </cell>
          <cell r="BJ168">
            <v>2000</v>
          </cell>
          <cell r="BK168">
            <v>2000</v>
          </cell>
          <cell r="BL168">
            <v>1000</v>
          </cell>
          <cell r="BM168"/>
          <cell r="BN168"/>
          <cell r="BO168">
            <v>1000</v>
          </cell>
          <cell r="BP168"/>
          <cell r="BQ168"/>
          <cell r="BR168">
            <v>2000</v>
          </cell>
          <cell r="BS168">
            <v>1000</v>
          </cell>
          <cell r="BT168">
            <v>1000</v>
          </cell>
          <cell r="BU168"/>
          <cell r="BV168">
            <v>1000</v>
          </cell>
          <cell r="BW168">
            <v>1000</v>
          </cell>
          <cell r="BX168">
            <v>2000</v>
          </cell>
          <cell r="BY168">
            <v>1000</v>
          </cell>
          <cell r="BZ168"/>
          <cell r="CA168">
            <v>1000</v>
          </cell>
          <cell r="CB168">
            <v>1000</v>
          </cell>
          <cell r="CC168"/>
          <cell r="CD168">
            <v>2000</v>
          </cell>
          <cell r="CE168"/>
          <cell r="CF168"/>
          <cell r="CG168">
            <v>1000</v>
          </cell>
          <cell r="CH168"/>
          <cell r="CI168">
            <v>2000</v>
          </cell>
          <cell r="CJ168">
            <v>1000</v>
          </cell>
          <cell r="CK168"/>
          <cell r="CL168"/>
          <cell r="CM168">
            <v>1000</v>
          </cell>
          <cell r="CN168">
            <v>3000</v>
          </cell>
          <cell r="CO168"/>
          <cell r="CP168"/>
          <cell r="CQ168">
            <v>1000</v>
          </cell>
          <cell r="CR168"/>
          <cell r="CS168"/>
          <cell r="CT168">
            <v>3000</v>
          </cell>
          <cell r="CU168">
            <v>1000</v>
          </cell>
          <cell r="CV168">
            <v>2000</v>
          </cell>
          <cell r="CW168"/>
          <cell r="CX168">
            <v>2000</v>
          </cell>
          <cell r="CY168">
            <v>2000</v>
          </cell>
          <cell r="CZ168">
            <v>2000</v>
          </cell>
          <cell r="DA168"/>
          <cell r="DB168">
            <v>1000</v>
          </cell>
          <cell r="DC168"/>
          <cell r="DD168"/>
          <cell r="DE168">
            <v>2000</v>
          </cell>
          <cell r="DF168">
            <v>2000</v>
          </cell>
          <cell r="DG168">
            <v>1000</v>
          </cell>
          <cell r="DH168"/>
          <cell r="DI168"/>
          <cell r="DJ168">
            <v>1000</v>
          </cell>
          <cell r="DK168">
            <v>4000</v>
          </cell>
          <cell r="DL168"/>
          <cell r="DM168"/>
          <cell r="DN168"/>
          <cell r="DO168">
            <v>2000</v>
          </cell>
          <cell r="DP168"/>
          <cell r="DQ168">
            <v>1000</v>
          </cell>
          <cell r="DR168"/>
          <cell r="DS168"/>
          <cell r="DT168">
            <v>1000</v>
          </cell>
          <cell r="DU168">
            <v>2000</v>
          </cell>
          <cell r="DV168"/>
          <cell r="DW168">
            <v>1000</v>
          </cell>
          <cell r="DX168">
            <v>2000</v>
          </cell>
          <cell r="DY168">
            <v>2000</v>
          </cell>
          <cell r="DZ168"/>
          <cell r="EA168"/>
          <cell r="EB168">
            <v>3000</v>
          </cell>
          <cell r="EC168"/>
          <cell r="ED168">
            <v>1000</v>
          </cell>
          <cell r="EE168"/>
          <cell r="EF168"/>
          <cell r="EG168">
            <v>1000</v>
          </cell>
          <cell r="EH168">
            <v>1000</v>
          </cell>
          <cell r="EI168"/>
          <cell r="EJ168" t="str">
            <v>ACTIVO</v>
          </cell>
          <cell r="EK168" t="str">
            <v>C</v>
          </cell>
          <cell r="EL168">
            <v>10000</v>
          </cell>
          <cell r="EM168">
            <v>1750</v>
          </cell>
          <cell r="EN168">
            <v>291.66666666666669</v>
          </cell>
          <cell r="EO168">
            <v>622.17101683825513</v>
          </cell>
          <cell r="EP168">
            <v>12000</v>
          </cell>
          <cell r="EQ168">
            <v>272400</v>
          </cell>
          <cell r="ER168">
            <v>6.8571428571428568</v>
          </cell>
          <cell r="ES168">
            <v>1750</v>
          </cell>
        </row>
        <row r="169">
          <cell r="F169">
            <v>405300</v>
          </cell>
          <cell r="G169" t="str">
            <v>ETIQ. CIRCULAR 9cm IMPR. PIE DE LIMÓN ESPECIAL JUMBO</v>
          </cell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>
            <v>1000</v>
          </cell>
          <cell r="AC169"/>
          <cell r="AD169"/>
          <cell r="AE169">
            <v>1000</v>
          </cell>
          <cell r="AF169">
            <v>6000</v>
          </cell>
          <cell r="AG169">
            <v>3000</v>
          </cell>
          <cell r="AH169">
            <v>2000</v>
          </cell>
          <cell r="AI169">
            <v>4000</v>
          </cell>
          <cell r="AJ169">
            <v>3000</v>
          </cell>
          <cell r="AK169">
            <v>2000</v>
          </cell>
          <cell r="AL169">
            <v>3000</v>
          </cell>
          <cell r="AM169">
            <v>3000</v>
          </cell>
          <cell r="AN169">
            <v>3000</v>
          </cell>
          <cell r="AO169">
            <v>3000</v>
          </cell>
          <cell r="AP169">
            <v>2000</v>
          </cell>
          <cell r="AQ169">
            <v>3000</v>
          </cell>
          <cell r="AR169"/>
          <cell r="AS169">
            <v>3000</v>
          </cell>
          <cell r="AT169"/>
          <cell r="AU169"/>
          <cell r="AV169">
            <v>3000</v>
          </cell>
          <cell r="AW169">
            <v>3000</v>
          </cell>
          <cell r="AX169">
            <v>4000</v>
          </cell>
          <cell r="AY169"/>
          <cell r="AZ169"/>
          <cell r="BA169">
            <v>6000</v>
          </cell>
          <cell r="BB169"/>
          <cell r="BC169"/>
          <cell r="BD169">
            <v>3000</v>
          </cell>
          <cell r="BE169">
            <v>3000</v>
          </cell>
          <cell r="BF169">
            <v>3</v>
          </cell>
          <cell r="BG169">
            <v>8997</v>
          </cell>
          <cell r="BH169">
            <v>3000</v>
          </cell>
          <cell r="BI169"/>
          <cell r="BJ169">
            <v>3000</v>
          </cell>
          <cell r="BK169">
            <v>6000</v>
          </cell>
          <cell r="BL169"/>
          <cell r="BM169">
            <v>1000</v>
          </cell>
          <cell r="BN169">
            <v>3000</v>
          </cell>
          <cell r="BO169">
            <v>6000</v>
          </cell>
          <cell r="BP169"/>
          <cell r="BQ169">
            <v>3000</v>
          </cell>
          <cell r="BR169">
            <v>3000</v>
          </cell>
          <cell r="BS169"/>
          <cell r="BT169">
            <v>6000</v>
          </cell>
          <cell r="BU169"/>
          <cell r="BV169">
            <v>3000</v>
          </cell>
          <cell r="BW169">
            <v>3000</v>
          </cell>
          <cell r="BX169">
            <v>3000</v>
          </cell>
          <cell r="BY169">
            <v>7000</v>
          </cell>
          <cell r="BZ169"/>
          <cell r="CA169">
            <v>6000</v>
          </cell>
          <cell r="CB169">
            <v>3000</v>
          </cell>
          <cell r="CC169"/>
          <cell r="CD169">
            <v>3000</v>
          </cell>
          <cell r="CE169">
            <v>6000</v>
          </cell>
          <cell r="CF169">
            <v>6000</v>
          </cell>
          <cell r="CG169">
            <v>3000</v>
          </cell>
          <cell r="CH169"/>
          <cell r="CI169">
            <v>6000</v>
          </cell>
          <cell r="CJ169">
            <v>3000</v>
          </cell>
          <cell r="CK169"/>
          <cell r="CL169">
            <v>3000</v>
          </cell>
          <cell r="CM169">
            <v>3000</v>
          </cell>
          <cell r="CN169">
            <v>6000</v>
          </cell>
          <cell r="CO169">
            <v>3000</v>
          </cell>
          <cell r="CP169">
            <v>3000</v>
          </cell>
          <cell r="CQ169"/>
          <cell r="CR169">
            <v>1000</v>
          </cell>
          <cell r="CS169"/>
          <cell r="CT169">
            <v>6000</v>
          </cell>
          <cell r="CU169">
            <v>3000</v>
          </cell>
          <cell r="CV169">
            <v>3000</v>
          </cell>
          <cell r="CW169">
            <v>4000</v>
          </cell>
          <cell r="CX169"/>
          <cell r="CY169">
            <v>4000</v>
          </cell>
          <cell r="CZ169">
            <v>3000</v>
          </cell>
          <cell r="DA169"/>
          <cell r="DB169">
            <v>3000</v>
          </cell>
          <cell r="DC169">
            <v>2000</v>
          </cell>
          <cell r="DD169"/>
          <cell r="DE169">
            <v>2000</v>
          </cell>
          <cell r="DF169">
            <v>2000</v>
          </cell>
          <cell r="DG169">
            <v>2000</v>
          </cell>
          <cell r="DH169"/>
          <cell r="DI169"/>
          <cell r="DJ169">
            <v>2000</v>
          </cell>
          <cell r="DK169">
            <v>4000</v>
          </cell>
          <cell r="DL169">
            <v>2000</v>
          </cell>
          <cell r="DM169">
            <v>2000</v>
          </cell>
          <cell r="DN169">
            <v>2000</v>
          </cell>
          <cell r="DO169">
            <v>2000</v>
          </cell>
          <cell r="DP169"/>
          <cell r="DQ169">
            <v>2000</v>
          </cell>
          <cell r="DR169">
            <v>2000</v>
          </cell>
          <cell r="DS169">
            <v>2000</v>
          </cell>
          <cell r="DT169"/>
          <cell r="DU169">
            <v>2000</v>
          </cell>
          <cell r="DV169">
            <v>2000</v>
          </cell>
          <cell r="DW169">
            <v>2000</v>
          </cell>
          <cell r="DX169">
            <v>2000</v>
          </cell>
          <cell r="DY169">
            <v>6000</v>
          </cell>
          <cell r="DZ169"/>
          <cell r="EA169"/>
          <cell r="EB169">
            <v>4000</v>
          </cell>
          <cell r="EC169">
            <v>3000</v>
          </cell>
          <cell r="ED169">
            <v>2000</v>
          </cell>
          <cell r="EE169">
            <v>2000</v>
          </cell>
          <cell r="EF169">
            <v>4000</v>
          </cell>
          <cell r="EG169">
            <v>2000</v>
          </cell>
          <cell r="EH169"/>
          <cell r="EI169"/>
          <cell r="EJ169" t="str">
            <v>ACTIVO</v>
          </cell>
          <cell r="EK169" t="str">
            <v>C</v>
          </cell>
          <cell r="EL169">
            <v>10000</v>
          </cell>
          <cell r="EM169">
            <v>2550</v>
          </cell>
          <cell r="EN169">
            <v>425</v>
          </cell>
          <cell r="EO169">
            <v>1598.5857903662034</v>
          </cell>
          <cell r="EP169">
            <v>2000</v>
          </cell>
          <cell r="EQ169">
            <v>34340</v>
          </cell>
          <cell r="ER169">
            <v>0.78431372549019607</v>
          </cell>
          <cell r="ES169">
            <v>2550</v>
          </cell>
        </row>
        <row r="170">
          <cell r="F170">
            <v>393426</v>
          </cell>
          <cell r="G170" t="str">
            <v>ETIQUETA CIRCULAR 9cm TORTA DOÑA ISABEL</v>
          </cell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>
            <v>1001</v>
          </cell>
          <cell r="AA170">
            <v>1000</v>
          </cell>
          <cell r="AB170">
            <v>1999</v>
          </cell>
          <cell r="AC170">
            <v>1000</v>
          </cell>
          <cell r="AD170"/>
          <cell r="AE170">
            <v>3000</v>
          </cell>
          <cell r="AF170">
            <v>1000</v>
          </cell>
          <cell r="AG170"/>
          <cell r="AH170">
            <v>2000</v>
          </cell>
          <cell r="AI170">
            <v>2000</v>
          </cell>
          <cell r="AJ170">
            <v>2000</v>
          </cell>
          <cell r="AK170">
            <v>2000</v>
          </cell>
          <cell r="AL170">
            <v>2000</v>
          </cell>
          <cell r="AM170">
            <v>2000</v>
          </cell>
          <cell r="AN170">
            <v>2000</v>
          </cell>
          <cell r="AO170"/>
          <cell r="AP170">
            <v>2000</v>
          </cell>
          <cell r="AQ170">
            <v>2000</v>
          </cell>
          <cell r="AR170"/>
          <cell r="AS170">
            <v>1000</v>
          </cell>
          <cell r="AT170">
            <v>2000</v>
          </cell>
          <cell r="AU170"/>
          <cell r="AV170">
            <v>2000</v>
          </cell>
          <cell r="AW170">
            <v>2000</v>
          </cell>
          <cell r="AX170">
            <v>3000</v>
          </cell>
          <cell r="AY170">
            <v>2000</v>
          </cell>
          <cell r="AZ170"/>
          <cell r="BA170">
            <v>2000</v>
          </cell>
          <cell r="BB170"/>
          <cell r="BC170"/>
          <cell r="BD170">
            <v>1000</v>
          </cell>
          <cell r="BE170">
            <v>1000</v>
          </cell>
          <cell r="BF170">
            <v>2</v>
          </cell>
          <cell r="BG170">
            <v>3998</v>
          </cell>
          <cell r="BH170">
            <v>3000</v>
          </cell>
          <cell r="BI170"/>
          <cell r="BJ170"/>
          <cell r="BK170">
            <v>4000</v>
          </cell>
          <cell r="BL170"/>
          <cell r="BM170">
            <v>1000</v>
          </cell>
          <cell r="BN170">
            <v>2000</v>
          </cell>
          <cell r="BO170">
            <v>4000</v>
          </cell>
          <cell r="BP170"/>
          <cell r="BQ170">
            <v>2000</v>
          </cell>
          <cell r="BR170">
            <v>2000</v>
          </cell>
          <cell r="BS170"/>
          <cell r="BT170">
            <v>4000</v>
          </cell>
          <cell r="BU170"/>
          <cell r="BV170">
            <v>2000</v>
          </cell>
          <cell r="BW170">
            <v>1000</v>
          </cell>
          <cell r="BX170">
            <v>1000</v>
          </cell>
          <cell r="BY170">
            <v>3000</v>
          </cell>
          <cell r="BZ170"/>
          <cell r="CA170">
            <v>4000</v>
          </cell>
          <cell r="CB170">
            <v>2000</v>
          </cell>
          <cell r="CC170"/>
          <cell r="CD170">
            <v>2000</v>
          </cell>
          <cell r="CE170">
            <v>3000</v>
          </cell>
          <cell r="CF170">
            <v>2000</v>
          </cell>
          <cell r="CG170">
            <v>1000</v>
          </cell>
          <cell r="CH170"/>
          <cell r="CI170">
            <v>2000</v>
          </cell>
          <cell r="CJ170">
            <v>1000</v>
          </cell>
          <cell r="CK170"/>
          <cell r="CL170">
            <v>1000</v>
          </cell>
          <cell r="CM170">
            <v>1000</v>
          </cell>
          <cell r="CN170">
            <v>2000</v>
          </cell>
          <cell r="CO170">
            <v>2000</v>
          </cell>
          <cell r="CP170">
            <v>2000</v>
          </cell>
          <cell r="CQ170"/>
          <cell r="CR170">
            <v>3000</v>
          </cell>
          <cell r="CS170"/>
          <cell r="CT170">
            <v>3000</v>
          </cell>
          <cell r="CU170">
            <v>4000</v>
          </cell>
          <cell r="CV170">
            <v>3000</v>
          </cell>
          <cell r="CW170">
            <v>3000</v>
          </cell>
          <cell r="CX170"/>
          <cell r="CY170">
            <v>2000</v>
          </cell>
          <cell r="CZ170">
            <v>2000</v>
          </cell>
          <cell r="DA170"/>
          <cell r="DB170">
            <v>5000</v>
          </cell>
          <cell r="DC170">
            <v>2000</v>
          </cell>
          <cell r="DD170"/>
          <cell r="DE170"/>
          <cell r="DF170"/>
          <cell r="DG170"/>
          <cell r="DH170"/>
          <cell r="DI170"/>
          <cell r="DJ170"/>
          <cell r="DK170">
            <v>1000</v>
          </cell>
          <cell r="DL170">
            <v>5000</v>
          </cell>
          <cell r="DM170">
            <v>2000</v>
          </cell>
          <cell r="DN170">
            <v>1000</v>
          </cell>
          <cell r="DO170">
            <v>1000</v>
          </cell>
          <cell r="DP170">
            <v>1000</v>
          </cell>
          <cell r="DQ170">
            <v>1000</v>
          </cell>
          <cell r="DR170">
            <v>2000</v>
          </cell>
          <cell r="DS170">
            <v>2000</v>
          </cell>
          <cell r="DT170">
            <v>3000</v>
          </cell>
          <cell r="DU170">
            <v>2000</v>
          </cell>
          <cell r="DV170"/>
          <cell r="DW170">
            <v>6000</v>
          </cell>
          <cell r="DX170">
            <v>2000</v>
          </cell>
          <cell r="DY170">
            <v>1000</v>
          </cell>
          <cell r="DZ170">
            <v>1000</v>
          </cell>
          <cell r="EA170"/>
          <cell r="EB170">
            <v>7000</v>
          </cell>
          <cell r="EC170"/>
          <cell r="ED170">
            <v>1000</v>
          </cell>
          <cell r="EE170"/>
          <cell r="EF170"/>
          <cell r="EG170"/>
          <cell r="EH170">
            <v>2000</v>
          </cell>
          <cell r="EI170"/>
          <cell r="EJ170" t="str">
            <v>ACTIVO</v>
          </cell>
          <cell r="EK170" t="str">
            <v>C</v>
          </cell>
          <cell r="EL170">
            <v>10000</v>
          </cell>
          <cell r="EM170">
            <v>2294.1176470588234</v>
          </cell>
          <cell r="EN170">
            <v>382.35294117647055</v>
          </cell>
          <cell r="EO170">
            <v>1073.5019408982455</v>
          </cell>
          <cell r="EP170">
            <v>2000</v>
          </cell>
          <cell r="EQ170">
            <v>34340</v>
          </cell>
          <cell r="ER170">
            <v>0.87179487179487181</v>
          </cell>
          <cell r="ES170">
            <v>2294.1176470588234</v>
          </cell>
        </row>
        <row r="171">
          <cell r="F171">
            <v>405089</v>
          </cell>
          <cell r="G171" t="str">
            <v>ETIQUETA TORTA MERENGUE FRAMBUESA CONGELADA</v>
          </cell>
          <cell r="H171">
            <v>4000</v>
          </cell>
          <cell r="I171">
            <v>2000</v>
          </cell>
          <cell r="J171"/>
          <cell r="K171">
            <v>1000</v>
          </cell>
          <cell r="L171">
            <v>2000</v>
          </cell>
          <cell r="M171">
            <v>4000</v>
          </cell>
          <cell r="N171">
            <v>1000</v>
          </cell>
          <cell r="O171"/>
          <cell r="P171"/>
          <cell r="Q171"/>
          <cell r="R171">
            <v>1000</v>
          </cell>
          <cell r="S171">
            <v>2000</v>
          </cell>
          <cell r="T171">
            <v>2000</v>
          </cell>
          <cell r="U171">
            <v>1000</v>
          </cell>
          <cell r="V171">
            <v>1000</v>
          </cell>
          <cell r="W171">
            <v>1000</v>
          </cell>
          <cell r="X171">
            <v>3000</v>
          </cell>
          <cell r="Y171"/>
          <cell r="Z171"/>
          <cell r="AA171">
            <v>2000</v>
          </cell>
          <cell r="AB171">
            <v>1000</v>
          </cell>
          <cell r="AC171"/>
          <cell r="AD171"/>
          <cell r="AE171">
            <v>1000</v>
          </cell>
          <cell r="AF171">
            <v>2000</v>
          </cell>
          <cell r="AG171">
            <v>1000</v>
          </cell>
          <cell r="AH171"/>
          <cell r="AI171">
            <v>1000</v>
          </cell>
          <cell r="AJ171">
            <v>1000</v>
          </cell>
          <cell r="AK171">
            <v>1000</v>
          </cell>
          <cell r="AL171"/>
          <cell r="AM171"/>
          <cell r="AN171">
            <v>2000</v>
          </cell>
          <cell r="AO171">
            <v>2000</v>
          </cell>
          <cell r="AP171"/>
          <cell r="AQ171"/>
          <cell r="AR171"/>
          <cell r="AS171"/>
          <cell r="AT171"/>
          <cell r="AU171"/>
          <cell r="AV171"/>
          <cell r="AW171"/>
          <cell r="AX171">
            <v>3000</v>
          </cell>
          <cell r="AY171">
            <v>3000</v>
          </cell>
          <cell r="AZ171">
            <v>1000</v>
          </cell>
          <cell r="BA171"/>
          <cell r="BB171">
            <v>1000</v>
          </cell>
          <cell r="BC171">
            <v>1000</v>
          </cell>
          <cell r="BD171"/>
          <cell r="BE171">
            <v>1000</v>
          </cell>
          <cell r="BF171">
            <v>2000</v>
          </cell>
          <cell r="BG171"/>
          <cell r="BH171"/>
          <cell r="BI171">
            <v>2000</v>
          </cell>
          <cell r="BJ171">
            <v>2000</v>
          </cell>
          <cell r="BK171">
            <v>2000</v>
          </cell>
          <cell r="BL171">
            <v>1000</v>
          </cell>
          <cell r="BM171">
            <v>1000</v>
          </cell>
          <cell r="BN171"/>
          <cell r="BO171">
            <v>1000</v>
          </cell>
          <cell r="BP171"/>
          <cell r="BQ171">
            <v>2000</v>
          </cell>
          <cell r="BR171">
            <v>2000</v>
          </cell>
          <cell r="BS171">
            <v>2000</v>
          </cell>
          <cell r="BT171">
            <v>1000</v>
          </cell>
          <cell r="BU171"/>
          <cell r="BV171">
            <v>2000</v>
          </cell>
          <cell r="BW171">
            <v>3000</v>
          </cell>
          <cell r="BX171">
            <v>1000</v>
          </cell>
          <cell r="BY171"/>
          <cell r="BZ171"/>
          <cell r="CA171">
            <v>2000</v>
          </cell>
          <cell r="CB171">
            <v>1000</v>
          </cell>
          <cell r="CC171"/>
          <cell r="CD171">
            <v>3000</v>
          </cell>
          <cell r="CE171"/>
          <cell r="CF171"/>
          <cell r="CG171">
            <v>1000</v>
          </cell>
          <cell r="CH171"/>
          <cell r="CI171">
            <v>3000</v>
          </cell>
          <cell r="CJ171">
            <v>1000</v>
          </cell>
          <cell r="CK171"/>
          <cell r="CL171">
            <v>1000</v>
          </cell>
          <cell r="CM171">
            <v>1000</v>
          </cell>
          <cell r="CN171">
            <v>3000</v>
          </cell>
          <cell r="CO171">
            <v>1000</v>
          </cell>
          <cell r="CP171">
            <v>1000</v>
          </cell>
          <cell r="CQ171">
            <v>1000</v>
          </cell>
          <cell r="CR171"/>
          <cell r="CS171"/>
          <cell r="CT171">
            <v>3000</v>
          </cell>
          <cell r="CU171">
            <v>1000</v>
          </cell>
          <cell r="CV171">
            <v>2000</v>
          </cell>
          <cell r="CW171">
            <v>3000</v>
          </cell>
          <cell r="CX171"/>
          <cell r="CY171">
            <v>3000</v>
          </cell>
          <cell r="CZ171">
            <v>2000</v>
          </cell>
          <cell r="DA171"/>
          <cell r="DB171">
            <v>2000</v>
          </cell>
          <cell r="DC171">
            <v>1000</v>
          </cell>
          <cell r="DD171"/>
          <cell r="DE171">
            <v>2000</v>
          </cell>
          <cell r="DF171">
            <v>1000</v>
          </cell>
          <cell r="DG171">
            <v>2000</v>
          </cell>
          <cell r="DH171">
            <v>1000</v>
          </cell>
          <cell r="DI171"/>
          <cell r="DJ171">
            <v>2000</v>
          </cell>
          <cell r="DK171">
            <v>5000</v>
          </cell>
          <cell r="DL171">
            <v>2000</v>
          </cell>
          <cell r="DM171"/>
          <cell r="DN171"/>
          <cell r="DO171">
            <v>1000</v>
          </cell>
          <cell r="DP171"/>
          <cell r="DQ171">
            <v>1000</v>
          </cell>
          <cell r="DR171">
            <v>1000</v>
          </cell>
          <cell r="DS171">
            <v>1000</v>
          </cell>
          <cell r="DT171">
            <v>2000</v>
          </cell>
          <cell r="DU171">
            <v>2000</v>
          </cell>
          <cell r="DV171"/>
          <cell r="DW171">
            <v>2000</v>
          </cell>
          <cell r="DX171">
            <v>2000</v>
          </cell>
          <cell r="DY171">
            <v>3000</v>
          </cell>
          <cell r="DZ171"/>
          <cell r="EA171"/>
          <cell r="EB171"/>
          <cell r="EC171">
            <v>1000</v>
          </cell>
          <cell r="ED171">
            <v>1000</v>
          </cell>
          <cell r="EE171"/>
          <cell r="EF171">
            <v>1000</v>
          </cell>
          <cell r="EG171">
            <v>1000</v>
          </cell>
          <cell r="EH171">
            <v>2000</v>
          </cell>
          <cell r="EI171"/>
          <cell r="EJ171" t="str">
            <v>ACTIVO</v>
          </cell>
          <cell r="EK171" t="str">
            <v>C</v>
          </cell>
          <cell r="EL171">
            <v>10000</v>
          </cell>
          <cell r="EM171">
            <v>1750</v>
          </cell>
          <cell r="EN171">
            <v>291.66666666666669</v>
          </cell>
          <cell r="EO171">
            <v>769.14991490059435</v>
          </cell>
          <cell r="EP171">
            <v>9000</v>
          </cell>
          <cell r="EQ171">
            <v>204300</v>
          </cell>
          <cell r="ER171">
            <v>5.1428571428571432</v>
          </cell>
          <cell r="ES171">
            <v>1750</v>
          </cell>
        </row>
        <row r="172">
          <cell r="F172">
            <v>405168</v>
          </cell>
          <cell r="G172" t="str">
            <v>ETIQUETAS 22X32 BLANCA ADHESIVO ULTRA FRÍO</v>
          </cell>
          <cell r="H172">
            <v>10000</v>
          </cell>
          <cell r="I172">
            <v>10000</v>
          </cell>
          <cell r="J172"/>
          <cell r="K172"/>
          <cell r="L172"/>
          <cell r="M172">
            <v>20000</v>
          </cell>
          <cell r="N172">
            <v>60000</v>
          </cell>
          <cell r="O172"/>
          <cell r="P172"/>
          <cell r="Q172"/>
          <cell r="R172"/>
          <cell r="S172">
            <v>10000</v>
          </cell>
          <cell r="T172">
            <v>20000</v>
          </cell>
          <cell r="U172">
            <v>10000</v>
          </cell>
          <cell r="V172"/>
          <cell r="W172">
            <v>10000</v>
          </cell>
          <cell r="X172">
            <v>50000</v>
          </cell>
          <cell r="Y172">
            <v>30000</v>
          </cell>
          <cell r="Z172">
            <v>20000</v>
          </cell>
          <cell r="AA172">
            <v>0</v>
          </cell>
          <cell r="AB172">
            <v>10000</v>
          </cell>
          <cell r="AC172"/>
          <cell r="AD172">
            <v>20000</v>
          </cell>
          <cell r="AE172"/>
          <cell r="AF172"/>
          <cell r="AG172">
            <v>20000</v>
          </cell>
          <cell r="AH172"/>
          <cell r="AI172"/>
          <cell r="AJ172"/>
          <cell r="AK172"/>
          <cell r="AL172"/>
          <cell r="AM172">
            <v>20000</v>
          </cell>
          <cell r="AN172"/>
          <cell r="AO172">
            <v>20000</v>
          </cell>
          <cell r="AP172">
            <v>20000</v>
          </cell>
          <cell r="AQ172"/>
          <cell r="AR172"/>
          <cell r="AS172">
            <v>40000</v>
          </cell>
          <cell r="AT172">
            <v>30000</v>
          </cell>
          <cell r="AU172"/>
          <cell r="AV172">
            <v>20000</v>
          </cell>
          <cell r="AW172"/>
          <cell r="AX172">
            <v>20000</v>
          </cell>
          <cell r="AY172"/>
          <cell r="AZ172">
            <v>20000</v>
          </cell>
          <cell r="BA172"/>
          <cell r="BB172"/>
          <cell r="BC172"/>
          <cell r="BD172"/>
          <cell r="BE172">
            <v>30000</v>
          </cell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>
            <v>20000</v>
          </cell>
          <cell r="BW172"/>
          <cell r="BX172">
            <v>10000</v>
          </cell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K172"/>
          <cell r="DL172"/>
          <cell r="DM172"/>
          <cell r="DN172"/>
          <cell r="DO172"/>
          <cell r="DP172"/>
          <cell r="DQ172"/>
          <cell r="DR172"/>
          <cell r="DS172"/>
          <cell r="DT172"/>
          <cell r="DU172"/>
          <cell r="DV172"/>
          <cell r="DW172"/>
          <cell r="DX172"/>
          <cell r="DY172"/>
          <cell r="DZ172"/>
          <cell r="EA172"/>
          <cell r="EB172"/>
          <cell r="EC172"/>
          <cell r="ED172"/>
          <cell r="EE172"/>
          <cell r="EF172"/>
          <cell r="EG172"/>
          <cell r="EH172"/>
          <cell r="EI172"/>
          <cell r="EJ172" t="str">
            <v>SIN USO</v>
          </cell>
          <cell r="EK172" t="str">
            <v>C</v>
          </cell>
          <cell r="EL172">
            <v>10000</v>
          </cell>
          <cell r="EM172">
            <v>0</v>
          </cell>
          <cell r="EN172">
            <v>0</v>
          </cell>
          <cell r="EO172">
            <v>7071.0678118654751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</row>
        <row r="173">
          <cell r="F173">
            <v>404737</v>
          </cell>
          <cell r="G173" t="str">
            <v>ETIQUETA CIRCULAR 9cm IMPR. T.CREMA PIÑA 5 COL +UV</v>
          </cell>
          <cell r="H173"/>
          <cell r="I173">
            <v>5000</v>
          </cell>
          <cell r="J173">
            <v>5000</v>
          </cell>
          <cell r="K173">
            <v>3000</v>
          </cell>
          <cell r="L173">
            <v>3000</v>
          </cell>
          <cell r="M173">
            <v>3000</v>
          </cell>
          <cell r="N173">
            <v>1000</v>
          </cell>
          <cell r="O173">
            <v>3000</v>
          </cell>
          <cell r="P173">
            <v>4000</v>
          </cell>
          <cell r="Q173">
            <v>3000</v>
          </cell>
          <cell r="R173"/>
          <cell r="S173">
            <v>4000</v>
          </cell>
          <cell r="T173">
            <v>6000</v>
          </cell>
          <cell r="U173">
            <v>2000</v>
          </cell>
          <cell r="V173">
            <v>3000</v>
          </cell>
          <cell r="W173">
            <v>3000</v>
          </cell>
          <cell r="X173">
            <v>4000</v>
          </cell>
          <cell r="Y173">
            <v>1000</v>
          </cell>
          <cell r="Z173"/>
          <cell r="AA173">
            <v>6000</v>
          </cell>
          <cell r="AB173">
            <v>8000</v>
          </cell>
          <cell r="AC173">
            <v>3000</v>
          </cell>
          <cell r="AD173"/>
          <cell r="AE173">
            <v>3000</v>
          </cell>
          <cell r="AF173">
            <v>5000</v>
          </cell>
          <cell r="AG173"/>
          <cell r="AH173">
            <v>4000</v>
          </cell>
          <cell r="AI173">
            <v>3000</v>
          </cell>
          <cell r="AJ173">
            <v>3000</v>
          </cell>
          <cell r="AK173">
            <v>3000</v>
          </cell>
          <cell r="AL173"/>
          <cell r="AM173">
            <v>4000</v>
          </cell>
          <cell r="AN173">
            <v>3000</v>
          </cell>
          <cell r="AO173">
            <v>4000</v>
          </cell>
          <cell r="AP173">
            <v>4000</v>
          </cell>
          <cell r="AQ173">
            <v>3000</v>
          </cell>
          <cell r="AR173"/>
          <cell r="AS173">
            <v>3000</v>
          </cell>
          <cell r="AT173">
            <v>4000</v>
          </cell>
          <cell r="AU173"/>
          <cell r="AV173">
            <v>6000</v>
          </cell>
          <cell r="AW173"/>
          <cell r="AX173">
            <v>5000</v>
          </cell>
          <cell r="AY173">
            <v>1000</v>
          </cell>
          <cell r="AZ173"/>
          <cell r="BA173">
            <v>7000</v>
          </cell>
          <cell r="BB173"/>
          <cell r="BC173"/>
          <cell r="BD173">
            <v>6000</v>
          </cell>
          <cell r="BE173"/>
          <cell r="BF173">
            <v>4</v>
          </cell>
          <cell r="BG173">
            <v>3996</v>
          </cell>
          <cell r="BH173"/>
          <cell r="BI173"/>
          <cell r="BJ173">
            <v>1000</v>
          </cell>
          <cell r="BK173">
            <v>10000</v>
          </cell>
          <cell r="BL173"/>
          <cell r="BM173">
            <v>4000</v>
          </cell>
          <cell r="BN173">
            <v>4000</v>
          </cell>
          <cell r="BO173">
            <v>4000</v>
          </cell>
          <cell r="BP173">
            <v>2000</v>
          </cell>
          <cell r="BQ173">
            <v>12000</v>
          </cell>
          <cell r="BR173">
            <v>4000</v>
          </cell>
          <cell r="BS173"/>
          <cell r="BT173">
            <v>16000</v>
          </cell>
          <cell r="BU173"/>
          <cell r="BV173">
            <v>8000</v>
          </cell>
          <cell r="BW173">
            <v>4000</v>
          </cell>
          <cell r="BX173"/>
          <cell r="BY173"/>
          <cell r="BZ173"/>
          <cell r="CA173">
            <v>12000</v>
          </cell>
          <cell r="CB173">
            <v>4000</v>
          </cell>
          <cell r="CC173"/>
          <cell r="CD173"/>
          <cell r="CE173">
            <v>1000</v>
          </cell>
          <cell r="CF173">
            <v>8000</v>
          </cell>
          <cell r="CG173"/>
          <cell r="CH173"/>
          <cell r="CI173"/>
          <cell r="CJ173">
            <v>4000</v>
          </cell>
          <cell r="CK173"/>
          <cell r="CL173"/>
          <cell r="CM173">
            <v>4000</v>
          </cell>
          <cell r="CN173">
            <v>4000</v>
          </cell>
          <cell r="CO173"/>
          <cell r="CP173">
            <v>4000</v>
          </cell>
          <cell r="CQ173"/>
          <cell r="CR173">
            <v>3000</v>
          </cell>
          <cell r="CS173"/>
          <cell r="CT173">
            <v>5000</v>
          </cell>
          <cell r="CU173">
            <v>5000</v>
          </cell>
          <cell r="CV173"/>
          <cell r="CW173">
            <v>5000</v>
          </cell>
          <cell r="CX173"/>
          <cell r="CY173">
            <v>3000</v>
          </cell>
          <cell r="CZ173"/>
          <cell r="DA173"/>
          <cell r="DB173">
            <v>5000</v>
          </cell>
          <cell r="DC173"/>
          <cell r="DD173"/>
          <cell r="DE173"/>
          <cell r="DF173">
            <v>3000</v>
          </cell>
          <cell r="DG173">
            <v>4000</v>
          </cell>
          <cell r="DH173"/>
          <cell r="DI173"/>
          <cell r="DJ173">
            <v>8000</v>
          </cell>
          <cell r="DK173">
            <v>12000</v>
          </cell>
          <cell r="DL173">
            <v>9000</v>
          </cell>
          <cell r="DM173">
            <v>4000</v>
          </cell>
          <cell r="DN173">
            <v>4000</v>
          </cell>
          <cell r="DO173">
            <v>4000</v>
          </cell>
          <cell r="DP173">
            <v>4000</v>
          </cell>
          <cell r="DQ173"/>
          <cell r="DR173">
            <v>4000</v>
          </cell>
          <cell r="DS173">
            <v>5000</v>
          </cell>
          <cell r="DT173"/>
          <cell r="DU173">
            <v>4000</v>
          </cell>
          <cell r="DV173"/>
          <cell r="DW173">
            <v>4000</v>
          </cell>
          <cell r="DX173">
            <v>4000</v>
          </cell>
          <cell r="DY173">
            <v>1000</v>
          </cell>
          <cell r="DZ173"/>
          <cell r="EA173"/>
          <cell r="EB173"/>
          <cell r="EC173">
            <v>8000</v>
          </cell>
          <cell r="ED173"/>
          <cell r="EE173"/>
          <cell r="EF173"/>
          <cell r="EG173">
            <v>7000</v>
          </cell>
          <cell r="EH173"/>
          <cell r="EI173"/>
          <cell r="EJ173" t="str">
            <v>ACTIVO</v>
          </cell>
          <cell r="EK173" t="str">
            <v>C</v>
          </cell>
          <cell r="EL173">
            <v>10000</v>
          </cell>
          <cell r="EM173">
            <v>5466.666666666667</v>
          </cell>
          <cell r="EN173">
            <v>911.1111111111112</v>
          </cell>
          <cell r="EO173">
            <v>3528.0721998413592</v>
          </cell>
          <cell r="EP173">
            <v>7000</v>
          </cell>
          <cell r="EQ173">
            <v>158900</v>
          </cell>
          <cell r="ER173">
            <v>1.2804878048780488</v>
          </cell>
          <cell r="ES173">
            <v>5466.666666666667</v>
          </cell>
        </row>
        <row r="174">
          <cell r="F174">
            <v>404738</v>
          </cell>
          <cell r="G174" t="str">
            <v>ETIQUETA CIRCULAR 9cm IMPR. TORTA SELVA NEGRA</v>
          </cell>
          <cell r="H174"/>
          <cell r="I174">
            <v>5000</v>
          </cell>
          <cell r="J174">
            <v>9000</v>
          </cell>
          <cell r="K174">
            <v>3000</v>
          </cell>
          <cell r="L174">
            <v>3000</v>
          </cell>
          <cell r="M174">
            <v>1000</v>
          </cell>
          <cell r="N174">
            <v>1000</v>
          </cell>
          <cell r="O174">
            <v>8000</v>
          </cell>
          <cell r="P174">
            <v>4000</v>
          </cell>
          <cell r="Q174">
            <v>3000</v>
          </cell>
          <cell r="R174"/>
          <cell r="S174">
            <v>6000</v>
          </cell>
          <cell r="T174">
            <v>3000</v>
          </cell>
          <cell r="U174">
            <v>2000</v>
          </cell>
          <cell r="V174">
            <v>3000</v>
          </cell>
          <cell r="W174">
            <v>3000</v>
          </cell>
          <cell r="X174">
            <v>3000</v>
          </cell>
          <cell r="Y174"/>
          <cell r="Z174"/>
          <cell r="AA174">
            <v>4000</v>
          </cell>
          <cell r="AB174">
            <v>7000</v>
          </cell>
          <cell r="AC174">
            <v>3000</v>
          </cell>
          <cell r="AD174"/>
          <cell r="AE174">
            <v>6000</v>
          </cell>
          <cell r="AF174">
            <v>4000</v>
          </cell>
          <cell r="AG174"/>
          <cell r="AH174">
            <v>3000</v>
          </cell>
          <cell r="AI174">
            <v>3000</v>
          </cell>
          <cell r="AJ174">
            <v>3000</v>
          </cell>
          <cell r="AK174">
            <v>3000</v>
          </cell>
          <cell r="AL174">
            <v>2000</v>
          </cell>
          <cell r="AM174">
            <v>4000</v>
          </cell>
          <cell r="AN174">
            <v>3000</v>
          </cell>
          <cell r="AO174"/>
          <cell r="AP174">
            <v>3000</v>
          </cell>
          <cell r="AQ174">
            <v>3000</v>
          </cell>
          <cell r="AR174"/>
          <cell r="AS174">
            <v>3000</v>
          </cell>
          <cell r="AT174">
            <v>4000</v>
          </cell>
          <cell r="AU174"/>
          <cell r="AV174">
            <v>10000</v>
          </cell>
          <cell r="AW174"/>
          <cell r="AX174"/>
          <cell r="AY174">
            <v>11000</v>
          </cell>
          <cell r="AZ174"/>
          <cell r="BA174"/>
          <cell r="BB174">
            <v>9000</v>
          </cell>
          <cell r="BC174"/>
          <cell r="BD174"/>
          <cell r="BE174"/>
          <cell r="BF174">
            <v>8</v>
          </cell>
          <cell r="BG174">
            <v>15992</v>
          </cell>
          <cell r="BH174">
            <v>8000</v>
          </cell>
          <cell r="BI174"/>
          <cell r="BJ174"/>
          <cell r="BK174">
            <v>6000</v>
          </cell>
          <cell r="BL174"/>
          <cell r="BM174">
            <v>2000</v>
          </cell>
          <cell r="BN174">
            <v>6000</v>
          </cell>
          <cell r="BO174">
            <v>8000</v>
          </cell>
          <cell r="BP174">
            <v>4000</v>
          </cell>
          <cell r="BQ174">
            <v>15000</v>
          </cell>
          <cell r="BR174">
            <v>4000</v>
          </cell>
          <cell r="BS174">
            <v>4000</v>
          </cell>
          <cell r="BT174">
            <v>12000</v>
          </cell>
          <cell r="BU174">
            <v>8000</v>
          </cell>
          <cell r="BV174"/>
          <cell r="BW174"/>
          <cell r="BX174">
            <v>8000</v>
          </cell>
          <cell r="BY174">
            <v>4000</v>
          </cell>
          <cell r="BZ174"/>
          <cell r="CA174">
            <v>4000</v>
          </cell>
          <cell r="CB174">
            <v>5000</v>
          </cell>
          <cell r="CC174"/>
          <cell r="CD174">
            <v>4000</v>
          </cell>
          <cell r="CE174"/>
          <cell r="CF174">
            <v>8000</v>
          </cell>
          <cell r="CG174">
            <v>8000</v>
          </cell>
          <cell r="CH174"/>
          <cell r="CI174">
            <v>8000</v>
          </cell>
          <cell r="CJ174">
            <v>8000</v>
          </cell>
          <cell r="CK174"/>
          <cell r="CL174"/>
          <cell r="CM174">
            <v>8000</v>
          </cell>
          <cell r="CN174">
            <v>8000</v>
          </cell>
          <cell r="CO174">
            <v>4000</v>
          </cell>
          <cell r="CP174">
            <v>9000</v>
          </cell>
          <cell r="CQ174">
            <v>1000</v>
          </cell>
          <cell r="CR174"/>
          <cell r="CS174"/>
          <cell r="CT174">
            <v>5000</v>
          </cell>
          <cell r="CU174">
            <v>5000</v>
          </cell>
          <cell r="CV174">
            <v>5000</v>
          </cell>
          <cell r="CW174">
            <v>10000</v>
          </cell>
          <cell r="CX174">
            <v>1000</v>
          </cell>
          <cell r="CY174">
            <v>5000</v>
          </cell>
          <cell r="CZ174"/>
          <cell r="DA174"/>
          <cell r="DB174">
            <v>7000</v>
          </cell>
          <cell r="DC174">
            <v>4000</v>
          </cell>
          <cell r="DD174"/>
          <cell r="DE174"/>
          <cell r="DF174">
            <v>4000</v>
          </cell>
          <cell r="DG174">
            <v>4000</v>
          </cell>
          <cell r="DH174"/>
          <cell r="DI174"/>
          <cell r="DJ174"/>
          <cell r="DK174">
            <v>8000</v>
          </cell>
          <cell r="DL174">
            <v>8000</v>
          </cell>
          <cell r="DM174">
            <v>4000</v>
          </cell>
          <cell r="DN174">
            <v>4000</v>
          </cell>
          <cell r="DO174">
            <v>4000</v>
          </cell>
          <cell r="DP174">
            <v>4000</v>
          </cell>
          <cell r="DQ174">
            <v>4000</v>
          </cell>
          <cell r="DR174">
            <v>2000</v>
          </cell>
          <cell r="DS174"/>
          <cell r="DT174">
            <v>4000</v>
          </cell>
          <cell r="DU174">
            <v>5000</v>
          </cell>
          <cell r="DV174">
            <v>4000</v>
          </cell>
          <cell r="DW174"/>
          <cell r="DX174">
            <v>4000</v>
          </cell>
          <cell r="DY174">
            <v>4000</v>
          </cell>
          <cell r="DZ174"/>
          <cell r="EA174"/>
          <cell r="EB174">
            <v>8000</v>
          </cell>
          <cell r="EC174">
            <v>4000</v>
          </cell>
          <cell r="ED174">
            <v>4000</v>
          </cell>
          <cell r="EE174">
            <v>4000</v>
          </cell>
          <cell r="EF174"/>
          <cell r="EG174">
            <v>4000</v>
          </cell>
          <cell r="EH174">
            <v>4000</v>
          </cell>
          <cell r="EI174"/>
          <cell r="EJ174" t="str">
            <v>ACTIVO</v>
          </cell>
          <cell r="EK174" t="str">
            <v>C</v>
          </cell>
          <cell r="EL174">
            <v>10000</v>
          </cell>
          <cell r="EM174">
            <v>4611.1111111111113</v>
          </cell>
          <cell r="EN174">
            <v>768.51851851851859</v>
          </cell>
          <cell r="EO174">
            <v>2938.3011155050376</v>
          </cell>
          <cell r="EP174">
            <v>0</v>
          </cell>
          <cell r="EQ174">
            <v>0</v>
          </cell>
          <cell r="ER174">
            <v>0</v>
          </cell>
          <cell r="ES174">
            <v>4611.1111111111113</v>
          </cell>
        </row>
        <row r="175">
          <cell r="F175">
            <v>404745</v>
          </cell>
          <cell r="G175" t="str">
            <v>ETIQUETA CIRCULAR 9cm IMPR. TORTA YOGURT FRUTILLA</v>
          </cell>
          <cell r="H175"/>
          <cell r="I175">
            <v>3000</v>
          </cell>
          <cell r="J175">
            <v>3000</v>
          </cell>
          <cell r="K175">
            <v>3000</v>
          </cell>
          <cell r="L175"/>
          <cell r="M175">
            <v>3000</v>
          </cell>
          <cell r="N175"/>
          <cell r="O175">
            <v>3000</v>
          </cell>
          <cell r="P175">
            <v>3000</v>
          </cell>
          <cell r="Q175">
            <v>3000</v>
          </cell>
          <cell r="R175"/>
          <cell r="S175">
            <v>2000</v>
          </cell>
          <cell r="T175">
            <v>4000</v>
          </cell>
          <cell r="U175">
            <v>3000</v>
          </cell>
          <cell r="V175">
            <v>3000</v>
          </cell>
          <cell r="W175">
            <v>3000</v>
          </cell>
          <cell r="X175">
            <v>3000</v>
          </cell>
          <cell r="Y175"/>
          <cell r="Z175">
            <v>5000</v>
          </cell>
          <cell r="AA175">
            <v>3000</v>
          </cell>
          <cell r="AB175">
            <v>6000</v>
          </cell>
          <cell r="AC175">
            <v>3000</v>
          </cell>
          <cell r="AD175"/>
          <cell r="AE175">
            <v>3000</v>
          </cell>
          <cell r="AF175">
            <v>3000</v>
          </cell>
          <cell r="AG175"/>
          <cell r="AH175">
            <v>3000</v>
          </cell>
          <cell r="AI175">
            <v>3000</v>
          </cell>
          <cell r="AJ175">
            <v>3000</v>
          </cell>
          <cell r="AK175">
            <v>3000</v>
          </cell>
          <cell r="AL175">
            <v>3000</v>
          </cell>
          <cell r="AM175">
            <v>2000</v>
          </cell>
          <cell r="AN175">
            <v>2000</v>
          </cell>
          <cell r="AO175"/>
          <cell r="AP175">
            <v>2000</v>
          </cell>
          <cell r="AQ175">
            <v>2000</v>
          </cell>
          <cell r="AR175"/>
          <cell r="AS175">
            <v>2000</v>
          </cell>
          <cell r="AT175">
            <v>2000</v>
          </cell>
          <cell r="AU175"/>
          <cell r="AV175">
            <v>2000</v>
          </cell>
          <cell r="AW175">
            <v>2000</v>
          </cell>
          <cell r="AX175">
            <v>3000</v>
          </cell>
          <cell r="AY175">
            <v>2000</v>
          </cell>
          <cell r="AZ175"/>
          <cell r="BA175">
            <v>2000</v>
          </cell>
          <cell r="BB175"/>
          <cell r="BC175">
            <v>1000</v>
          </cell>
          <cell r="BD175">
            <v>2000</v>
          </cell>
          <cell r="BE175">
            <v>2000</v>
          </cell>
          <cell r="BF175">
            <v>2</v>
          </cell>
          <cell r="BG175">
            <v>4998</v>
          </cell>
          <cell r="BH175">
            <v>3000</v>
          </cell>
          <cell r="BI175"/>
          <cell r="BJ175"/>
          <cell r="BK175">
            <v>4000</v>
          </cell>
          <cell r="BL175"/>
          <cell r="BM175">
            <v>2000</v>
          </cell>
          <cell r="BN175">
            <v>2001</v>
          </cell>
          <cell r="BO175">
            <v>3000</v>
          </cell>
          <cell r="BP175"/>
          <cell r="BQ175">
            <v>2000</v>
          </cell>
          <cell r="BR175">
            <v>2000</v>
          </cell>
          <cell r="BS175"/>
          <cell r="BT175">
            <v>4000</v>
          </cell>
          <cell r="BU175"/>
          <cell r="BV175">
            <v>2000</v>
          </cell>
          <cell r="BW175">
            <v>2000</v>
          </cell>
          <cell r="BX175">
            <v>2000</v>
          </cell>
          <cell r="BY175">
            <v>4000</v>
          </cell>
          <cell r="BZ175"/>
          <cell r="CA175">
            <v>4000</v>
          </cell>
          <cell r="CB175">
            <v>2000</v>
          </cell>
          <cell r="CC175"/>
          <cell r="CD175">
            <v>2000</v>
          </cell>
          <cell r="CE175">
            <v>3000</v>
          </cell>
          <cell r="CF175">
            <v>4000</v>
          </cell>
          <cell r="CG175">
            <v>2000</v>
          </cell>
          <cell r="CH175"/>
          <cell r="CI175">
            <v>4000</v>
          </cell>
          <cell r="CJ175">
            <v>2000</v>
          </cell>
          <cell r="CK175"/>
          <cell r="CL175">
            <v>2000</v>
          </cell>
          <cell r="CM175">
            <v>2000</v>
          </cell>
          <cell r="CN175">
            <v>4000</v>
          </cell>
          <cell r="CO175">
            <v>2000</v>
          </cell>
          <cell r="CP175">
            <v>3000</v>
          </cell>
          <cell r="CQ175"/>
          <cell r="CR175"/>
          <cell r="CS175"/>
          <cell r="CT175">
            <v>5000</v>
          </cell>
          <cell r="CU175">
            <v>3000</v>
          </cell>
          <cell r="CV175">
            <v>4000</v>
          </cell>
          <cell r="CW175">
            <v>3000</v>
          </cell>
          <cell r="CX175">
            <v>3000</v>
          </cell>
          <cell r="CY175">
            <v>3000</v>
          </cell>
          <cell r="CZ175">
            <v>3000</v>
          </cell>
          <cell r="DA175"/>
          <cell r="DB175">
            <v>4000</v>
          </cell>
          <cell r="DC175">
            <v>2000</v>
          </cell>
          <cell r="DD175"/>
          <cell r="DE175">
            <v>2000</v>
          </cell>
          <cell r="DF175">
            <v>2000</v>
          </cell>
          <cell r="DG175">
            <v>2000</v>
          </cell>
          <cell r="DH175"/>
          <cell r="DI175"/>
          <cell r="DJ175">
            <v>3000</v>
          </cell>
          <cell r="DK175">
            <v>4000</v>
          </cell>
          <cell r="DL175">
            <v>2000</v>
          </cell>
          <cell r="DM175">
            <v>2000</v>
          </cell>
          <cell r="DN175">
            <v>2000</v>
          </cell>
          <cell r="DO175">
            <v>2000</v>
          </cell>
          <cell r="DP175">
            <v>2000</v>
          </cell>
          <cell r="DQ175">
            <v>2000</v>
          </cell>
          <cell r="DR175">
            <v>2000</v>
          </cell>
          <cell r="DS175">
            <v>2000</v>
          </cell>
          <cell r="DT175">
            <v>4000</v>
          </cell>
          <cell r="DU175">
            <v>2000</v>
          </cell>
          <cell r="DV175">
            <v>2000</v>
          </cell>
          <cell r="DW175">
            <v>2000</v>
          </cell>
          <cell r="DX175">
            <v>2000</v>
          </cell>
          <cell r="DY175">
            <v>4000</v>
          </cell>
          <cell r="DZ175">
            <v>4000</v>
          </cell>
          <cell r="EA175"/>
          <cell r="EB175">
            <v>4000</v>
          </cell>
          <cell r="EC175">
            <v>3000</v>
          </cell>
          <cell r="ED175">
            <v>2000</v>
          </cell>
          <cell r="EE175">
            <v>3000</v>
          </cell>
          <cell r="EF175">
            <v>3000</v>
          </cell>
          <cell r="EG175">
            <v>2000</v>
          </cell>
          <cell r="EH175">
            <v>2000</v>
          </cell>
          <cell r="EI175"/>
          <cell r="EJ175" t="str">
            <v>ACTIVO</v>
          </cell>
          <cell r="EK175" t="str">
            <v>C</v>
          </cell>
          <cell r="EL175">
            <v>10000</v>
          </cell>
          <cell r="EM175">
            <v>2608.695652173913</v>
          </cell>
          <cell r="EN175">
            <v>434.78260869565219</v>
          </cell>
          <cell r="EO175">
            <v>907.89829072771465</v>
          </cell>
          <cell r="EP175">
            <v>12000</v>
          </cell>
          <cell r="EQ175">
            <v>206040</v>
          </cell>
          <cell r="ER175">
            <v>4.5999999999999996</v>
          </cell>
          <cell r="ES175">
            <v>2608.695652173913</v>
          </cell>
        </row>
        <row r="176">
          <cell r="F176">
            <v>405031</v>
          </cell>
          <cell r="G176" t="str">
            <v>ETIQUETAS CIRCULAR 9cm IMPR. TORTA VIENA SISA</v>
          </cell>
          <cell r="H176"/>
          <cell r="I176">
            <v>2000</v>
          </cell>
          <cell r="J176">
            <v>2000</v>
          </cell>
          <cell r="K176">
            <v>2000</v>
          </cell>
          <cell r="L176">
            <v>2000</v>
          </cell>
          <cell r="M176">
            <v>3000</v>
          </cell>
          <cell r="N176"/>
          <cell r="O176">
            <v>2000</v>
          </cell>
          <cell r="P176">
            <v>2000</v>
          </cell>
          <cell r="Q176">
            <v>2000</v>
          </cell>
          <cell r="R176"/>
          <cell r="S176">
            <v>1000</v>
          </cell>
          <cell r="T176">
            <v>2000</v>
          </cell>
          <cell r="U176">
            <v>2000</v>
          </cell>
          <cell r="V176">
            <v>2000</v>
          </cell>
          <cell r="W176">
            <v>2000</v>
          </cell>
          <cell r="X176">
            <v>2000</v>
          </cell>
          <cell r="Y176"/>
          <cell r="Z176">
            <v>5000</v>
          </cell>
          <cell r="AA176">
            <v>2000</v>
          </cell>
          <cell r="AB176">
            <v>4000</v>
          </cell>
          <cell r="AC176">
            <v>2000</v>
          </cell>
          <cell r="AD176"/>
          <cell r="AE176">
            <v>8000</v>
          </cell>
          <cell r="AF176">
            <v>2000</v>
          </cell>
          <cell r="AG176">
            <v>3000</v>
          </cell>
          <cell r="AH176">
            <v>2000</v>
          </cell>
          <cell r="AI176">
            <v>3000</v>
          </cell>
          <cell r="AJ176">
            <v>2000</v>
          </cell>
          <cell r="AK176">
            <v>3000</v>
          </cell>
          <cell r="AL176">
            <v>5000</v>
          </cell>
          <cell r="AM176">
            <v>3000</v>
          </cell>
          <cell r="AN176">
            <v>3000</v>
          </cell>
          <cell r="AO176">
            <v>2000</v>
          </cell>
          <cell r="AP176"/>
          <cell r="AQ176">
            <v>3000</v>
          </cell>
          <cell r="AR176"/>
          <cell r="AS176">
            <v>3000</v>
          </cell>
          <cell r="AT176">
            <v>2000</v>
          </cell>
          <cell r="AU176"/>
          <cell r="AV176">
            <v>2000</v>
          </cell>
          <cell r="AW176">
            <v>2000</v>
          </cell>
          <cell r="AX176">
            <v>2000</v>
          </cell>
          <cell r="AY176">
            <v>2000</v>
          </cell>
          <cell r="AZ176"/>
          <cell r="BA176">
            <v>4000</v>
          </cell>
          <cell r="BB176">
            <v>1000</v>
          </cell>
          <cell r="BC176"/>
          <cell r="BD176">
            <v>2000</v>
          </cell>
          <cell r="BE176">
            <v>2000</v>
          </cell>
          <cell r="BF176">
            <v>2</v>
          </cell>
          <cell r="BG176">
            <v>3998</v>
          </cell>
          <cell r="BH176">
            <v>2000</v>
          </cell>
          <cell r="BI176"/>
          <cell r="BJ176">
            <v>2000</v>
          </cell>
          <cell r="BK176">
            <v>4000</v>
          </cell>
          <cell r="BL176"/>
          <cell r="BM176">
            <v>2000</v>
          </cell>
          <cell r="BN176">
            <v>2000</v>
          </cell>
          <cell r="BO176">
            <v>4000</v>
          </cell>
          <cell r="BP176"/>
          <cell r="BQ176">
            <v>2000</v>
          </cell>
          <cell r="BR176">
            <v>2000</v>
          </cell>
          <cell r="BS176"/>
          <cell r="BT176">
            <v>4000</v>
          </cell>
          <cell r="BU176"/>
          <cell r="BV176">
            <v>2000</v>
          </cell>
          <cell r="BW176">
            <v>2000</v>
          </cell>
          <cell r="BX176">
            <v>2000</v>
          </cell>
          <cell r="BY176">
            <v>5000</v>
          </cell>
          <cell r="BZ176"/>
          <cell r="CA176">
            <v>4000</v>
          </cell>
          <cell r="CB176">
            <v>2000</v>
          </cell>
          <cell r="CC176"/>
          <cell r="CD176">
            <v>2000</v>
          </cell>
          <cell r="CE176">
            <v>6000</v>
          </cell>
          <cell r="CF176">
            <v>4000</v>
          </cell>
          <cell r="CG176">
            <v>2000</v>
          </cell>
          <cell r="CH176"/>
          <cell r="CI176">
            <v>4000</v>
          </cell>
          <cell r="CJ176">
            <v>2000</v>
          </cell>
          <cell r="CK176"/>
          <cell r="CL176">
            <v>2000</v>
          </cell>
          <cell r="CM176">
            <v>2000</v>
          </cell>
          <cell r="CN176">
            <v>4000</v>
          </cell>
          <cell r="CO176">
            <v>2000</v>
          </cell>
          <cell r="CP176">
            <v>2000</v>
          </cell>
          <cell r="CQ176">
            <v>2000</v>
          </cell>
          <cell r="CR176"/>
          <cell r="CS176"/>
          <cell r="CT176">
            <v>4000</v>
          </cell>
          <cell r="CU176"/>
          <cell r="CV176">
            <v>4000</v>
          </cell>
          <cell r="CW176">
            <v>2000</v>
          </cell>
          <cell r="CX176"/>
          <cell r="CY176">
            <v>4000</v>
          </cell>
          <cell r="CZ176">
            <v>2000</v>
          </cell>
          <cell r="DA176"/>
          <cell r="DB176">
            <v>4000</v>
          </cell>
          <cell r="DC176">
            <v>3000</v>
          </cell>
          <cell r="DD176"/>
          <cell r="DE176">
            <v>3000</v>
          </cell>
          <cell r="DF176">
            <v>3000</v>
          </cell>
          <cell r="DG176">
            <v>3000</v>
          </cell>
          <cell r="DH176"/>
          <cell r="DI176"/>
          <cell r="DJ176">
            <v>2000</v>
          </cell>
          <cell r="DK176">
            <v>6000</v>
          </cell>
          <cell r="DL176">
            <v>3000</v>
          </cell>
          <cell r="DM176"/>
          <cell r="DN176">
            <v>3000</v>
          </cell>
          <cell r="DO176">
            <v>3000</v>
          </cell>
          <cell r="DP176">
            <v>2000</v>
          </cell>
          <cell r="DQ176">
            <v>2000</v>
          </cell>
          <cell r="DR176">
            <v>2000</v>
          </cell>
          <cell r="DS176">
            <v>2000</v>
          </cell>
          <cell r="DT176"/>
          <cell r="DU176">
            <v>2000</v>
          </cell>
          <cell r="DV176">
            <v>2000</v>
          </cell>
          <cell r="DW176">
            <v>2000</v>
          </cell>
          <cell r="DX176">
            <v>2000</v>
          </cell>
          <cell r="DY176">
            <v>6000</v>
          </cell>
          <cell r="DZ176">
            <v>6000</v>
          </cell>
          <cell r="EA176"/>
          <cell r="EB176">
            <v>4000</v>
          </cell>
          <cell r="EC176">
            <v>2000</v>
          </cell>
          <cell r="ED176">
            <v>2000</v>
          </cell>
          <cell r="EE176">
            <v>2000</v>
          </cell>
          <cell r="EF176">
            <v>4000</v>
          </cell>
          <cell r="EG176">
            <v>2000</v>
          </cell>
          <cell r="EH176">
            <v>2000</v>
          </cell>
          <cell r="EI176"/>
          <cell r="EJ176" t="str">
            <v>ACTIVO</v>
          </cell>
          <cell r="EK176" t="str">
            <v>C</v>
          </cell>
          <cell r="EL176">
            <v>10000</v>
          </cell>
          <cell r="EM176">
            <v>2904.7619047619046</v>
          </cell>
          <cell r="EN176">
            <v>484.1269841269841</v>
          </cell>
          <cell r="EO176">
            <v>1100.0955459459922</v>
          </cell>
          <cell r="EP176">
            <v>2000</v>
          </cell>
          <cell r="EQ176">
            <v>34340</v>
          </cell>
          <cell r="ER176">
            <v>0.68852459016393441</v>
          </cell>
          <cell r="ES176">
            <v>2904.7619047619046</v>
          </cell>
        </row>
        <row r="177">
          <cell r="F177">
            <v>405036</v>
          </cell>
          <cell r="G177" t="str">
            <v>ETIQUETAS CIRCULAR 9cm IMPR. PANQUEQUE NARANJA</v>
          </cell>
          <cell r="H177"/>
          <cell r="I177">
            <v>3000</v>
          </cell>
          <cell r="J177">
            <v>4000</v>
          </cell>
          <cell r="K177">
            <v>2000</v>
          </cell>
          <cell r="L177">
            <v>3000</v>
          </cell>
          <cell r="M177">
            <v>2000</v>
          </cell>
          <cell r="N177">
            <v>1000</v>
          </cell>
          <cell r="O177">
            <v>7000</v>
          </cell>
          <cell r="P177">
            <v>3000</v>
          </cell>
          <cell r="Q177">
            <v>3000</v>
          </cell>
          <cell r="R177"/>
          <cell r="S177">
            <v>2000</v>
          </cell>
          <cell r="T177">
            <v>3000</v>
          </cell>
          <cell r="U177">
            <v>3000</v>
          </cell>
          <cell r="V177"/>
          <cell r="W177">
            <v>3000</v>
          </cell>
          <cell r="X177">
            <v>8000</v>
          </cell>
          <cell r="Y177"/>
          <cell r="Z177"/>
          <cell r="AA177">
            <v>3000</v>
          </cell>
          <cell r="AB177">
            <v>5000</v>
          </cell>
          <cell r="AC177">
            <v>6000</v>
          </cell>
          <cell r="AD177"/>
          <cell r="AE177">
            <v>3000</v>
          </cell>
          <cell r="AF177">
            <v>3000</v>
          </cell>
          <cell r="AG177"/>
          <cell r="AH177">
            <v>3000</v>
          </cell>
          <cell r="AI177">
            <v>3000</v>
          </cell>
          <cell r="AJ177">
            <v>3000</v>
          </cell>
          <cell r="AK177">
            <v>3000</v>
          </cell>
          <cell r="AL177">
            <v>3000</v>
          </cell>
          <cell r="AM177">
            <v>3000</v>
          </cell>
          <cell r="AN177">
            <v>3000</v>
          </cell>
          <cell r="AO177">
            <v>2000</v>
          </cell>
          <cell r="AP177">
            <v>4000</v>
          </cell>
          <cell r="AQ177">
            <v>3000</v>
          </cell>
          <cell r="AR177"/>
          <cell r="AS177">
            <v>3000</v>
          </cell>
          <cell r="AT177">
            <v>4000</v>
          </cell>
          <cell r="AU177"/>
          <cell r="AV177">
            <v>3000</v>
          </cell>
          <cell r="AW177">
            <v>3000</v>
          </cell>
          <cell r="AX177">
            <v>7000</v>
          </cell>
          <cell r="AY177"/>
          <cell r="AZ177"/>
          <cell r="BA177">
            <v>6000</v>
          </cell>
          <cell r="BB177">
            <v>2000</v>
          </cell>
          <cell r="BC177"/>
          <cell r="BD177">
            <v>3000</v>
          </cell>
          <cell r="BE177">
            <v>3000</v>
          </cell>
          <cell r="BF177">
            <v>3</v>
          </cell>
          <cell r="BG177">
            <v>3997</v>
          </cell>
          <cell r="BH177">
            <v>2000</v>
          </cell>
          <cell r="BI177"/>
          <cell r="BJ177">
            <v>1000</v>
          </cell>
          <cell r="BK177">
            <v>4000</v>
          </cell>
          <cell r="BL177"/>
          <cell r="BM177">
            <v>2000</v>
          </cell>
          <cell r="BN177">
            <v>2000</v>
          </cell>
          <cell r="BO177">
            <v>7000</v>
          </cell>
          <cell r="BP177"/>
          <cell r="BQ177">
            <v>3000</v>
          </cell>
          <cell r="BR177">
            <v>3000</v>
          </cell>
          <cell r="BS177">
            <v>4000</v>
          </cell>
          <cell r="BT177">
            <v>7000</v>
          </cell>
          <cell r="BU177"/>
          <cell r="BV177">
            <v>3000</v>
          </cell>
          <cell r="BW177">
            <v>4000</v>
          </cell>
          <cell r="BX177">
            <v>5000</v>
          </cell>
          <cell r="BY177"/>
          <cell r="BZ177"/>
          <cell r="CA177">
            <v>8000</v>
          </cell>
          <cell r="CB177">
            <v>3000</v>
          </cell>
          <cell r="CC177"/>
          <cell r="CD177">
            <v>3000</v>
          </cell>
          <cell r="CE177"/>
          <cell r="CF177">
            <v>8000</v>
          </cell>
          <cell r="CG177">
            <v>3000</v>
          </cell>
          <cell r="CH177"/>
          <cell r="CI177">
            <v>4000</v>
          </cell>
          <cell r="CJ177">
            <v>3000</v>
          </cell>
          <cell r="CK177"/>
          <cell r="CL177">
            <v>1000</v>
          </cell>
          <cell r="CM177">
            <v>5000</v>
          </cell>
          <cell r="CN177">
            <v>4000</v>
          </cell>
          <cell r="CO177">
            <v>2000</v>
          </cell>
          <cell r="CP177">
            <v>4000</v>
          </cell>
          <cell r="CQ177"/>
          <cell r="CR177"/>
          <cell r="CS177"/>
          <cell r="CT177">
            <v>2000</v>
          </cell>
          <cell r="CU177">
            <v>5000</v>
          </cell>
          <cell r="CV177"/>
          <cell r="CW177">
            <v>3000</v>
          </cell>
          <cell r="CX177"/>
          <cell r="CY177">
            <v>3000</v>
          </cell>
          <cell r="CZ177">
            <v>4000</v>
          </cell>
          <cell r="DA177"/>
          <cell r="DB177">
            <v>6000</v>
          </cell>
          <cell r="DC177">
            <v>2000</v>
          </cell>
          <cell r="DD177"/>
          <cell r="DE177">
            <v>8000</v>
          </cell>
          <cell r="DF177"/>
          <cell r="DG177">
            <v>3000</v>
          </cell>
          <cell r="DH177"/>
          <cell r="DI177"/>
          <cell r="DJ177">
            <v>2000</v>
          </cell>
          <cell r="DK177">
            <v>5000</v>
          </cell>
          <cell r="DL177">
            <v>4000</v>
          </cell>
          <cell r="DM177">
            <v>5000</v>
          </cell>
          <cell r="DN177">
            <v>6000</v>
          </cell>
          <cell r="DO177">
            <v>3000</v>
          </cell>
          <cell r="DP177">
            <v>4000</v>
          </cell>
          <cell r="DQ177">
            <v>5000</v>
          </cell>
          <cell r="DR177"/>
          <cell r="DS177"/>
          <cell r="DT177">
            <v>4000</v>
          </cell>
          <cell r="DU177">
            <v>5000</v>
          </cell>
          <cell r="DV177"/>
          <cell r="DW177">
            <v>2000</v>
          </cell>
          <cell r="DX177">
            <v>4000</v>
          </cell>
          <cell r="DY177">
            <v>3000</v>
          </cell>
          <cell r="DZ177"/>
          <cell r="EA177"/>
          <cell r="EB177">
            <v>8000</v>
          </cell>
          <cell r="EC177">
            <v>4000</v>
          </cell>
          <cell r="ED177">
            <v>5000</v>
          </cell>
          <cell r="EE177">
            <v>4000</v>
          </cell>
          <cell r="EF177"/>
          <cell r="EG177">
            <v>2000</v>
          </cell>
          <cell r="EH177"/>
          <cell r="EI177"/>
          <cell r="EJ177" t="str">
            <v>ACTIVO</v>
          </cell>
          <cell r="EK177" t="str">
            <v>C</v>
          </cell>
          <cell r="EL177">
            <v>10000</v>
          </cell>
          <cell r="EM177">
            <v>4166.666666666667</v>
          </cell>
          <cell r="EN177">
            <v>694.44444444444446</v>
          </cell>
          <cell r="EO177">
            <v>1940.5146605862294</v>
          </cell>
          <cell r="EP177">
            <v>7000</v>
          </cell>
          <cell r="EQ177">
            <v>158900</v>
          </cell>
          <cell r="ER177">
            <v>1.68</v>
          </cell>
          <cell r="ES177">
            <v>4166.666666666667</v>
          </cell>
        </row>
        <row r="178">
          <cell r="F178">
            <v>405050</v>
          </cell>
          <cell r="G178" t="str">
            <v>ETIQUETAS 75X130 IMPRESAS CUATRICOMIA MAS UV (MAXIMA)</v>
          </cell>
          <cell r="H178"/>
          <cell r="I178">
            <v>2000</v>
          </cell>
          <cell r="J178">
            <v>8000</v>
          </cell>
          <cell r="K178">
            <v>2000</v>
          </cell>
          <cell r="L178">
            <v>3000</v>
          </cell>
          <cell r="M178"/>
          <cell r="N178"/>
          <cell r="O178">
            <v>2000</v>
          </cell>
          <cell r="P178">
            <v>2000</v>
          </cell>
          <cell r="Q178">
            <v>2000</v>
          </cell>
          <cell r="R178"/>
          <cell r="S178">
            <v>2000</v>
          </cell>
          <cell r="T178">
            <v>4000</v>
          </cell>
          <cell r="U178"/>
          <cell r="V178">
            <v>2000</v>
          </cell>
          <cell r="W178">
            <v>2000</v>
          </cell>
          <cell r="X178">
            <v>2000</v>
          </cell>
          <cell r="Y178"/>
          <cell r="Z178"/>
          <cell r="AA178">
            <v>2000</v>
          </cell>
          <cell r="AB178">
            <v>6000</v>
          </cell>
          <cell r="AC178">
            <v>2000</v>
          </cell>
          <cell r="AD178"/>
          <cell r="AE178">
            <v>2000</v>
          </cell>
          <cell r="AF178">
            <v>2000</v>
          </cell>
          <cell r="AG178"/>
          <cell r="AH178">
            <v>2000</v>
          </cell>
          <cell r="AI178">
            <v>2000</v>
          </cell>
          <cell r="AJ178">
            <v>2000</v>
          </cell>
          <cell r="AK178">
            <v>5000</v>
          </cell>
          <cell r="AL178"/>
          <cell r="AM178">
            <v>2000</v>
          </cell>
          <cell r="AN178">
            <v>4000</v>
          </cell>
          <cell r="AO178"/>
          <cell r="AP178">
            <v>2000</v>
          </cell>
          <cell r="AQ178">
            <v>2000</v>
          </cell>
          <cell r="AR178"/>
          <cell r="AS178">
            <v>2000</v>
          </cell>
          <cell r="AT178">
            <v>2000</v>
          </cell>
          <cell r="AU178"/>
          <cell r="AV178">
            <v>2000</v>
          </cell>
          <cell r="AW178">
            <v>2000</v>
          </cell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K178"/>
          <cell r="DL178"/>
          <cell r="DM178"/>
          <cell r="DN178"/>
          <cell r="DO178"/>
          <cell r="DP178"/>
          <cell r="DQ178"/>
          <cell r="DR178"/>
          <cell r="DS178"/>
          <cell r="DT178"/>
          <cell r="DU178"/>
          <cell r="DV178"/>
          <cell r="DW178"/>
          <cell r="DX178"/>
          <cell r="DY178"/>
          <cell r="DZ178"/>
          <cell r="EA178"/>
          <cell r="EB178"/>
          <cell r="EC178"/>
          <cell r="ED178"/>
          <cell r="EE178"/>
          <cell r="EF178"/>
          <cell r="EG178"/>
          <cell r="EH178"/>
          <cell r="EI178"/>
          <cell r="EJ178" t="str">
            <v>SIN USO</v>
          </cell>
          <cell r="EK178" t="str">
            <v/>
          </cell>
          <cell r="EL178">
            <v>10000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</row>
        <row r="179">
          <cell r="F179">
            <v>405122</v>
          </cell>
          <cell r="G179" t="str">
            <v>ETIQUETAS CIRCULAR 9cm IMPR. TORTA LUCUMA JUMBO</v>
          </cell>
          <cell r="H179"/>
          <cell r="I179">
            <v>2000</v>
          </cell>
          <cell r="J179">
            <v>4000</v>
          </cell>
          <cell r="K179">
            <v>5000</v>
          </cell>
          <cell r="L179"/>
          <cell r="M179"/>
          <cell r="N179"/>
          <cell r="O179">
            <v>7000</v>
          </cell>
          <cell r="P179">
            <v>2000</v>
          </cell>
          <cell r="Q179">
            <v>2000</v>
          </cell>
          <cell r="R179"/>
          <cell r="S179">
            <v>2000</v>
          </cell>
          <cell r="T179">
            <v>2000</v>
          </cell>
          <cell r="U179">
            <v>5000</v>
          </cell>
          <cell r="V179">
            <v>2000</v>
          </cell>
          <cell r="W179">
            <v>2000</v>
          </cell>
          <cell r="X179">
            <v>3000</v>
          </cell>
          <cell r="Y179"/>
          <cell r="Z179"/>
          <cell r="AA179">
            <v>2000</v>
          </cell>
          <cell r="AB179">
            <v>4000</v>
          </cell>
          <cell r="AC179">
            <v>2000</v>
          </cell>
          <cell r="AD179"/>
          <cell r="AE179">
            <v>6000</v>
          </cell>
          <cell r="AF179">
            <v>2000</v>
          </cell>
          <cell r="AG179">
            <v>2000</v>
          </cell>
          <cell r="AH179">
            <v>2000</v>
          </cell>
          <cell r="AI179">
            <v>2000</v>
          </cell>
          <cell r="AJ179">
            <v>2000</v>
          </cell>
          <cell r="AK179">
            <v>3000</v>
          </cell>
          <cell r="AL179">
            <v>3000</v>
          </cell>
          <cell r="AM179">
            <v>2000</v>
          </cell>
          <cell r="AN179">
            <v>2000</v>
          </cell>
          <cell r="AO179">
            <v>2000</v>
          </cell>
          <cell r="AP179">
            <v>2000</v>
          </cell>
          <cell r="AQ179">
            <v>4000</v>
          </cell>
          <cell r="AR179"/>
          <cell r="AS179">
            <v>2000</v>
          </cell>
          <cell r="AT179">
            <v>2000</v>
          </cell>
          <cell r="AU179"/>
          <cell r="AV179">
            <v>2000</v>
          </cell>
          <cell r="AW179">
            <v>2000</v>
          </cell>
          <cell r="AX179">
            <v>4000</v>
          </cell>
          <cell r="AY179">
            <v>2000</v>
          </cell>
          <cell r="AZ179"/>
          <cell r="BA179">
            <v>4000</v>
          </cell>
          <cell r="BB179">
            <v>1000</v>
          </cell>
          <cell r="BC179"/>
          <cell r="BD179">
            <v>2000</v>
          </cell>
          <cell r="BE179">
            <v>2000</v>
          </cell>
          <cell r="BF179">
            <v>2</v>
          </cell>
          <cell r="BG179">
            <v>4998</v>
          </cell>
          <cell r="BH179">
            <v>2000</v>
          </cell>
          <cell r="BI179"/>
          <cell r="BJ179">
            <v>3000</v>
          </cell>
          <cell r="BK179">
            <v>4000</v>
          </cell>
          <cell r="BL179"/>
          <cell r="BM179">
            <v>2000</v>
          </cell>
          <cell r="BN179">
            <v>3000</v>
          </cell>
          <cell r="BO179">
            <v>6000</v>
          </cell>
          <cell r="BP179"/>
          <cell r="BQ179">
            <v>3000</v>
          </cell>
          <cell r="BR179">
            <v>3000</v>
          </cell>
          <cell r="BS179"/>
          <cell r="BT179">
            <v>7000</v>
          </cell>
          <cell r="BU179"/>
          <cell r="BV179">
            <v>6000</v>
          </cell>
          <cell r="BW179">
            <v>2000</v>
          </cell>
          <cell r="BX179">
            <v>2000</v>
          </cell>
          <cell r="BY179"/>
          <cell r="BZ179"/>
          <cell r="CA179">
            <v>5000</v>
          </cell>
          <cell r="CB179"/>
          <cell r="CC179"/>
          <cell r="CD179">
            <v>2000</v>
          </cell>
          <cell r="CE179"/>
          <cell r="CF179">
            <v>5000</v>
          </cell>
          <cell r="CG179"/>
          <cell r="CH179"/>
          <cell r="CI179">
            <v>4000</v>
          </cell>
          <cell r="CJ179">
            <v>2000</v>
          </cell>
          <cell r="CK179"/>
          <cell r="CL179">
            <v>2000</v>
          </cell>
          <cell r="CM179">
            <v>4000</v>
          </cell>
          <cell r="CN179">
            <v>2000</v>
          </cell>
          <cell r="CO179">
            <v>2000</v>
          </cell>
          <cell r="CP179">
            <v>2000</v>
          </cell>
          <cell r="CQ179"/>
          <cell r="CR179"/>
          <cell r="CS179"/>
          <cell r="CT179">
            <v>4000</v>
          </cell>
          <cell r="CU179">
            <v>3000</v>
          </cell>
          <cell r="CV179">
            <v>2000</v>
          </cell>
          <cell r="CW179">
            <v>4000</v>
          </cell>
          <cell r="CX179"/>
          <cell r="CY179"/>
          <cell r="CZ179">
            <v>2000</v>
          </cell>
          <cell r="DA179"/>
          <cell r="DB179">
            <v>3000</v>
          </cell>
          <cell r="DC179"/>
          <cell r="DD179"/>
          <cell r="DE179">
            <v>4000</v>
          </cell>
          <cell r="DF179">
            <v>3000</v>
          </cell>
          <cell r="DG179">
            <v>2000</v>
          </cell>
          <cell r="DH179"/>
          <cell r="DI179"/>
          <cell r="DJ179">
            <v>2000</v>
          </cell>
          <cell r="DK179">
            <v>4000</v>
          </cell>
          <cell r="DL179">
            <v>4000</v>
          </cell>
          <cell r="DM179">
            <v>3000</v>
          </cell>
          <cell r="DN179">
            <v>1000</v>
          </cell>
          <cell r="DO179"/>
          <cell r="DP179">
            <v>1000</v>
          </cell>
          <cell r="DQ179"/>
          <cell r="DR179">
            <v>2000</v>
          </cell>
          <cell r="DS179">
            <v>2000</v>
          </cell>
          <cell r="DT179">
            <v>5000</v>
          </cell>
          <cell r="DU179">
            <v>2000</v>
          </cell>
          <cell r="DV179">
            <v>4000</v>
          </cell>
          <cell r="DW179">
            <v>4000</v>
          </cell>
          <cell r="DX179">
            <v>2000</v>
          </cell>
          <cell r="DY179">
            <v>2000</v>
          </cell>
          <cell r="DZ179"/>
          <cell r="EA179"/>
          <cell r="EB179">
            <v>2000</v>
          </cell>
          <cell r="EC179"/>
          <cell r="ED179">
            <v>3000</v>
          </cell>
          <cell r="EE179">
            <v>3000</v>
          </cell>
          <cell r="EF179"/>
          <cell r="EG179">
            <v>2000</v>
          </cell>
          <cell r="EH179">
            <v>1000</v>
          </cell>
          <cell r="EI179"/>
          <cell r="EJ179" t="str">
            <v>ACTIVO</v>
          </cell>
          <cell r="EK179" t="str">
            <v>C</v>
          </cell>
          <cell r="EL179">
            <v>10000</v>
          </cell>
          <cell r="EM179">
            <v>2666.6666666666665</v>
          </cell>
          <cell r="EN179">
            <v>444.4444444444444</v>
          </cell>
          <cell r="EO179">
            <v>1407.3539573576797</v>
          </cell>
          <cell r="EP179">
            <v>11000</v>
          </cell>
          <cell r="EQ179">
            <v>249700</v>
          </cell>
          <cell r="ER179">
            <v>4.125</v>
          </cell>
          <cell r="ES179">
            <v>2666.6666666666665</v>
          </cell>
        </row>
        <row r="180">
          <cell r="F180">
            <v>405119</v>
          </cell>
          <cell r="G180" t="str">
            <v>ETIQUETAS CIRCULAR 9cm IMPR. TORTA PIÑA JUMBO</v>
          </cell>
          <cell r="H180"/>
          <cell r="I180">
            <v>3000</v>
          </cell>
          <cell r="J180">
            <v>3000</v>
          </cell>
          <cell r="K180">
            <v>3000</v>
          </cell>
          <cell r="L180"/>
          <cell r="M180"/>
          <cell r="N180"/>
          <cell r="O180">
            <v>6000</v>
          </cell>
          <cell r="P180">
            <v>3000</v>
          </cell>
          <cell r="Q180">
            <v>3000</v>
          </cell>
          <cell r="R180"/>
          <cell r="S180">
            <v>3000</v>
          </cell>
          <cell r="T180">
            <v>3000</v>
          </cell>
          <cell r="U180">
            <v>3000</v>
          </cell>
          <cell r="V180">
            <v>3000</v>
          </cell>
          <cell r="W180">
            <v>3000</v>
          </cell>
          <cell r="X180">
            <v>3000</v>
          </cell>
          <cell r="Y180">
            <v>1000</v>
          </cell>
          <cell r="Z180">
            <v>1000</v>
          </cell>
          <cell r="AA180">
            <v>3000</v>
          </cell>
          <cell r="AB180">
            <v>4000</v>
          </cell>
          <cell r="AC180">
            <v>1000</v>
          </cell>
          <cell r="AD180"/>
          <cell r="AE180">
            <v>2000</v>
          </cell>
          <cell r="AF180">
            <v>5000</v>
          </cell>
          <cell r="AG180">
            <v>5000</v>
          </cell>
          <cell r="AH180">
            <v>1000</v>
          </cell>
          <cell r="AI180">
            <v>1000</v>
          </cell>
          <cell r="AJ180">
            <v>1000</v>
          </cell>
          <cell r="AK180">
            <v>1000</v>
          </cell>
          <cell r="AL180">
            <v>4000</v>
          </cell>
          <cell r="AM180">
            <v>3000</v>
          </cell>
          <cell r="AN180">
            <v>3000</v>
          </cell>
          <cell r="AO180">
            <v>1000</v>
          </cell>
          <cell r="AP180">
            <v>2000</v>
          </cell>
          <cell r="AQ180">
            <v>3000</v>
          </cell>
          <cell r="AR180"/>
          <cell r="AS180">
            <v>3000</v>
          </cell>
          <cell r="AT180">
            <v>3000</v>
          </cell>
          <cell r="AU180"/>
          <cell r="AV180">
            <v>3000</v>
          </cell>
          <cell r="AW180">
            <v>3000</v>
          </cell>
          <cell r="AX180">
            <v>4000</v>
          </cell>
          <cell r="AY180">
            <v>3000</v>
          </cell>
          <cell r="AZ180"/>
          <cell r="BA180">
            <v>6000</v>
          </cell>
          <cell r="BB180">
            <v>1000</v>
          </cell>
          <cell r="BC180"/>
          <cell r="BD180">
            <v>3000</v>
          </cell>
          <cell r="BE180">
            <v>3000</v>
          </cell>
          <cell r="BF180">
            <v>3</v>
          </cell>
          <cell r="BG180">
            <v>6997</v>
          </cell>
          <cell r="BH180">
            <v>3000</v>
          </cell>
          <cell r="BI180"/>
          <cell r="BJ180">
            <v>1000</v>
          </cell>
          <cell r="BK180">
            <v>6000</v>
          </cell>
          <cell r="BL180"/>
          <cell r="BM180">
            <v>2000</v>
          </cell>
          <cell r="BN180">
            <v>1000</v>
          </cell>
          <cell r="BO180">
            <v>6000</v>
          </cell>
          <cell r="BP180"/>
          <cell r="BQ180">
            <v>3000</v>
          </cell>
          <cell r="BR180">
            <v>3000</v>
          </cell>
          <cell r="BS180"/>
          <cell r="BT180">
            <v>6000</v>
          </cell>
          <cell r="BU180"/>
          <cell r="BV180">
            <v>3000</v>
          </cell>
          <cell r="BW180">
            <v>2000</v>
          </cell>
          <cell r="BX180">
            <v>2000</v>
          </cell>
          <cell r="BY180">
            <v>7000</v>
          </cell>
          <cell r="BZ180"/>
          <cell r="CA180">
            <v>6000</v>
          </cell>
          <cell r="CB180">
            <v>3000</v>
          </cell>
          <cell r="CC180"/>
          <cell r="CD180">
            <v>3000</v>
          </cell>
          <cell r="CE180">
            <v>5000</v>
          </cell>
          <cell r="CF180">
            <v>4000</v>
          </cell>
          <cell r="CG180">
            <v>2000</v>
          </cell>
          <cell r="CH180"/>
          <cell r="CI180">
            <v>4000</v>
          </cell>
          <cell r="CJ180">
            <v>3000</v>
          </cell>
          <cell r="CK180"/>
          <cell r="CL180">
            <v>3000</v>
          </cell>
          <cell r="CM180">
            <v>3000</v>
          </cell>
          <cell r="CN180">
            <v>6000</v>
          </cell>
          <cell r="CO180">
            <v>3000</v>
          </cell>
          <cell r="CP180">
            <v>3000</v>
          </cell>
          <cell r="CQ180"/>
          <cell r="CR180"/>
          <cell r="CS180"/>
          <cell r="CT180">
            <v>6000</v>
          </cell>
          <cell r="CU180">
            <v>1000</v>
          </cell>
          <cell r="CV180">
            <v>4000</v>
          </cell>
          <cell r="CW180">
            <v>3000</v>
          </cell>
          <cell r="CX180"/>
          <cell r="CY180">
            <v>4000</v>
          </cell>
          <cell r="CZ180">
            <v>3000</v>
          </cell>
          <cell r="DA180"/>
          <cell r="DB180">
            <v>3000</v>
          </cell>
          <cell r="DC180">
            <v>2000</v>
          </cell>
          <cell r="DD180"/>
          <cell r="DE180">
            <v>3000</v>
          </cell>
          <cell r="DF180">
            <v>2000</v>
          </cell>
          <cell r="DG180">
            <v>3000</v>
          </cell>
          <cell r="DH180"/>
          <cell r="DI180"/>
          <cell r="DJ180">
            <v>2000</v>
          </cell>
          <cell r="DK180">
            <v>4000</v>
          </cell>
          <cell r="DL180">
            <v>2000</v>
          </cell>
          <cell r="DM180">
            <v>2000</v>
          </cell>
          <cell r="DN180">
            <v>2000</v>
          </cell>
          <cell r="DO180">
            <v>2000</v>
          </cell>
          <cell r="DP180">
            <v>2000</v>
          </cell>
          <cell r="DQ180">
            <v>2000</v>
          </cell>
          <cell r="DR180">
            <v>2000</v>
          </cell>
          <cell r="DS180">
            <v>2000</v>
          </cell>
          <cell r="DT180">
            <v>4000</v>
          </cell>
          <cell r="DU180">
            <v>2000</v>
          </cell>
          <cell r="DV180">
            <v>2000</v>
          </cell>
          <cell r="DW180">
            <v>2000</v>
          </cell>
          <cell r="DX180">
            <v>2000</v>
          </cell>
          <cell r="DY180">
            <v>5000</v>
          </cell>
          <cell r="DZ180">
            <v>5000</v>
          </cell>
          <cell r="EA180"/>
          <cell r="EB180">
            <v>4000</v>
          </cell>
          <cell r="EC180"/>
          <cell r="ED180">
            <v>2000</v>
          </cell>
          <cell r="EE180">
            <v>2000</v>
          </cell>
          <cell r="EF180">
            <v>2000</v>
          </cell>
          <cell r="EG180">
            <v>3000</v>
          </cell>
          <cell r="EH180">
            <v>3000</v>
          </cell>
          <cell r="EI180"/>
          <cell r="EJ180" t="str">
            <v>ACTIVO</v>
          </cell>
          <cell r="EK180" t="str">
            <v>C</v>
          </cell>
          <cell r="EL180">
            <v>10000</v>
          </cell>
          <cell r="EM180">
            <v>2590.909090909091</v>
          </cell>
          <cell r="EN180">
            <v>431.81818181818181</v>
          </cell>
          <cell r="EO180">
            <v>1573.0462404120467</v>
          </cell>
          <cell r="EP180">
            <v>4000</v>
          </cell>
          <cell r="EQ180">
            <v>68680</v>
          </cell>
          <cell r="ER180">
            <v>1.5438596491228069</v>
          </cell>
          <cell r="ES180">
            <v>2590.909090909091</v>
          </cell>
        </row>
        <row r="181">
          <cell r="F181">
            <v>405120</v>
          </cell>
          <cell r="G181" t="str">
            <v>ETIQUETAS CIRCULAR 9cm  TORTA SELVA NEGRA JUMBO</v>
          </cell>
          <cell r="H181"/>
          <cell r="I181">
            <v>3000</v>
          </cell>
          <cell r="J181">
            <v>3000</v>
          </cell>
          <cell r="K181">
            <v>6000</v>
          </cell>
          <cell r="L181"/>
          <cell r="M181"/>
          <cell r="N181"/>
          <cell r="O181">
            <v>9000</v>
          </cell>
          <cell r="P181">
            <v>3000</v>
          </cell>
          <cell r="Q181">
            <v>3000</v>
          </cell>
          <cell r="R181"/>
          <cell r="S181">
            <v>3000</v>
          </cell>
          <cell r="T181">
            <v>3000</v>
          </cell>
          <cell r="U181">
            <v>5000</v>
          </cell>
          <cell r="V181">
            <v>4000</v>
          </cell>
          <cell r="W181">
            <v>3000</v>
          </cell>
          <cell r="X181">
            <v>3000</v>
          </cell>
          <cell r="Y181"/>
          <cell r="Z181"/>
          <cell r="AA181">
            <v>3000</v>
          </cell>
          <cell r="AB181">
            <v>6000</v>
          </cell>
          <cell r="AC181">
            <v>3000</v>
          </cell>
          <cell r="AD181"/>
          <cell r="AE181">
            <v>7000</v>
          </cell>
          <cell r="AF181">
            <v>3000</v>
          </cell>
          <cell r="AG181"/>
          <cell r="AH181">
            <v>3000</v>
          </cell>
          <cell r="AI181">
            <v>3000</v>
          </cell>
          <cell r="AJ181">
            <v>3000</v>
          </cell>
          <cell r="AK181">
            <v>3000</v>
          </cell>
          <cell r="AL181">
            <v>4000</v>
          </cell>
          <cell r="AM181">
            <v>3000</v>
          </cell>
          <cell r="AN181">
            <v>3000</v>
          </cell>
          <cell r="AO181"/>
          <cell r="AP181">
            <v>2000</v>
          </cell>
          <cell r="AQ181">
            <v>5000</v>
          </cell>
          <cell r="AR181"/>
          <cell r="AS181">
            <v>3000</v>
          </cell>
          <cell r="AT181">
            <v>3000</v>
          </cell>
          <cell r="AU181"/>
          <cell r="AV181">
            <v>3000</v>
          </cell>
          <cell r="AW181">
            <v>3000</v>
          </cell>
          <cell r="AX181">
            <v>4000</v>
          </cell>
          <cell r="AY181">
            <v>1000</v>
          </cell>
          <cell r="AZ181"/>
          <cell r="BA181">
            <v>6000</v>
          </cell>
          <cell r="BB181">
            <v>3000</v>
          </cell>
          <cell r="BC181"/>
          <cell r="BD181">
            <v>3000</v>
          </cell>
          <cell r="BE181">
            <v>3000</v>
          </cell>
          <cell r="BF181">
            <v>1003</v>
          </cell>
          <cell r="BG181">
            <v>6997</v>
          </cell>
          <cell r="BH181">
            <v>3000</v>
          </cell>
          <cell r="BI181"/>
          <cell r="BJ181">
            <v>1000</v>
          </cell>
          <cell r="BK181">
            <v>6000</v>
          </cell>
          <cell r="BL181"/>
          <cell r="BM181">
            <v>2000</v>
          </cell>
          <cell r="BN181">
            <v>1000</v>
          </cell>
          <cell r="BO181">
            <v>8000</v>
          </cell>
          <cell r="BP181"/>
          <cell r="BQ181">
            <v>4000</v>
          </cell>
          <cell r="BR181">
            <v>3000</v>
          </cell>
          <cell r="BS181"/>
          <cell r="BT181">
            <v>8000</v>
          </cell>
          <cell r="BU181"/>
          <cell r="BV181">
            <v>5000</v>
          </cell>
          <cell r="BW181">
            <v>3000</v>
          </cell>
          <cell r="BX181">
            <v>2000</v>
          </cell>
          <cell r="BY181">
            <v>2000</v>
          </cell>
          <cell r="BZ181">
            <v>3000</v>
          </cell>
          <cell r="CA181">
            <v>6000</v>
          </cell>
          <cell r="CB181">
            <v>2000</v>
          </cell>
          <cell r="CC181"/>
          <cell r="CD181">
            <v>3000</v>
          </cell>
          <cell r="CE181">
            <v>1000</v>
          </cell>
          <cell r="CF181">
            <v>5000</v>
          </cell>
          <cell r="CG181">
            <v>6000</v>
          </cell>
          <cell r="CH181"/>
          <cell r="CI181">
            <v>5000</v>
          </cell>
          <cell r="CJ181"/>
          <cell r="CK181">
            <v>1000</v>
          </cell>
          <cell r="CL181">
            <v>6000</v>
          </cell>
          <cell r="CM181"/>
          <cell r="CN181">
            <v>4000</v>
          </cell>
          <cell r="CO181">
            <v>4000</v>
          </cell>
          <cell r="CP181">
            <v>1000</v>
          </cell>
          <cell r="CQ181">
            <v>3000</v>
          </cell>
          <cell r="CR181"/>
          <cell r="CS181"/>
          <cell r="CT181">
            <v>7000</v>
          </cell>
          <cell r="CU181">
            <v>6000</v>
          </cell>
          <cell r="CV181">
            <v>4000</v>
          </cell>
          <cell r="CW181">
            <v>1000</v>
          </cell>
          <cell r="CX181">
            <v>2000</v>
          </cell>
          <cell r="CY181">
            <v>6000</v>
          </cell>
          <cell r="CZ181"/>
          <cell r="DA181">
            <v>1000</v>
          </cell>
          <cell r="DB181">
            <v>3000</v>
          </cell>
          <cell r="DC181">
            <v>4000</v>
          </cell>
          <cell r="DD181"/>
          <cell r="DE181">
            <v>3000</v>
          </cell>
          <cell r="DF181">
            <v>5000</v>
          </cell>
          <cell r="DG181">
            <v>1000</v>
          </cell>
          <cell r="DH181"/>
          <cell r="DI181"/>
          <cell r="DJ181">
            <v>4000</v>
          </cell>
          <cell r="DK181">
            <v>6000</v>
          </cell>
          <cell r="DL181">
            <v>6000</v>
          </cell>
          <cell r="DM181">
            <v>2000</v>
          </cell>
          <cell r="DN181">
            <v>5000</v>
          </cell>
          <cell r="DO181">
            <v>4000</v>
          </cell>
          <cell r="DP181">
            <v>2000</v>
          </cell>
          <cell r="DQ181">
            <v>2000</v>
          </cell>
          <cell r="DR181">
            <v>2000</v>
          </cell>
          <cell r="DS181">
            <v>2000</v>
          </cell>
          <cell r="DT181">
            <v>7000</v>
          </cell>
          <cell r="DU181">
            <v>2000</v>
          </cell>
          <cell r="DV181"/>
          <cell r="DW181">
            <v>2000</v>
          </cell>
          <cell r="DX181">
            <v>3000</v>
          </cell>
          <cell r="DY181">
            <v>6000</v>
          </cell>
          <cell r="DZ181"/>
          <cell r="EA181"/>
          <cell r="EB181">
            <v>5000</v>
          </cell>
          <cell r="EC181">
            <v>3000</v>
          </cell>
          <cell r="ED181">
            <v>6000</v>
          </cell>
          <cell r="EE181">
            <v>3000</v>
          </cell>
          <cell r="EF181">
            <v>5000</v>
          </cell>
          <cell r="EG181">
            <v>3000</v>
          </cell>
          <cell r="EH181"/>
          <cell r="EI181"/>
          <cell r="EJ181" t="str">
            <v>ACTIVO</v>
          </cell>
          <cell r="EK181" t="str">
            <v>C</v>
          </cell>
          <cell r="EL181">
            <v>10000</v>
          </cell>
          <cell r="EM181">
            <v>3809.5238095238096</v>
          </cell>
          <cell r="EN181">
            <v>634.92063492063494</v>
          </cell>
          <cell r="EO181">
            <v>2072.5700371047665</v>
          </cell>
          <cell r="EP181">
            <v>10000</v>
          </cell>
          <cell r="EQ181">
            <v>227000</v>
          </cell>
          <cell r="ER181">
            <v>2.625</v>
          </cell>
          <cell r="ES181">
            <v>3809.5238095238096</v>
          </cell>
        </row>
        <row r="182">
          <cell r="F182">
            <v>405123</v>
          </cell>
          <cell r="G182" t="str">
            <v>ETIQUETAS CIRCULAR 9cm IMPR. TORTA VIENA JUMBO</v>
          </cell>
          <cell r="H182"/>
          <cell r="I182">
            <v>2000</v>
          </cell>
          <cell r="J182">
            <v>2000</v>
          </cell>
          <cell r="K182">
            <v>2000</v>
          </cell>
          <cell r="L182"/>
          <cell r="M182"/>
          <cell r="N182"/>
          <cell r="O182">
            <v>4000</v>
          </cell>
          <cell r="P182">
            <v>2000</v>
          </cell>
          <cell r="Q182">
            <v>2000</v>
          </cell>
          <cell r="R182"/>
          <cell r="S182">
            <v>1000</v>
          </cell>
          <cell r="T182">
            <v>2000</v>
          </cell>
          <cell r="U182">
            <v>2000</v>
          </cell>
          <cell r="V182">
            <v>2000</v>
          </cell>
          <cell r="W182">
            <v>2000</v>
          </cell>
          <cell r="X182">
            <v>2000</v>
          </cell>
          <cell r="Y182"/>
          <cell r="Z182">
            <v>5000</v>
          </cell>
          <cell r="AA182">
            <v>2000</v>
          </cell>
          <cell r="AB182">
            <v>4000</v>
          </cell>
          <cell r="AC182">
            <v>2000</v>
          </cell>
          <cell r="AD182"/>
          <cell r="AE182">
            <v>5000</v>
          </cell>
          <cell r="AF182">
            <v>2000</v>
          </cell>
          <cell r="AG182"/>
          <cell r="AH182">
            <v>2000</v>
          </cell>
          <cell r="AI182">
            <v>2000</v>
          </cell>
          <cell r="AJ182">
            <v>2000</v>
          </cell>
          <cell r="AK182">
            <v>2000</v>
          </cell>
          <cell r="AL182">
            <v>4000</v>
          </cell>
          <cell r="AM182">
            <v>3000</v>
          </cell>
          <cell r="AN182">
            <v>3000</v>
          </cell>
          <cell r="AO182"/>
          <cell r="AP182">
            <v>2000</v>
          </cell>
          <cell r="AQ182">
            <v>2000</v>
          </cell>
          <cell r="AR182"/>
          <cell r="AS182">
            <v>3000</v>
          </cell>
          <cell r="AT182">
            <v>2000</v>
          </cell>
          <cell r="AU182"/>
          <cell r="AV182">
            <v>2000</v>
          </cell>
          <cell r="AW182">
            <v>2000</v>
          </cell>
          <cell r="AX182">
            <v>3000</v>
          </cell>
          <cell r="AY182">
            <v>3000</v>
          </cell>
          <cell r="AZ182"/>
          <cell r="BA182">
            <v>4000</v>
          </cell>
          <cell r="BB182">
            <v>1000</v>
          </cell>
          <cell r="BC182"/>
          <cell r="BD182">
            <v>2000</v>
          </cell>
          <cell r="BE182">
            <v>2000</v>
          </cell>
          <cell r="BF182">
            <v>2</v>
          </cell>
          <cell r="BG182">
            <v>5998</v>
          </cell>
          <cell r="BH182">
            <v>3000</v>
          </cell>
          <cell r="BI182"/>
          <cell r="BJ182">
            <v>2000</v>
          </cell>
          <cell r="BK182">
            <v>4000</v>
          </cell>
          <cell r="BL182"/>
          <cell r="BM182">
            <v>3000</v>
          </cell>
          <cell r="BN182">
            <v>2000</v>
          </cell>
          <cell r="BO182">
            <v>4000</v>
          </cell>
          <cell r="BP182"/>
          <cell r="BQ182">
            <v>2000</v>
          </cell>
          <cell r="BR182">
            <v>2000</v>
          </cell>
          <cell r="BS182"/>
          <cell r="BT182">
            <v>4000</v>
          </cell>
          <cell r="BU182"/>
          <cell r="BV182">
            <v>2000</v>
          </cell>
          <cell r="BW182">
            <v>4000</v>
          </cell>
          <cell r="BX182">
            <v>2000</v>
          </cell>
          <cell r="BY182">
            <v>5000</v>
          </cell>
          <cell r="BZ182"/>
          <cell r="CA182">
            <v>4000</v>
          </cell>
          <cell r="CB182">
            <v>2000</v>
          </cell>
          <cell r="CC182"/>
          <cell r="CD182">
            <v>2000</v>
          </cell>
          <cell r="CE182">
            <v>3000</v>
          </cell>
          <cell r="CF182">
            <v>4000</v>
          </cell>
          <cell r="CG182">
            <v>2000</v>
          </cell>
          <cell r="CH182"/>
          <cell r="CI182">
            <v>4000</v>
          </cell>
          <cell r="CJ182">
            <v>2000</v>
          </cell>
          <cell r="CK182"/>
          <cell r="CL182">
            <v>2000</v>
          </cell>
          <cell r="CM182">
            <v>2000</v>
          </cell>
          <cell r="CN182">
            <v>4000</v>
          </cell>
          <cell r="CO182">
            <v>2000</v>
          </cell>
          <cell r="CP182">
            <v>2000</v>
          </cell>
          <cell r="CQ182">
            <v>2000</v>
          </cell>
          <cell r="CR182"/>
          <cell r="CS182"/>
          <cell r="CT182">
            <v>4000</v>
          </cell>
          <cell r="CU182">
            <v>2000</v>
          </cell>
          <cell r="CV182">
            <v>2000</v>
          </cell>
          <cell r="CW182">
            <v>2000</v>
          </cell>
          <cell r="CX182"/>
          <cell r="CY182">
            <v>3000</v>
          </cell>
          <cell r="CZ182">
            <v>2000</v>
          </cell>
          <cell r="DA182"/>
          <cell r="DB182">
            <v>3000</v>
          </cell>
          <cell r="DC182">
            <v>2000</v>
          </cell>
          <cell r="DD182"/>
          <cell r="DE182">
            <v>3000</v>
          </cell>
          <cell r="DF182">
            <v>2000</v>
          </cell>
          <cell r="DG182">
            <v>3000</v>
          </cell>
          <cell r="DH182"/>
          <cell r="DI182"/>
          <cell r="DJ182">
            <v>2000</v>
          </cell>
          <cell r="DK182">
            <v>4000</v>
          </cell>
          <cell r="DL182">
            <v>2000</v>
          </cell>
          <cell r="DM182">
            <v>2000</v>
          </cell>
          <cell r="DN182">
            <v>2000</v>
          </cell>
          <cell r="DO182">
            <v>2000</v>
          </cell>
          <cell r="DP182">
            <v>2000</v>
          </cell>
          <cell r="DQ182">
            <v>2000</v>
          </cell>
          <cell r="DR182">
            <v>2000</v>
          </cell>
          <cell r="DS182">
            <v>2000</v>
          </cell>
          <cell r="DT182">
            <v>2000</v>
          </cell>
          <cell r="DU182">
            <v>2000</v>
          </cell>
          <cell r="DV182">
            <v>2000</v>
          </cell>
          <cell r="DW182">
            <v>2000</v>
          </cell>
          <cell r="DX182">
            <v>2000</v>
          </cell>
          <cell r="DY182">
            <v>5000</v>
          </cell>
          <cell r="DZ182">
            <v>5000</v>
          </cell>
          <cell r="EA182"/>
          <cell r="EB182">
            <v>4000</v>
          </cell>
          <cell r="EC182">
            <v>2000</v>
          </cell>
          <cell r="ED182">
            <v>2000</v>
          </cell>
          <cell r="EE182">
            <v>2000</v>
          </cell>
          <cell r="EF182">
            <v>3000</v>
          </cell>
          <cell r="EG182">
            <v>2000</v>
          </cell>
          <cell r="EH182">
            <v>2000</v>
          </cell>
          <cell r="EI182"/>
          <cell r="EJ182" t="str">
            <v>ACTIVO</v>
          </cell>
          <cell r="EK182" t="str">
            <v>C</v>
          </cell>
          <cell r="EL182">
            <v>10000</v>
          </cell>
          <cell r="EM182">
            <v>2478.2608695652175</v>
          </cell>
          <cell r="EN182">
            <v>413.04347826086956</v>
          </cell>
          <cell r="EO182">
            <v>920.75792887416219</v>
          </cell>
          <cell r="EP182">
            <v>0</v>
          </cell>
          <cell r="EQ182">
            <v>0</v>
          </cell>
          <cell r="ER182">
            <v>0</v>
          </cell>
          <cell r="ES182">
            <v>2478.2608695652175</v>
          </cell>
        </row>
        <row r="183">
          <cell r="F183">
            <v>405127</v>
          </cell>
          <cell r="G183" t="str">
            <v>ETIQ.CIRCULAR 9cm TORTA PANQUEQUE NARANJA JUMBO</v>
          </cell>
          <cell r="H183"/>
          <cell r="I183">
            <v>4000</v>
          </cell>
          <cell r="J183">
            <v>8000</v>
          </cell>
          <cell r="K183">
            <v>5000</v>
          </cell>
          <cell r="L183"/>
          <cell r="M183"/>
          <cell r="N183"/>
          <cell r="O183">
            <v>6000</v>
          </cell>
          <cell r="P183">
            <v>3000</v>
          </cell>
          <cell r="Q183">
            <v>7000</v>
          </cell>
          <cell r="R183"/>
          <cell r="S183">
            <v>2000</v>
          </cell>
          <cell r="T183">
            <v>3000</v>
          </cell>
          <cell r="U183"/>
          <cell r="V183">
            <v>6000</v>
          </cell>
          <cell r="W183">
            <v>3000</v>
          </cell>
          <cell r="X183">
            <v>6000</v>
          </cell>
          <cell r="Y183"/>
          <cell r="Z183">
            <v>1000</v>
          </cell>
          <cell r="AA183">
            <v>3000</v>
          </cell>
          <cell r="AB183">
            <v>10000</v>
          </cell>
          <cell r="AC183">
            <v>3000</v>
          </cell>
          <cell r="AD183"/>
          <cell r="AE183">
            <v>9000</v>
          </cell>
          <cell r="AF183">
            <v>3000</v>
          </cell>
          <cell r="AG183">
            <v>3000</v>
          </cell>
          <cell r="AH183">
            <v>3000</v>
          </cell>
          <cell r="AI183">
            <v>3000</v>
          </cell>
          <cell r="AJ183">
            <v>3000</v>
          </cell>
          <cell r="AK183">
            <v>3000</v>
          </cell>
          <cell r="AL183">
            <v>5000</v>
          </cell>
          <cell r="AM183">
            <v>3000</v>
          </cell>
          <cell r="AN183">
            <v>3000</v>
          </cell>
          <cell r="AO183"/>
          <cell r="AP183">
            <v>2000</v>
          </cell>
          <cell r="AQ183">
            <v>6000</v>
          </cell>
          <cell r="AR183"/>
          <cell r="AS183">
            <v>3000</v>
          </cell>
          <cell r="AT183">
            <v>3000</v>
          </cell>
          <cell r="AU183"/>
          <cell r="AV183">
            <v>3000</v>
          </cell>
          <cell r="AW183">
            <v>3000</v>
          </cell>
          <cell r="AX183">
            <v>4000</v>
          </cell>
          <cell r="AY183">
            <v>3000</v>
          </cell>
          <cell r="AZ183"/>
          <cell r="BA183">
            <v>6000</v>
          </cell>
          <cell r="BB183">
            <v>1000</v>
          </cell>
          <cell r="BC183"/>
          <cell r="BD183">
            <v>3000</v>
          </cell>
          <cell r="BE183">
            <v>3000</v>
          </cell>
          <cell r="BF183">
            <v>3</v>
          </cell>
          <cell r="BG183">
            <v>7997</v>
          </cell>
          <cell r="BH183">
            <v>3000</v>
          </cell>
          <cell r="BI183"/>
          <cell r="BJ183">
            <v>1000</v>
          </cell>
          <cell r="BK183">
            <v>6000</v>
          </cell>
          <cell r="BL183"/>
          <cell r="BM183">
            <v>1000</v>
          </cell>
          <cell r="BN183">
            <v>2000</v>
          </cell>
          <cell r="BO183">
            <v>6000</v>
          </cell>
          <cell r="BP183"/>
          <cell r="BQ183">
            <v>3000</v>
          </cell>
          <cell r="BR183">
            <v>3000</v>
          </cell>
          <cell r="BS183">
            <v>3000</v>
          </cell>
          <cell r="BT183">
            <v>7000</v>
          </cell>
          <cell r="BU183"/>
          <cell r="BV183">
            <v>4000</v>
          </cell>
          <cell r="BW183">
            <v>3000</v>
          </cell>
          <cell r="BX183">
            <v>7000</v>
          </cell>
          <cell r="BY183">
            <v>1000</v>
          </cell>
          <cell r="BZ183"/>
          <cell r="CA183">
            <v>8000</v>
          </cell>
          <cell r="CB183">
            <v>3000</v>
          </cell>
          <cell r="CC183"/>
          <cell r="CD183">
            <v>3000</v>
          </cell>
          <cell r="CE183"/>
          <cell r="CF183">
            <v>6000</v>
          </cell>
          <cell r="CG183">
            <v>5000</v>
          </cell>
          <cell r="CH183"/>
          <cell r="CI183">
            <v>3000</v>
          </cell>
          <cell r="CJ183">
            <v>3000</v>
          </cell>
          <cell r="CK183"/>
          <cell r="CL183">
            <v>5000</v>
          </cell>
          <cell r="CM183"/>
          <cell r="CN183">
            <v>6000</v>
          </cell>
          <cell r="CO183">
            <v>4000</v>
          </cell>
          <cell r="CP183">
            <v>3000</v>
          </cell>
          <cell r="CQ183">
            <v>5000</v>
          </cell>
          <cell r="CR183">
            <v>1000</v>
          </cell>
          <cell r="CS183"/>
          <cell r="CT183">
            <v>4000</v>
          </cell>
          <cell r="CU183">
            <v>2000</v>
          </cell>
          <cell r="CV183">
            <v>3000</v>
          </cell>
          <cell r="CW183">
            <v>4000</v>
          </cell>
          <cell r="CX183">
            <v>3000</v>
          </cell>
          <cell r="CY183">
            <v>5000</v>
          </cell>
          <cell r="CZ183">
            <v>4000</v>
          </cell>
          <cell r="DA183"/>
          <cell r="DB183">
            <v>5000</v>
          </cell>
          <cell r="DC183">
            <v>4000</v>
          </cell>
          <cell r="DD183"/>
          <cell r="DE183">
            <v>3000</v>
          </cell>
          <cell r="DF183">
            <v>1000</v>
          </cell>
          <cell r="DG183">
            <v>2000</v>
          </cell>
          <cell r="DH183"/>
          <cell r="DI183"/>
          <cell r="DJ183">
            <v>3000</v>
          </cell>
          <cell r="DK183">
            <v>3000</v>
          </cell>
          <cell r="DL183">
            <v>3000</v>
          </cell>
          <cell r="DM183">
            <v>8000</v>
          </cell>
          <cell r="DN183">
            <v>1000</v>
          </cell>
          <cell r="DO183">
            <v>4000</v>
          </cell>
          <cell r="DP183">
            <v>5000</v>
          </cell>
          <cell r="DQ183">
            <v>2000</v>
          </cell>
          <cell r="DR183">
            <v>5000</v>
          </cell>
          <cell r="DS183">
            <v>5000</v>
          </cell>
          <cell r="DT183">
            <v>5000</v>
          </cell>
          <cell r="DU183">
            <v>2000</v>
          </cell>
          <cell r="DV183"/>
          <cell r="DW183">
            <v>3000</v>
          </cell>
          <cell r="DX183">
            <v>4000</v>
          </cell>
          <cell r="DY183">
            <v>6000</v>
          </cell>
          <cell r="DZ183"/>
          <cell r="EA183"/>
          <cell r="EB183">
            <v>7000</v>
          </cell>
          <cell r="EC183">
            <v>3000</v>
          </cell>
          <cell r="ED183">
            <v>3000</v>
          </cell>
          <cell r="EE183">
            <v>6000</v>
          </cell>
          <cell r="EF183">
            <v>4000</v>
          </cell>
          <cell r="EG183">
            <v>3000</v>
          </cell>
          <cell r="EH183">
            <v>7000</v>
          </cell>
          <cell r="EI183"/>
          <cell r="EJ183" t="str">
            <v>ACTIVO</v>
          </cell>
          <cell r="EK183" t="str">
            <v>C</v>
          </cell>
          <cell r="EL183">
            <v>10000</v>
          </cell>
          <cell r="EM183">
            <v>4047.6190476190477</v>
          </cell>
          <cell r="EN183">
            <v>674.60317460317458</v>
          </cell>
          <cell r="EO183">
            <v>1791.0408316001174</v>
          </cell>
          <cell r="EP183">
            <v>0</v>
          </cell>
          <cell r="EQ183">
            <v>0</v>
          </cell>
          <cell r="ER183">
            <v>0</v>
          </cell>
          <cell r="ES183">
            <v>4047.6190476190477</v>
          </cell>
        </row>
        <row r="184">
          <cell r="F184">
            <v>405130</v>
          </cell>
          <cell r="G184" t="str">
            <v>ETIQUETAS CIRCULAR 9cm IMPR. TORTA TRUFFA JUMBO</v>
          </cell>
          <cell r="H184"/>
          <cell r="I184">
            <v>2000</v>
          </cell>
          <cell r="J184">
            <v>2000</v>
          </cell>
          <cell r="K184">
            <v>1000</v>
          </cell>
          <cell r="L184"/>
          <cell r="M184"/>
          <cell r="N184"/>
          <cell r="O184">
            <v>2000</v>
          </cell>
          <cell r="P184">
            <v>2000</v>
          </cell>
          <cell r="Q184">
            <v>3000</v>
          </cell>
          <cell r="R184"/>
          <cell r="S184">
            <v>2000</v>
          </cell>
          <cell r="T184">
            <v>2000</v>
          </cell>
          <cell r="U184">
            <v>4000</v>
          </cell>
          <cell r="V184">
            <v>2000</v>
          </cell>
          <cell r="W184">
            <v>2000</v>
          </cell>
          <cell r="X184">
            <v>3000</v>
          </cell>
          <cell r="Y184"/>
          <cell r="Z184"/>
          <cell r="AA184">
            <v>2000</v>
          </cell>
          <cell r="AB184">
            <v>4000</v>
          </cell>
          <cell r="AC184">
            <v>2000</v>
          </cell>
          <cell r="AD184"/>
          <cell r="AE184">
            <v>2000</v>
          </cell>
          <cell r="AF184">
            <v>2000</v>
          </cell>
          <cell r="AG184"/>
          <cell r="AH184">
            <v>2000</v>
          </cell>
          <cell r="AI184">
            <v>2000</v>
          </cell>
          <cell r="AJ184">
            <v>2000</v>
          </cell>
          <cell r="AK184">
            <v>2000</v>
          </cell>
          <cell r="AL184">
            <v>2000</v>
          </cell>
          <cell r="AM184">
            <v>2000</v>
          </cell>
          <cell r="AN184">
            <v>2000</v>
          </cell>
          <cell r="AO184"/>
          <cell r="AP184"/>
          <cell r="AQ184">
            <v>1000</v>
          </cell>
          <cell r="AR184"/>
          <cell r="AS184">
            <v>1000</v>
          </cell>
          <cell r="AT184">
            <v>1000</v>
          </cell>
          <cell r="AU184"/>
          <cell r="AV184">
            <v>2000</v>
          </cell>
          <cell r="AW184">
            <v>1000</v>
          </cell>
          <cell r="AX184">
            <v>3000</v>
          </cell>
          <cell r="AY184"/>
          <cell r="AZ184"/>
          <cell r="BA184">
            <v>1000</v>
          </cell>
          <cell r="BB184">
            <v>1000</v>
          </cell>
          <cell r="BC184"/>
          <cell r="BD184">
            <v>1000</v>
          </cell>
          <cell r="BE184">
            <v>1000</v>
          </cell>
          <cell r="BF184">
            <v>1</v>
          </cell>
          <cell r="BG184">
            <v>1999</v>
          </cell>
          <cell r="BH184">
            <v>1000</v>
          </cell>
          <cell r="BI184"/>
          <cell r="BJ184"/>
          <cell r="BK184">
            <v>2000</v>
          </cell>
          <cell r="BL184"/>
          <cell r="BM184">
            <v>2000</v>
          </cell>
          <cell r="BN184">
            <v>1000</v>
          </cell>
          <cell r="BO184">
            <v>4000</v>
          </cell>
          <cell r="BP184"/>
          <cell r="BQ184">
            <v>3000</v>
          </cell>
          <cell r="BR184">
            <v>3000</v>
          </cell>
          <cell r="BS184"/>
          <cell r="BT184">
            <v>6000</v>
          </cell>
          <cell r="BU184"/>
          <cell r="BV184">
            <v>1000</v>
          </cell>
          <cell r="BW184">
            <v>2000</v>
          </cell>
          <cell r="BX184">
            <v>2000</v>
          </cell>
          <cell r="BY184"/>
          <cell r="BZ184"/>
          <cell r="CA184">
            <v>3000</v>
          </cell>
          <cell r="CB184"/>
          <cell r="CC184"/>
          <cell r="CD184"/>
          <cell r="CE184"/>
          <cell r="CF184">
            <v>2000</v>
          </cell>
          <cell r="CG184">
            <v>2000</v>
          </cell>
          <cell r="CH184"/>
          <cell r="CI184"/>
          <cell r="CJ184">
            <v>1000</v>
          </cell>
          <cell r="CK184">
            <v>1000</v>
          </cell>
          <cell r="CL184"/>
          <cell r="CM184">
            <v>1000</v>
          </cell>
          <cell r="CN184">
            <v>2000</v>
          </cell>
          <cell r="CO184">
            <v>2000</v>
          </cell>
          <cell r="CP184">
            <v>2000</v>
          </cell>
          <cell r="CQ184"/>
          <cell r="CR184"/>
          <cell r="CS184"/>
          <cell r="CT184">
            <v>2000</v>
          </cell>
          <cell r="CU184">
            <v>3000</v>
          </cell>
          <cell r="CV184">
            <v>2000</v>
          </cell>
          <cell r="CW184"/>
          <cell r="CX184">
            <v>2000</v>
          </cell>
          <cell r="CY184"/>
          <cell r="CZ184"/>
          <cell r="DA184"/>
          <cell r="DB184"/>
          <cell r="DC184"/>
          <cell r="DD184"/>
          <cell r="DE184">
            <v>1000</v>
          </cell>
          <cell r="DF184"/>
          <cell r="DG184"/>
          <cell r="DH184"/>
          <cell r="DI184"/>
          <cell r="DJ184"/>
          <cell r="DK184">
            <v>1000</v>
          </cell>
          <cell r="DL184">
            <v>2000</v>
          </cell>
          <cell r="DM184">
            <v>1000</v>
          </cell>
          <cell r="DN184">
            <v>2000</v>
          </cell>
          <cell r="DO184">
            <v>1000</v>
          </cell>
          <cell r="DP184"/>
          <cell r="DQ184">
            <v>2000</v>
          </cell>
          <cell r="DR184">
            <v>1000</v>
          </cell>
          <cell r="DS184">
            <v>1000</v>
          </cell>
          <cell r="DT184">
            <v>1000</v>
          </cell>
          <cell r="DU184">
            <v>1000</v>
          </cell>
          <cell r="DV184"/>
          <cell r="DW184">
            <v>2000</v>
          </cell>
          <cell r="DX184">
            <v>2000</v>
          </cell>
          <cell r="DY184">
            <v>1000</v>
          </cell>
          <cell r="DZ184"/>
          <cell r="EA184"/>
          <cell r="EB184">
            <v>4000</v>
          </cell>
          <cell r="EC184"/>
          <cell r="ED184">
            <v>1000</v>
          </cell>
          <cell r="EE184"/>
          <cell r="EF184"/>
          <cell r="EG184">
            <v>1000</v>
          </cell>
          <cell r="EH184"/>
          <cell r="EI184">
            <v>1000</v>
          </cell>
          <cell r="EJ184" t="str">
            <v>ACTIVO</v>
          </cell>
          <cell r="EK184" t="str">
            <v>C</v>
          </cell>
          <cell r="EL184">
            <v>10000</v>
          </cell>
          <cell r="EM184">
            <v>1500</v>
          </cell>
          <cell r="EN184">
            <v>250</v>
          </cell>
          <cell r="EO184">
            <v>1129.8967504452196</v>
          </cell>
          <cell r="EP184">
            <v>8000</v>
          </cell>
          <cell r="EQ184">
            <v>180960</v>
          </cell>
          <cell r="ER184">
            <v>5.333333333333333</v>
          </cell>
          <cell r="ES184">
            <v>1500</v>
          </cell>
        </row>
        <row r="185">
          <cell r="F185">
            <v>405131</v>
          </cell>
          <cell r="G185" t="str">
            <v>ETIQUETAS CIRCULAR 9cm IMPR. TORTA 4 LECHES JUMBO</v>
          </cell>
          <cell r="H185"/>
          <cell r="I185">
            <v>2000</v>
          </cell>
          <cell r="J185">
            <v>2000</v>
          </cell>
          <cell r="K185">
            <v>2000</v>
          </cell>
          <cell r="L185"/>
          <cell r="M185"/>
          <cell r="N185"/>
          <cell r="O185">
            <v>2000</v>
          </cell>
          <cell r="P185">
            <v>2000</v>
          </cell>
          <cell r="Q185">
            <v>2000</v>
          </cell>
          <cell r="R185"/>
          <cell r="S185">
            <v>1000</v>
          </cell>
          <cell r="T185">
            <v>2000</v>
          </cell>
          <cell r="U185">
            <v>2000</v>
          </cell>
          <cell r="V185">
            <v>2000</v>
          </cell>
          <cell r="W185">
            <v>2000</v>
          </cell>
          <cell r="X185">
            <v>2000</v>
          </cell>
          <cell r="Y185"/>
          <cell r="Z185">
            <v>3000</v>
          </cell>
          <cell r="AA185">
            <v>2000</v>
          </cell>
          <cell r="AB185">
            <v>4000</v>
          </cell>
          <cell r="AC185">
            <v>2000</v>
          </cell>
          <cell r="AD185"/>
          <cell r="AE185">
            <v>2000</v>
          </cell>
          <cell r="AF185">
            <v>2000</v>
          </cell>
          <cell r="AG185"/>
          <cell r="AH185">
            <v>2000</v>
          </cell>
          <cell r="AI185">
            <v>2000</v>
          </cell>
          <cell r="AJ185">
            <v>2000</v>
          </cell>
          <cell r="AK185">
            <v>2000</v>
          </cell>
          <cell r="AL185">
            <v>2000</v>
          </cell>
          <cell r="AM185">
            <v>2000</v>
          </cell>
          <cell r="AN185">
            <v>2000</v>
          </cell>
          <cell r="AO185"/>
          <cell r="AP185">
            <v>2000</v>
          </cell>
          <cell r="AQ185">
            <v>2000</v>
          </cell>
          <cell r="AR185"/>
          <cell r="AS185">
            <v>2000</v>
          </cell>
          <cell r="AT185">
            <v>2000</v>
          </cell>
          <cell r="AU185"/>
          <cell r="AV185">
            <v>2000</v>
          </cell>
          <cell r="AW185">
            <v>2000</v>
          </cell>
          <cell r="AX185">
            <v>2000</v>
          </cell>
          <cell r="AY185">
            <v>2000</v>
          </cell>
          <cell r="AZ185"/>
          <cell r="BA185">
            <v>4000</v>
          </cell>
          <cell r="BB185"/>
          <cell r="BC185"/>
          <cell r="BD185">
            <v>2000</v>
          </cell>
          <cell r="BE185">
            <v>2000</v>
          </cell>
          <cell r="BF185">
            <v>2</v>
          </cell>
          <cell r="BG185">
            <v>3998</v>
          </cell>
          <cell r="BH185">
            <v>2000</v>
          </cell>
          <cell r="BI185"/>
          <cell r="BJ185"/>
          <cell r="BK185">
            <v>4000</v>
          </cell>
          <cell r="BL185"/>
          <cell r="BM185">
            <v>3000</v>
          </cell>
          <cell r="BN185">
            <v>2000</v>
          </cell>
          <cell r="BO185">
            <v>2000</v>
          </cell>
          <cell r="BP185"/>
          <cell r="BQ185"/>
          <cell r="BR185">
            <v>2000</v>
          </cell>
          <cell r="BS185">
            <v>1000</v>
          </cell>
          <cell r="BT185">
            <v>4000</v>
          </cell>
          <cell r="BU185"/>
          <cell r="BV185">
            <v>2000</v>
          </cell>
          <cell r="BW185">
            <v>2000</v>
          </cell>
          <cell r="BX185">
            <v>2000</v>
          </cell>
          <cell r="BY185">
            <v>3000</v>
          </cell>
          <cell r="BZ185"/>
          <cell r="CA185">
            <v>4000</v>
          </cell>
          <cell r="CB185">
            <v>2000</v>
          </cell>
          <cell r="CC185"/>
          <cell r="CD185">
            <v>2000</v>
          </cell>
          <cell r="CE185"/>
          <cell r="CF185">
            <v>4000</v>
          </cell>
          <cell r="CG185">
            <v>2000</v>
          </cell>
          <cell r="CH185"/>
          <cell r="CI185">
            <v>4000</v>
          </cell>
          <cell r="CJ185">
            <v>1000</v>
          </cell>
          <cell r="CK185"/>
          <cell r="CL185">
            <v>1000</v>
          </cell>
          <cell r="CM185">
            <v>1000</v>
          </cell>
          <cell r="CN185">
            <v>2000</v>
          </cell>
          <cell r="CO185">
            <v>1000</v>
          </cell>
          <cell r="CP185">
            <v>1000</v>
          </cell>
          <cell r="CQ185"/>
          <cell r="CR185"/>
          <cell r="CS185"/>
          <cell r="CT185">
            <v>2000</v>
          </cell>
          <cell r="CU185">
            <v>1000</v>
          </cell>
          <cell r="CV185">
            <v>1000</v>
          </cell>
          <cell r="CW185">
            <v>1000</v>
          </cell>
          <cell r="CX185"/>
          <cell r="CY185">
            <v>1000</v>
          </cell>
          <cell r="CZ185">
            <v>1000</v>
          </cell>
          <cell r="DA185"/>
          <cell r="DB185">
            <v>1000</v>
          </cell>
          <cell r="DC185">
            <v>2000</v>
          </cell>
          <cell r="DD185"/>
          <cell r="DE185">
            <v>3000</v>
          </cell>
          <cell r="DF185">
            <v>2000</v>
          </cell>
          <cell r="DG185">
            <v>2000</v>
          </cell>
          <cell r="DH185"/>
          <cell r="DI185"/>
          <cell r="DJ185">
            <v>1000</v>
          </cell>
          <cell r="DK185">
            <v>4000</v>
          </cell>
          <cell r="DL185">
            <v>2000</v>
          </cell>
          <cell r="DM185"/>
          <cell r="DN185">
            <v>2000</v>
          </cell>
          <cell r="DO185">
            <v>2000</v>
          </cell>
          <cell r="DP185">
            <v>2000</v>
          </cell>
          <cell r="DQ185">
            <v>2000</v>
          </cell>
          <cell r="DR185">
            <v>2000</v>
          </cell>
          <cell r="DS185">
            <v>2000</v>
          </cell>
          <cell r="DT185">
            <v>2000</v>
          </cell>
          <cell r="DU185">
            <v>2000</v>
          </cell>
          <cell r="DV185">
            <v>2000</v>
          </cell>
          <cell r="DW185">
            <v>2000</v>
          </cell>
          <cell r="DX185">
            <v>2000</v>
          </cell>
          <cell r="DY185">
            <v>3000</v>
          </cell>
          <cell r="DZ185">
            <v>3000</v>
          </cell>
          <cell r="EA185"/>
          <cell r="EB185">
            <v>4000</v>
          </cell>
          <cell r="EC185"/>
          <cell r="ED185">
            <v>2000</v>
          </cell>
          <cell r="EE185">
            <v>2000</v>
          </cell>
          <cell r="EF185">
            <v>2000</v>
          </cell>
          <cell r="EG185">
            <v>2000</v>
          </cell>
          <cell r="EH185">
            <v>2000</v>
          </cell>
          <cell r="EI185"/>
          <cell r="EJ185" t="str">
            <v>ACTIVO</v>
          </cell>
          <cell r="EK185" t="str">
            <v>C</v>
          </cell>
          <cell r="EL185">
            <v>10000</v>
          </cell>
          <cell r="EM185">
            <v>2238.0952380952381</v>
          </cell>
          <cell r="EN185">
            <v>373.01587301587301</v>
          </cell>
          <cell r="EO185">
            <v>1014.1851056742198</v>
          </cell>
          <cell r="EP185">
            <v>8000</v>
          </cell>
          <cell r="EQ185">
            <v>137360</v>
          </cell>
          <cell r="ER185">
            <v>3.5744680851063828</v>
          </cell>
          <cell r="ES185">
            <v>2238.0952380952381</v>
          </cell>
        </row>
        <row r="186">
          <cell r="F186">
            <v>405126</v>
          </cell>
          <cell r="G186" t="str">
            <v>ETIQUETAS CIRCULAR 9cm IMPR. TORTA BOM BOM</v>
          </cell>
          <cell r="H186"/>
          <cell r="I186">
            <v>1000</v>
          </cell>
          <cell r="J186">
            <v>1000</v>
          </cell>
          <cell r="K186">
            <v>1000</v>
          </cell>
          <cell r="L186"/>
          <cell r="M186"/>
          <cell r="N186"/>
          <cell r="O186">
            <v>1000</v>
          </cell>
          <cell r="P186">
            <v>1000</v>
          </cell>
          <cell r="Q186">
            <v>3000</v>
          </cell>
          <cell r="R186"/>
          <cell r="S186">
            <v>1000</v>
          </cell>
          <cell r="T186">
            <v>1000</v>
          </cell>
          <cell r="U186">
            <v>4000</v>
          </cell>
          <cell r="V186">
            <v>1000</v>
          </cell>
          <cell r="W186">
            <v>1000</v>
          </cell>
          <cell r="X186">
            <v>2000</v>
          </cell>
          <cell r="Y186"/>
          <cell r="Z186"/>
          <cell r="AA186">
            <v>1000</v>
          </cell>
          <cell r="AB186">
            <v>2000</v>
          </cell>
          <cell r="AC186">
            <v>1000</v>
          </cell>
          <cell r="AD186"/>
          <cell r="AE186">
            <v>1000</v>
          </cell>
          <cell r="AF186">
            <v>1000</v>
          </cell>
          <cell r="AG186"/>
          <cell r="AH186">
            <v>1000</v>
          </cell>
          <cell r="AI186">
            <v>1000</v>
          </cell>
          <cell r="AJ186">
            <v>1000</v>
          </cell>
          <cell r="AK186">
            <v>2000</v>
          </cell>
          <cell r="AL186">
            <v>2000</v>
          </cell>
          <cell r="AM186">
            <v>2000</v>
          </cell>
          <cell r="AN186">
            <v>2000</v>
          </cell>
          <cell r="AO186"/>
          <cell r="AP186"/>
          <cell r="AQ186">
            <v>1000</v>
          </cell>
          <cell r="AR186"/>
          <cell r="AS186">
            <v>1000</v>
          </cell>
          <cell r="AT186">
            <v>1000</v>
          </cell>
          <cell r="AU186"/>
          <cell r="AV186">
            <v>1000</v>
          </cell>
          <cell r="AW186">
            <v>1000</v>
          </cell>
          <cell r="AX186">
            <v>1000</v>
          </cell>
          <cell r="AY186"/>
          <cell r="AZ186">
            <v>1000</v>
          </cell>
          <cell r="BA186">
            <v>2000</v>
          </cell>
          <cell r="BB186"/>
          <cell r="BC186"/>
          <cell r="BD186">
            <v>1000</v>
          </cell>
          <cell r="BE186">
            <v>1000</v>
          </cell>
          <cell r="BF186">
            <v>1</v>
          </cell>
          <cell r="BG186">
            <v>2999</v>
          </cell>
          <cell r="BH186">
            <v>1000</v>
          </cell>
          <cell r="BI186"/>
          <cell r="BJ186">
            <v>1000</v>
          </cell>
          <cell r="BK186">
            <v>2000</v>
          </cell>
          <cell r="BL186"/>
          <cell r="BM186">
            <v>3000</v>
          </cell>
          <cell r="BN186">
            <v>2000</v>
          </cell>
          <cell r="BO186">
            <v>5000</v>
          </cell>
          <cell r="BP186"/>
          <cell r="BQ186">
            <v>3000</v>
          </cell>
          <cell r="BR186">
            <v>3000</v>
          </cell>
          <cell r="BS186"/>
          <cell r="BT186">
            <v>6000</v>
          </cell>
          <cell r="BU186"/>
          <cell r="BV186">
            <v>1000</v>
          </cell>
          <cell r="BW186">
            <v>2000</v>
          </cell>
          <cell r="BX186">
            <v>2000</v>
          </cell>
          <cell r="BY186"/>
          <cell r="BZ186"/>
          <cell r="CA186">
            <v>3000</v>
          </cell>
          <cell r="CB186"/>
          <cell r="CC186"/>
          <cell r="CD186">
            <v>1000</v>
          </cell>
          <cell r="CE186">
            <v>1000</v>
          </cell>
          <cell r="CF186">
            <v>2000</v>
          </cell>
          <cell r="CG186">
            <v>2000</v>
          </cell>
          <cell r="CH186"/>
          <cell r="CI186"/>
          <cell r="CJ186">
            <v>2000</v>
          </cell>
          <cell r="CK186"/>
          <cell r="CL186"/>
          <cell r="CM186">
            <v>2000</v>
          </cell>
          <cell r="CN186">
            <v>3000</v>
          </cell>
          <cell r="CO186"/>
          <cell r="CP186">
            <v>3000</v>
          </cell>
          <cell r="CQ186"/>
          <cell r="CR186"/>
          <cell r="CS186"/>
          <cell r="CT186">
            <v>4000</v>
          </cell>
          <cell r="CU186">
            <v>1000</v>
          </cell>
          <cell r="CV186">
            <v>1000</v>
          </cell>
          <cell r="CW186">
            <v>2000</v>
          </cell>
          <cell r="CX186">
            <v>1000</v>
          </cell>
          <cell r="CY186">
            <v>2000</v>
          </cell>
          <cell r="CZ186"/>
          <cell r="DA186"/>
          <cell r="DB186">
            <v>2000</v>
          </cell>
          <cell r="DC186"/>
          <cell r="DD186"/>
          <cell r="DE186">
            <v>1000</v>
          </cell>
          <cell r="DF186">
            <v>1000</v>
          </cell>
          <cell r="DG186"/>
          <cell r="DH186"/>
          <cell r="DI186"/>
          <cell r="DJ186"/>
          <cell r="DK186">
            <v>2000</v>
          </cell>
          <cell r="DL186">
            <v>2000</v>
          </cell>
          <cell r="DM186">
            <v>1000</v>
          </cell>
          <cell r="DN186">
            <v>2000</v>
          </cell>
          <cell r="DO186">
            <v>1000</v>
          </cell>
          <cell r="DP186"/>
          <cell r="DQ186">
            <v>2000</v>
          </cell>
          <cell r="DR186">
            <v>1000</v>
          </cell>
          <cell r="DS186">
            <v>1000</v>
          </cell>
          <cell r="DT186">
            <v>1000</v>
          </cell>
          <cell r="DU186">
            <v>2000</v>
          </cell>
          <cell r="DV186"/>
          <cell r="DW186">
            <v>2000</v>
          </cell>
          <cell r="DX186">
            <v>2000</v>
          </cell>
          <cell r="DY186"/>
          <cell r="DZ186"/>
          <cell r="EA186"/>
          <cell r="EB186">
            <v>3000</v>
          </cell>
          <cell r="EC186"/>
          <cell r="ED186">
            <v>1000</v>
          </cell>
          <cell r="EE186"/>
          <cell r="EF186"/>
          <cell r="EG186"/>
          <cell r="EH186"/>
          <cell r="EI186"/>
          <cell r="EJ186" t="str">
            <v>ACTIVO</v>
          </cell>
          <cell r="EK186" t="str">
            <v>C</v>
          </cell>
          <cell r="EL186">
            <v>10000</v>
          </cell>
          <cell r="EM186">
            <v>1642.8571428571429</v>
          </cell>
          <cell r="EN186">
            <v>273.8095238095238</v>
          </cell>
          <cell r="EO186">
            <v>1234.0942045675145</v>
          </cell>
          <cell r="EP186">
            <v>8000</v>
          </cell>
          <cell r="EQ186">
            <v>176800</v>
          </cell>
          <cell r="ER186">
            <v>4.8695652173913047</v>
          </cell>
          <cell r="ES186">
            <v>1642.8571428571427</v>
          </cell>
        </row>
        <row r="187">
          <cell r="F187">
            <v>405206</v>
          </cell>
          <cell r="G187" t="str">
            <v>ETIQ.CIRCULAR 9cm IMPR. TORTA SAN JORGE GUINDA ARTESANAL JUMBO</v>
          </cell>
          <cell r="H187"/>
          <cell r="I187">
            <v>1000</v>
          </cell>
          <cell r="J187">
            <v>1000</v>
          </cell>
          <cell r="K187">
            <v>1000</v>
          </cell>
          <cell r="L187"/>
          <cell r="M187">
            <v>2000</v>
          </cell>
          <cell r="N187"/>
          <cell r="O187">
            <v>1000</v>
          </cell>
          <cell r="P187">
            <v>2000</v>
          </cell>
          <cell r="Q187">
            <v>2000</v>
          </cell>
          <cell r="R187"/>
          <cell r="S187">
            <v>2000</v>
          </cell>
          <cell r="T187">
            <v>2000</v>
          </cell>
          <cell r="U187">
            <v>2000</v>
          </cell>
          <cell r="V187">
            <v>2000</v>
          </cell>
          <cell r="W187">
            <v>2000</v>
          </cell>
          <cell r="X187">
            <v>3000</v>
          </cell>
          <cell r="Y187"/>
          <cell r="Z187"/>
          <cell r="AA187">
            <v>2000</v>
          </cell>
          <cell r="AB187">
            <v>4000</v>
          </cell>
          <cell r="AC187">
            <v>2000</v>
          </cell>
          <cell r="AD187">
            <v>1000</v>
          </cell>
          <cell r="AE187">
            <v>2000</v>
          </cell>
          <cell r="AF187">
            <v>2000</v>
          </cell>
          <cell r="AG187"/>
          <cell r="AH187">
            <v>2000</v>
          </cell>
          <cell r="AI187">
            <v>2000</v>
          </cell>
          <cell r="AJ187">
            <v>2000</v>
          </cell>
          <cell r="AK187">
            <v>3000</v>
          </cell>
          <cell r="AL187">
            <v>3000</v>
          </cell>
          <cell r="AM187">
            <v>3000</v>
          </cell>
          <cell r="AN187">
            <v>3000</v>
          </cell>
          <cell r="AO187"/>
          <cell r="AP187"/>
          <cell r="AQ187">
            <v>2000</v>
          </cell>
          <cell r="AR187"/>
          <cell r="AS187">
            <v>2000</v>
          </cell>
          <cell r="AT187">
            <v>2000</v>
          </cell>
          <cell r="AU187">
            <v>1000</v>
          </cell>
          <cell r="AV187">
            <v>3000</v>
          </cell>
          <cell r="AW187">
            <v>3000</v>
          </cell>
          <cell r="AX187">
            <v>5000</v>
          </cell>
          <cell r="AY187">
            <v>1000</v>
          </cell>
          <cell r="AZ187"/>
          <cell r="BA187">
            <v>5000</v>
          </cell>
          <cell r="BB187">
            <v>2000</v>
          </cell>
          <cell r="BC187"/>
          <cell r="BD187">
            <v>3000</v>
          </cell>
          <cell r="BE187">
            <v>3000</v>
          </cell>
          <cell r="BF187">
            <v>3</v>
          </cell>
          <cell r="BG187">
            <v>5997</v>
          </cell>
          <cell r="BH187">
            <v>3000</v>
          </cell>
          <cell r="BI187"/>
          <cell r="BJ187"/>
          <cell r="BK187">
            <v>6000</v>
          </cell>
          <cell r="BL187"/>
          <cell r="BM187">
            <v>9000</v>
          </cell>
          <cell r="BN187">
            <v>1000</v>
          </cell>
          <cell r="BO187">
            <v>4000</v>
          </cell>
          <cell r="BP187"/>
          <cell r="BQ187">
            <v>2000</v>
          </cell>
          <cell r="BR187">
            <v>3000</v>
          </cell>
          <cell r="BS187"/>
          <cell r="BT187">
            <v>6000</v>
          </cell>
          <cell r="BU187"/>
          <cell r="BV187">
            <v>3000</v>
          </cell>
          <cell r="BW187">
            <v>4000</v>
          </cell>
          <cell r="BX187">
            <v>3000</v>
          </cell>
          <cell r="BY187">
            <v>3000</v>
          </cell>
          <cell r="BZ187"/>
          <cell r="CA187">
            <v>6000</v>
          </cell>
          <cell r="CB187">
            <v>3000</v>
          </cell>
          <cell r="CC187"/>
          <cell r="CD187">
            <v>3000</v>
          </cell>
          <cell r="CE187">
            <v>3000</v>
          </cell>
          <cell r="CF187">
            <v>4000</v>
          </cell>
          <cell r="CG187">
            <v>2000</v>
          </cell>
          <cell r="CH187"/>
          <cell r="CI187">
            <v>4000</v>
          </cell>
          <cell r="CJ187">
            <v>2000</v>
          </cell>
          <cell r="CK187"/>
          <cell r="CL187">
            <v>2000</v>
          </cell>
          <cell r="CM187">
            <v>2000</v>
          </cell>
          <cell r="CN187">
            <v>4000</v>
          </cell>
          <cell r="CO187">
            <v>2000</v>
          </cell>
          <cell r="CP187">
            <v>2000</v>
          </cell>
          <cell r="CQ187"/>
          <cell r="CR187">
            <v>1000</v>
          </cell>
          <cell r="CS187"/>
          <cell r="CT187">
            <v>4000</v>
          </cell>
          <cell r="CU187">
            <v>5000</v>
          </cell>
          <cell r="CV187">
            <v>2000</v>
          </cell>
          <cell r="CW187">
            <v>2000</v>
          </cell>
          <cell r="CX187"/>
          <cell r="CY187">
            <v>2000</v>
          </cell>
          <cell r="CZ187">
            <v>2000</v>
          </cell>
          <cell r="DA187"/>
          <cell r="DB187">
            <v>3000</v>
          </cell>
          <cell r="DC187">
            <v>3000</v>
          </cell>
          <cell r="DD187"/>
          <cell r="DE187">
            <v>3000</v>
          </cell>
          <cell r="DF187">
            <v>2000</v>
          </cell>
          <cell r="DG187">
            <v>2000</v>
          </cell>
          <cell r="DH187"/>
          <cell r="DI187"/>
          <cell r="DJ187">
            <v>2000</v>
          </cell>
          <cell r="DK187">
            <v>4000</v>
          </cell>
          <cell r="DL187">
            <v>2000</v>
          </cell>
          <cell r="DM187"/>
          <cell r="DN187">
            <v>2000</v>
          </cell>
          <cell r="DO187">
            <v>2000</v>
          </cell>
          <cell r="DP187"/>
          <cell r="DQ187">
            <v>2000</v>
          </cell>
          <cell r="DR187">
            <v>2000</v>
          </cell>
          <cell r="DS187">
            <v>2000</v>
          </cell>
          <cell r="DT187">
            <v>2000</v>
          </cell>
          <cell r="DU187">
            <v>3000</v>
          </cell>
          <cell r="DV187">
            <v>2000</v>
          </cell>
          <cell r="DW187">
            <v>2000</v>
          </cell>
          <cell r="DX187">
            <v>2000</v>
          </cell>
          <cell r="DY187">
            <v>3000</v>
          </cell>
          <cell r="DZ187">
            <v>3000</v>
          </cell>
          <cell r="EA187"/>
          <cell r="EB187">
            <v>5000</v>
          </cell>
          <cell r="EC187">
            <v>3000</v>
          </cell>
          <cell r="ED187">
            <v>3000</v>
          </cell>
          <cell r="EE187">
            <v>3000</v>
          </cell>
          <cell r="EF187">
            <v>3000</v>
          </cell>
          <cell r="EG187">
            <v>3000</v>
          </cell>
          <cell r="EH187"/>
          <cell r="EI187"/>
          <cell r="EJ187" t="str">
            <v>ACTIVO</v>
          </cell>
          <cell r="EK187" t="str">
            <v>C</v>
          </cell>
          <cell r="EL187">
            <v>10000</v>
          </cell>
          <cell r="EM187">
            <v>2619.0476190476193</v>
          </cell>
          <cell r="EN187">
            <v>436.50793650793656</v>
          </cell>
          <cell r="EO187">
            <v>1607.5086575456082</v>
          </cell>
          <cell r="EP187">
            <v>5000</v>
          </cell>
          <cell r="EQ187">
            <v>147000</v>
          </cell>
          <cell r="ER187">
            <v>1.9090909090909089</v>
          </cell>
          <cell r="ES187">
            <v>2619.0476190476193</v>
          </cell>
        </row>
        <row r="188">
          <cell r="F188">
            <v>405205</v>
          </cell>
          <cell r="G188" t="str">
            <v>ETIQ.CIRCULAR 9cm IMPR. TORTA SAN JORGE LÚCUMA ARTESANAL JUMBO</v>
          </cell>
          <cell r="H188"/>
          <cell r="I188">
            <v>2000</v>
          </cell>
          <cell r="J188">
            <v>2000</v>
          </cell>
          <cell r="K188">
            <v>2000</v>
          </cell>
          <cell r="L188"/>
          <cell r="M188">
            <v>1000</v>
          </cell>
          <cell r="N188">
            <v>1000</v>
          </cell>
          <cell r="O188">
            <v>4000</v>
          </cell>
          <cell r="P188">
            <v>3000</v>
          </cell>
          <cell r="Q188">
            <v>1</v>
          </cell>
          <cell r="R188">
            <v>2000</v>
          </cell>
          <cell r="S188">
            <v>3000</v>
          </cell>
          <cell r="T188">
            <v>4000</v>
          </cell>
          <cell r="U188">
            <v>4000</v>
          </cell>
          <cell r="V188">
            <v>4000</v>
          </cell>
          <cell r="W188">
            <v>4000</v>
          </cell>
          <cell r="X188">
            <v>9000</v>
          </cell>
          <cell r="Y188"/>
          <cell r="Z188">
            <v>2000</v>
          </cell>
          <cell r="AA188">
            <v>4000</v>
          </cell>
          <cell r="AB188">
            <v>7000</v>
          </cell>
          <cell r="AC188">
            <v>4000</v>
          </cell>
          <cell r="AD188"/>
          <cell r="AE188">
            <v>11000</v>
          </cell>
          <cell r="AF188">
            <v>3000</v>
          </cell>
          <cell r="AG188">
            <v>3000</v>
          </cell>
          <cell r="AH188">
            <v>4000</v>
          </cell>
          <cell r="AI188">
            <v>5000</v>
          </cell>
          <cell r="AJ188">
            <v>4000</v>
          </cell>
          <cell r="AK188">
            <v>5000</v>
          </cell>
          <cell r="AL188">
            <v>6000</v>
          </cell>
          <cell r="AM188">
            <v>6000</v>
          </cell>
          <cell r="AN188">
            <v>6000</v>
          </cell>
          <cell r="AO188">
            <v>6000</v>
          </cell>
          <cell r="AP188">
            <v>6000</v>
          </cell>
          <cell r="AQ188">
            <v>6000</v>
          </cell>
          <cell r="AR188"/>
          <cell r="AS188">
            <v>5000</v>
          </cell>
          <cell r="AT188">
            <v>6000</v>
          </cell>
          <cell r="AU188">
            <v>1000</v>
          </cell>
          <cell r="AV188">
            <v>8000</v>
          </cell>
          <cell r="AW188">
            <v>6000</v>
          </cell>
          <cell r="AX188">
            <v>11000</v>
          </cell>
          <cell r="AY188">
            <v>7000</v>
          </cell>
          <cell r="AZ188"/>
          <cell r="BA188">
            <v>13000</v>
          </cell>
          <cell r="BB188">
            <v>7000</v>
          </cell>
          <cell r="BC188"/>
          <cell r="BD188">
            <v>5000</v>
          </cell>
          <cell r="BE188">
            <v>7000</v>
          </cell>
          <cell r="BF188">
            <v>7</v>
          </cell>
          <cell r="BG188">
            <v>22993</v>
          </cell>
          <cell r="BH188">
            <v>12000</v>
          </cell>
          <cell r="BI188"/>
          <cell r="BJ188">
            <v>5000</v>
          </cell>
          <cell r="BK188">
            <v>18000</v>
          </cell>
          <cell r="BL188"/>
          <cell r="BM188">
            <v>2000</v>
          </cell>
          <cell r="BN188">
            <v>8000</v>
          </cell>
          <cell r="BO188">
            <v>15000</v>
          </cell>
          <cell r="BP188"/>
          <cell r="BQ188">
            <v>8000</v>
          </cell>
          <cell r="BR188">
            <v>8000</v>
          </cell>
          <cell r="BS188">
            <v>2000</v>
          </cell>
          <cell r="BT188">
            <v>17000</v>
          </cell>
          <cell r="BU188">
            <v>1000</v>
          </cell>
          <cell r="BV188">
            <v>1000</v>
          </cell>
          <cell r="BW188">
            <v>14000</v>
          </cell>
          <cell r="BX188">
            <v>7000</v>
          </cell>
          <cell r="BY188">
            <v>17000</v>
          </cell>
          <cell r="BZ188"/>
          <cell r="CA188">
            <v>16000</v>
          </cell>
          <cell r="CB188">
            <v>8000</v>
          </cell>
          <cell r="CC188"/>
          <cell r="CD188">
            <v>8000</v>
          </cell>
          <cell r="CE188">
            <v>12000</v>
          </cell>
          <cell r="CF188">
            <v>15000</v>
          </cell>
          <cell r="CG188">
            <v>7000</v>
          </cell>
          <cell r="CH188"/>
          <cell r="CI188">
            <v>14000</v>
          </cell>
          <cell r="CJ188">
            <v>7000</v>
          </cell>
          <cell r="CK188"/>
          <cell r="CL188">
            <v>7000</v>
          </cell>
          <cell r="CM188">
            <v>7000</v>
          </cell>
          <cell r="CN188">
            <v>14000</v>
          </cell>
          <cell r="CO188">
            <v>7000</v>
          </cell>
          <cell r="CP188">
            <v>7000</v>
          </cell>
          <cell r="CQ188"/>
          <cell r="CR188">
            <v>5000</v>
          </cell>
          <cell r="CS188"/>
          <cell r="CT188">
            <v>13000</v>
          </cell>
          <cell r="CU188">
            <v>7000</v>
          </cell>
          <cell r="CV188">
            <v>6000</v>
          </cell>
          <cell r="CW188">
            <v>7000</v>
          </cell>
          <cell r="CX188">
            <v>3000</v>
          </cell>
          <cell r="CY188">
            <v>8000</v>
          </cell>
          <cell r="CZ188">
            <v>9000</v>
          </cell>
          <cell r="DA188"/>
          <cell r="DB188">
            <v>10000</v>
          </cell>
          <cell r="DC188">
            <v>6000</v>
          </cell>
          <cell r="DD188"/>
          <cell r="DE188">
            <v>9000</v>
          </cell>
          <cell r="DF188">
            <v>6000</v>
          </cell>
          <cell r="DG188">
            <v>10000</v>
          </cell>
          <cell r="DH188"/>
          <cell r="DI188"/>
          <cell r="DJ188"/>
          <cell r="DK188">
            <v>12000</v>
          </cell>
          <cell r="DL188">
            <v>3000</v>
          </cell>
          <cell r="DM188"/>
          <cell r="DN188">
            <v>7000</v>
          </cell>
          <cell r="DO188">
            <v>9000</v>
          </cell>
          <cell r="DP188">
            <v>6000</v>
          </cell>
          <cell r="DQ188">
            <v>6000</v>
          </cell>
          <cell r="DR188">
            <v>6000</v>
          </cell>
          <cell r="DS188">
            <v>6000</v>
          </cell>
          <cell r="DT188">
            <v>12000</v>
          </cell>
          <cell r="DU188">
            <v>6000</v>
          </cell>
          <cell r="DV188">
            <v>6000</v>
          </cell>
          <cell r="DW188">
            <v>6000</v>
          </cell>
          <cell r="DX188">
            <v>6000</v>
          </cell>
          <cell r="DY188">
            <v>16000</v>
          </cell>
          <cell r="DZ188">
            <v>5000</v>
          </cell>
          <cell r="EA188"/>
          <cell r="EB188">
            <v>12000</v>
          </cell>
          <cell r="EC188">
            <v>6000</v>
          </cell>
          <cell r="ED188">
            <v>6000</v>
          </cell>
          <cell r="EE188">
            <v>6000</v>
          </cell>
          <cell r="EF188">
            <v>12000</v>
          </cell>
          <cell r="EG188">
            <v>3000</v>
          </cell>
          <cell r="EH188">
            <v>8000</v>
          </cell>
          <cell r="EI188"/>
          <cell r="EJ188" t="str">
            <v>ACTIVO</v>
          </cell>
          <cell r="EK188" t="str">
            <v>C</v>
          </cell>
          <cell r="EL188">
            <v>10000</v>
          </cell>
          <cell r="EM188">
            <v>7476.1904761904761</v>
          </cell>
          <cell r="EN188">
            <v>1246.031746031746</v>
          </cell>
          <cell r="EO188">
            <v>4480.8535772202822</v>
          </cell>
          <cell r="EP188">
            <v>2000</v>
          </cell>
          <cell r="EQ188">
            <v>58800</v>
          </cell>
          <cell r="ER188">
            <v>0.26751592356687898</v>
          </cell>
          <cell r="ES188">
            <v>7476.1904761904761</v>
          </cell>
        </row>
        <row r="189">
          <cell r="F189">
            <v>393423</v>
          </cell>
          <cell r="G189" t="str">
            <v>ETIQUETA CIRCULAR 9cm TORTA PANQUEQUE CHOCOLATE GUINDA</v>
          </cell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>
            <v>2000</v>
          </cell>
          <cell r="AB189"/>
          <cell r="AC189">
            <v>1000</v>
          </cell>
          <cell r="AD189"/>
          <cell r="AE189">
            <v>2000</v>
          </cell>
          <cell r="AF189">
            <v>1000</v>
          </cell>
          <cell r="AG189"/>
          <cell r="AH189">
            <v>1000</v>
          </cell>
          <cell r="AI189">
            <v>1000</v>
          </cell>
          <cell r="AJ189">
            <v>1000</v>
          </cell>
          <cell r="AK189">
            <v>1000</v>
          </cell>
          <cell r="AL189">
            <v>1000</v>
          </cell>
          <cell r="AM189">
            <v>1000</v>
          </cell>
          <cell r="AN189">
            <v>1000</v>
          </cell>
          <cell r="AO189"/>
          <cell r="AP189">
            <v>1000</v>
          </cell>
          <cell r="AQ189">
            <v>1000</v>
          </cell>
          <cell r="AR189"/>
          <cell r="AS189">
            <v>1000</v>
          </cell>
          <cell r="AT189">
            <v>1000</v>
          </cell>
          <cell r="AU189"/>
          <cell r="AV189">
            <v>1000</v>
          </cell>
          <cell r="AW189">
            <v>1000</v>
          </cell>
          <cell r="AX189">
            <v>5000</v>
          </cell>
          <cell r="AY189"/>
          <cell r="AZ189"/>
          <cell r="BA189">
            <v>2000</v>
          </cell>
          <cell r="BB189"/>
          <cell r="BC189"/>
          <cell r="BD189">
            <v>1000</v>
          </cell>
          <cell r="BE189">
            <v>1000</v>
          </cell>
          <cell r="BF189">
            <v>1</v>
          </cell>
          <cell r="BG189">
            <v>1999</v>
          </cell>
          <cell r="BH189">
            <v>1000</v>
          </cell>
          <cell r="BI189"/>
          <cell r="BJ189"/>
          <cell r="BK189">
            <v>2000</v>
          </cell>
          <cell r="BL189">
            <v>1000</v>
          </cell>
          <cell r="BM189">
            <v>3000</v>
          </cell>
          <cell r="BN189">
            <v>1000</v>
          </cell>
          <cell r="BO189">
            <v>3000</v>
          </cell>
          <cell r="BP189">
            <v>1000</v>
          </cell>
          <cell r="BQ189">
            <v>1000</v>
          </cell>
          <cell r="BR189">
            <v>2000</v>
          </cell>
          <cell r="BS189"/>
          <cell r="BT189">
            <v>3000</v>
          </cell>
          <cell r="BU189"/>
          <cell r="BV189"/>
          <cell r="BW189">
            <v>2000</v>
          </cell>
          <cell r="BX189">
            <v>1000</v>
          </cell>
          <cell r="BY189">
            <v>1000</v>
          </cell>
          <cell r="BZ189">
            <v>2000</v>
          </cell>
          <cell r="CA189">
            <v>4000</v>
          </cell>
          <cell r="CB189">
            <v>1000</v>
          </cell>
          <cell r="CC189"/>
          <cell r="CD189">
            <v>3000</v>
          </cell>
          <cell r="CE189">
            <v>1000</v>
          </cell>
          <cell r="CF189">
            <v>4000</v>
          </cell>
          <cell r="CG189">
            <v>1000</v>
          </cell>
          <cell r="CH189"/>
          <cell r="CI189">
            <v>2000</v>
          </cell>
          <cell r="CJ189">
            <v>1000</v>
          </cell>
          <cell r="CK189"/>
          <cell r="CL189">
            <v>1000</v>
          </cell>
          <cell r="CM189">
            <v>1000</v>
          </cell>
          <cell r="CN189">
            <v>2000</v>
          </cell>
          <cell r="CO189">
            <v>2000</v>
          </cell>
          <cell r="CP189">
            <v>3000</v>
          </cell>
          <cell r="CQ189">
            <v>1000</v>
          </cell>
          <cell r="CR189">
            <v>1000</v>
          </cell>
          <cell r="CS189"/>
          <cell r="CT189">
            <v>2000</v>
          </cell>
          <cell r="CU189">
            <v>1000</v>
          </cell>
          <cell r="CV189">
            <v>2000</v>
          </cell>
          <cell r="CW189">
            <v>1000</v>
          </cell>
          <cell r="CX189"/>
          <cell r="CY189">
            <v>2000</v>
          </cell>
          <cell r="CZ189"/>
          <cell r="DA189"/>
          <cell r="DB189">
            <v>4000</v>
          </cell>
          <cell r="DC189">
            <v>3000</v>
          </cell>
          <cell r="DD189">
            <v>1000</v>
          </cell>
          <cell r="DE189">
            <v>1000</v>
          </cell>
          <cell r="DF189"/>
          <cell r="DG189"/>
          <cell r="DH189"/>
          <cell r="DI189"/>
          <cell r="DJ189"/>
          <cell r="DK189"/>
          <cell r="DL189">
            <v>1000</v>
          </cell>
          <cell r="DM189"/>
          <cell r="DN189"/>
          <cell r="DO189">
            <v>1000</v>
          </cell>
          <cell r="DP189"/>
          <cell r="DQ189">
            <v>1000</v>
          </cell>
          <cell r="DR189">
            <v>1000</v>
          </cell>
          <cell r="DS189">
            <v>1000</v>
          </cell>
          <cell r="DT189">
            <v>3000</v>
          </cell>
          <cell r="DU189">
            <v>3000</v>
          </cell>
          <cell r="DV189"/>
          <cell r="DW189">
            <v>3000</v>
          </cell>
          <cell r="DX189">
            <v>2000</v>
          </cell>
          <cell r="DY189">
            <v>1000</v>
          </cell>
          <cell r="DZ189">
            <v>1000</v>
          </cell>
          <cell r="EA189"/>
          <cell r="EB189">
            <v>2000</v>
          </cell>
          <cell r="EC189">
            <v>2000</v>
          </cell>
          <cell r="ED189">
            <v>2000</v>
          </cell>
          <cell r="EE189"/>
          <cell r="EF189"/>
          <cell r="EG189">
            <v>2000</v>
          </cell>
          <cell r="EH189">
            <v>1000</v>
          </cell>
          <cell r="EI189">
            <v>1000</v>
          </cell>
          <cell r="EJ189" t="str">
            <v>ACTIVO</v>
          </cell>
          <cell r="EK189" t="str">
            <v>C</v>
          </cell>
          <cell r="EL189">
            <v>10000</v>
          </cell>
          <cell r="EM189">
            <v>1733.3333333333333</v>
          </cell>
          <cell r="EN189">
            <v>288.88888888888886</v>
          </cell>
          <cell r="EO189">
            <v>982.42015445846891</v>
          </cell>
          <cell r="EP189">
            <v>8000</v>
          </cell>
          <cell r="EQ189">
            <v>181600</v>
          </cell>
          <cell r="ER189">
            <v>4.6153846153846159</v>
          </cell>
          <cell r="ES189">
            <v>1733.333333333333</v>
          </cell>
        </row>
        <row r="190">
          <cell r="F190">
            <v>393421</v>
          </cell>
          <cell r="G190" t="str">
            <v>ETIQUETA CIRCULAR 9cm TORTA CHOCOLATE REAL</v>
          </cell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>
            <v>2000</v>
          </cell>
          <cell r="AB190"/>
          <cell r="AC190">
            <v>1000</v>
          </cell>
          <cell r="AD190"/>
          <cell r="AE190">
            <v>2000</v>
          </cell>
          <cell r="AF190">
            <v>1000</v>
          </cell>
          <cell r="AG190">
            <v>1000</v>
          </cell>
          <cell r="AH190">
            <v>1000</v>
          </cell>
          <cell r="AI190">
            <v>1000</v>
          </cell>
          <cell r="AJ190">
            <v>1000</v>
          </cell>
          <cell r="AK190">
            <v>1000</v>
          </cell>
          <cell r="AL190">
            <v>1000</v>
          </cell>
          <cell r="AM190">
            <v>1000</v>
          </cell>
          <cell r="AN190">
            <v>1000</v>
          </cell>
          <cell r="AO190"/>
          <cell r="AP190">
            <v>1000</v>
          </cell>
          <cell r="AQ190">
            <v>1000</v>
          </cell>
          <cell r="AR190"/>
          <cell r="AS190">
            <v>1000</v>
          </cell>
          <cell r="AT190">
            <v>1000</v>
          </cell>
          <cell r="AU190"/>
          <cell r="AV190">
            <v>1000</v>
          </cell>
          <cell r="AW190">
            <v>3000</v>
          </cell>
          <cell r="AX190">
            <v>2000</v>
          </cell>
          <cell r="AY190"/>
          <cell r="AZ190"/>
          <cell r="BA190">
            <v>1000</v>
          </cell>
          <cell r="BB190"/>
          <cell r="BC190"/>
          <cell r="BD190">
            <v>1000</v>
          </cell>
          <cell r="BE190"/>
          <cell r="BF190"/>
          <cell r="BG190">
            <v>1000</v>
          </cell>
          <cell r="BH190">
            <v>1000</v>
          </cell>
          <cell r="BI190"/>
          <cell r="BJ190"/>
          <cell r="BK190">
            <v>2000</v>
          </cell>
          <cell r="BL190"/>
          <cell r="BM190">
            <v>1000</v>
          </cell>
          <cell r="BN190">
            <v>1000</v>
          </cell>
          <cell r="BO190">
            <v>2000</v>
          </cell>
          <cell r="BP190"/>
          <cell r="BQ190">
            <v>1000</v>
          </cell>
          <cell r="BR190">
            <v>1000</v>
          </cell>
          <cell r="BS190"/>
          <cell r="BT190">
            <v>2000</v>
          </cell>
          <cell r="BU190"/>
          <cell r="BV190">
            <v>1000</v>
          </cell>
          <cell r="BW190">
            <v>1000</v>
          </cell>
          <cell r="BX190">
            <v>1000</v>
          </cell>
          <cell r="BY190"/>
          <cell r="BZ190"/>
          <cell r="CA190">
            <v>2000</v>
          </cell>
          <cell r="CB190">
            <v>2000</v>
          </cell>
          <cell r="CC190"/>
          <cell r="CD190">
            <v>1000</v>
          </cell>
          <cell r="CE190"/>
          <cell r="CF190">
            <v>2000</v>
          </cell>
          <cell r="CG190">
            <v>1000</v>
          </cell>
          <cell r="CH190"/>
          <cell r="CI190">
            <v>2000</v>
          </cell>
          <cell r="CJ190">
            <v>1000</v>
          </cell>
          <cell r="CK190"/>
          <cell r="CL190">
            <v>1000</v>
          </cell>
          <cell r="CM190">
            <v>1000</v>
          </cell>
          <cell r="CN190">
            <v>2000</v>
          </cell>
          <cell r="CO190">
            <v>1000</v>
          </cell>
          <cell r="CP190">
            <v>1000</v>
          </cell>
          <cell r="CQ190"/>
          <cell r="CR190"/>
          <cell r="CS190"/>
          <cell r="CT190">
            <v>2000</v>
          </cell>
          <cell r="CU190"/>
          <cell r="CV190">
            <v>1000</v>
          </cell>
          <cell r="CW190">
            <v>1000</v>
          </cell>
          <cell r="CX190"/>
          <cell r="CY190">
            <v>1000</v>
          </cell>
          <cell r="CZ190">
            <v>1000</v>
          </cell>
          <cell r="DA190"/>
          <cell r="DB190">
            <v>1000</v>
          </cell>
          <cell r="DC190">
            <v>1000</v>
          </cell>
          <cell r="DD190"/>
          <cell r="DE190">
            <v>1000</v>
          </cell>
          <cell r="DF190">
            <v>1000</v>
          </cell>
          <cell r="DG190">
            <v>1000</v>
          </cell>
          <cell r="DH190"/>
          <cell r="DI190"/>
          <cell r="DJ190">
            <v>1000</v>
          </cell>
          <cell r="DK190">
            <v>2000</v>
          </cell>
          <cell r="DL190">
            <v>1000</v>
          </cell>
          <cell r="DM190"/>
          <cell r="DN190">
            <v>1000</v>
          </cell>
          <cell r="DO190">
            <v>1000</v>
          </cell>
          <cell r="DP190"/>
          <cell r="DQ190">
            <v>1000</v>
          </cell>
          <cell r="DR190">
            <v>1000</v>
          </cell>
          <cell r="DS190">
            <v>1000</v>
          </cell>
          <cell r="DT190"/>
          <cell r="DU190">
            <v>1000</v>
          </cell>
          <cell r="DV190"/>
          <cell r="DW190">
            <v>1000</v>
          </cell>
          <cell r="DX190">
            <v>1000</v>
          </cell>
          <cell r="DY190">
            <v>2000</v>
          </cell>
          <cell r="DZ190"/>
          <cell r="EA190"/>
          <cell r="EB190">
            <v>2000</v>
          </cell>
          <cell r="EC190"/>
          <cell r="ED190">
            <v>1000</v>
          </cell>
          <cell r="EE190"/>
          <cell r="EF190">
            <v>1000</v>
          </cell>
          <cell r="EG190">
            <v>1000</v>
          </cell>
          <cell r="EH190"/>
          <cell r="EI190"/>
          <cell r="EJ190" t="str">
            <v>ACTIVO</v>
          </cell>
          <cell r="EK190" t="str">
            <v>C</v>
          </cell>
          <cell r="EL190">
            <v>10000</v>
          </cell>
          <cell r="EM190">
            <v>1187.5</v>
          </cell>
          <cell r="EN190">
            <v>197.91666666666666</v>
          </cell>
          <cell r="EO190">
            <v>452.26701686664546</v>
          </cell>
          <cell r="EP190">
            <v>5000</v>
          </cell>
          <cell r="EQ190">
            <v>113100</v>
          </cell>
          <cell r="ER190">
            <v>4.2105263157894735</v>
          </cell>
          <cell r="ES190">
            <v>1187.5</v>
          </cell>
        </row>
        <row r="191">
          <cell r="F191">
            <v>393425</v>
          </cell>
          <cell r="G191" t="str">
            <v>ETIQUETA CIRCULAR 9cm TORTA SELVA NEGRA VEGANA</v>
          </cell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>
            <v>1000</v>
          </cell>
          <cell r="AB191">
            <v>1000</v>
          </cell>
          <cell r="AC191">
            <v>1000</v>
          </cell>
          <cell r="AD191"/>
          <cell r="AE191">
            <v>2000</v>
          </cell>
          <cell r="AF191">
            <v>1000</v>
          </cell>
          <cell r="AG191"/>
          <cell r="AH191">
            <v>2000</v>
          </cell>
          <cell r="AI191">
            <v>1000</v>
          </cell>
          <cell r="AJ191">
            <v>1000</v>
          </cell>
          <cell r="AK191">
            <v>1000</v>
          </cell>
          <cell r="AL191">
            <v>1000</v>
          </cell>
          <cell r="AM191">
            <v>1000</v>
          </cell>
          <cell r="AN191">
            <v>1000</v>
          </cell>
          <cell r="AO191">
            <v>1000</v>
          </cell>
          <cell r="AP191">
            <v>2000</v>
          </cell>
          <cell r="AQ191">
            <v>1000</v>
          </cell>
          <cell r="AR191"/>
          <cell r="AS191">
            <v>1000</v>
          </cell>
          <cell r="AT191">
            <v>1000</v>
          </cell>
          <cell r="AU191"/>
          <cell r="AV191">
            <v>1000</v>
          </cell>
          <cell r="AW191">
            <v>1000</v>
          </cell>
          <cell r="AX191">
            <v>1000</v>
          </cell>
          <cell r="AY191"/>
          <cell r="AZ191"/>
          <cell r="BA191"/>
          <cell r="BB191"/>
          <cell r="BC191">
            <v>1000</v>
          </cell>
          <cell r="BD191"/>
          <cell r="BE191"/>
          <cell r="BF191">
            <v>2</v>
          </cell>
          <cell r="BG191">
            <v>2998</v>
          </cell>
          <cell r="BH191">
            <v>1000</v>
          </cell>
          <cell r="BI191"/>
          <cell r="BJ191"/>
          <cell r="BK191">
            <v>2000</v>
          </cell>
          <cell r="BL191"/>
          <cell r="BM191">
            <v>1000</v>
          </cell>
          <cell r="BN191">
            <v>1000</v>
          </cell>
          <cell r="BO191">
            <v>2000</v>
          </cell>
          <cell r="BP191"/>
          <cell r="BQ191">
            <v>1000</v>
          </cell>
          <cell r="BR191">
            <v>1000</v>
          </cell>
          <cell r="BS191"/>
          <cell r="BT191">
            <v>2000</v>
          </cell>
          <cell r="BU191"/>
          <cell r="BV191">
            <v>1000</v>
          </cell>
          <cell r="BW191">
            <v>2000</v>
          </cell>
          <cell r="BX191">
            <v>2000</v>
          </cell>
          <cell r="BY191"/>
          <cell r="BZ191"/>
          <cell r="CA191">
            <v>1000</v>
          </cell>
          <cell r="CB191"/>
          <cell r="CC191"/>
          <cell r="CD191"/>
          <cell r="CE191"/>
          <cell r="CF191"/>
          <cell r="CG191">
            <v>1000</v>
          </cell>
          <cell r="CH191"/>
          <cell r="CI191">
            <v>1000</v>
          </cell>
          <cell r="CJ191">
            <v>1000</v>
          </cell>
          <cell r="CK191"/>
          <cell r="CL191"/>
          <cell r="CM191"/>
          <cell r="CN191">
            <v>2000</v>
          </cell>
          <cell r="CO191">
            <v>1000</v>
          </cell>
          <cell r="CP191"/>
          <cell r="CQ191"/>
          <cell r="CR191"/>
          <cell r="CS191"/>
          <cell r="CT191">
            <v>1000</v>
          </cell>
          <cell r="CU191">
            <v>1000</v>
          </cell>
          <cell r="CV191">
            <v>1000</v>
          </cell>
          <cell r="CW191">
            <v>1000</v>
          </cell>
          <cell r="CX191"/>
          <cell r="CY191"/>
          <cell r="CZ191"/>
          <cell r="DA191"/>
          <cell r="DB191">
            <v>1000</v>
          </cell>
          <cell r="DC191">
            <v>1000</v>
          </cell>
          <cell r="DD191"/>
          <cell r="DE191">
            <v>1000</v>
          </cell>
          <cell r="DF191">
            <v>1000</v>
          </cell>
          <cell r="DG191"/>
          <cell r="DH191"/>
          <cell r="DI191"/>
          <cell r="DJ191">
            <v>1000</v>
          </cell>
          <cell r="DK191">
            <v>2000</v>
          </cell>
          <cell r="DL191">
            <v>1000</v>
          </cell>
          <cell r="DM191"/>
          <cell r="DN191">
            <v>1000</v>
          </cell>
          <cell r="DO191">
            <v>1000</v>
          </cell>
          <cell r="DP191"/>
          <cell r="DQ191"/>
          <cell r="DR191"/>
          <cell r="DS191"/>
          <cell r="DT191"/>
          <cell r="DU191">
            <v>1000</v>
          </cell>
          <cell r="DV191"/>
          <cell r="DW191">
            <v>1000</v>
          </cell>
          <cell r="DX191"/>
          <cell r="DY191">
            <v>2000</v>
          </cell>
          <cell r="DZ191"/>
          <cell r="EA191"/>
          <cell r="EB191">
            <v>2000</v>
          </cell>
          <cell r="EC191"/>
          <cell r="ED191">
            <v>1000</v>
          </cell>
          <cell r="EE191"/>
          <cell r="EF191"/>
          <cell r="EG191">
            <v>1000</v>
          </cell>
          <cell r="EH191"/>
          <cell r="EI191"/>
          <cell r="EJ191" t="str">
            <v>ACTIVO</v>
          </cell>
          <cell r="EK191" t="str">
            <v>C</v>
          </cell>
          <cell r="EL191">
            <v>10000</v>
          </cell>
          <cell r="EM191">
            <v>1272.7272727272727</v>
          </cell>
          <cell r="EN191">
            <v>212.12121212121212</v>
          </cell>
          <cell r="EO191">
            <v>435.88989435406734</v>
          </cell>
          <cell r="EP191">
            <v>2000</v>
          </cell>
          <cell r="EQ191">
            <v>44540</v>
          </cell>
          <cell r="ER191">
            <v>1.5714285714285714</v>
          </cell>
          <cell r="ES191">
            <v>1272.7272727272727</v>
          </cell>
        </row>
        <row r="192">
          <cell r="F192">
            <v>393424</v>
          </cell>
          <cell r="G192" t="str">
            <v>ETIQUETA CIRCULAR 9cm TORTA PIÑA VEGANA</v>
          </cell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>
            <v>1000</v>
          </cell>
          <cell r="AB192"/>
          <cell r="AC192">
            <v>2000</v>
          </cell>
          <cell r="AD192"/>
          <cell r="AE192">
            <v>1000</v>
          </cell>
          <cell r="AF192">
            <v>1000</v>
          </cell>
          <cell r="AG192">
            <v>1000</v>
          </cell>
          <cell r="AH192">
            <v>2000</v>
          </cell>
          <cell r="AI192">
            <v>1000</v>
          </cell>
          <cell r="AJ192">
            <v>1000</v>
          </cell>
          <cell r="AK192">
            <v>1000</v>
          </cell>
          <cell r="AL192">
            <v>1000</v>
          </cell>
          <cell r="AM192"/>
          <cell r="AN192"/>
          <cell r="AO192"/>
          <cell r="AP192"/>
          <cell r="AQ192">
            <v>1000</v>
          </cell>
          <cell r="AR192"/>
          <cell r="AS192">
            <v>1000</v>
          </cell>
          <cell r="AT192"/>
          <cell r="AU192"/>
          <cell r="AV192">
            <v>1000</v>
          </cell>
          <cell r="AW192">
            <v>1000</v>
          </cell>
          <cell r="AX192">
            <v>2000</v>
          </cell>
          <cell r="AY192"/>
          <cell r="AZ192"/>
          <cell r="BA192"/>
          <cell r="BB192"/>
          <cell r="BC192"/>
          <cell r="BD192"/>
          <cell r="BE192"/>
          <cell r="BF192">
            <v>1</v>
          </cell>
          <cell r="BG192">
            <v>1999</v>
          </cell>
          <cell r="BH192">
            <v>1000</v>
          </cell>
          <cell r="BI192"/>
          <cell r="BJ192"/>
          <cell r="BK192">
            <v>2000</v>
          </cell>
          <cell r="BL192"/>
          <cell r="BM192">
            <v>1000</v>
          </cell>
          <cell r="BN192">
            <v>1000</v>
          </cell>
          <cell r="BO192">
            <v>2000</v>
          </cell>
          <cell r="BP192"/>
          <cell r="BQ192"/>
          <cell r="BR192"/>
          <cell r="BS192">
            <v>1000</v>
          </cell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K192"/>
          <cell r="DL192"/>
          <cell r="DM192"/>
          <cell r="DN192"/>
          <cell r="DO192"/>
          <cell r="DP192"/>
          <cell r="DQ192"/>
          <cell r="DR192"/>
          <cell r="DS192"/>
          <cell r="DT192"/>
          <cell r="DU192"/>
          <cell r="DV192"/>
          <cell r="DW192"/>
          <cell r="DX192"/>
          <cell r="DY192"/>
          <cell r="DZ192"/>
          <cell r="EA192"/>
          <cell r="EB192"/>
          <cell r="EC192"/>
          <cell r="ED192"/>
          <cell r="EE192"/>
          <cell r="EF192"/>
          <cell r="EG192"/>
          <cell r="EH192"/>
          <cell r="EI192"/>
          <cell r="EJ192" t="str">
            <v>SIN USO</v>
          </cell>
          <cell r="EK192" t="str">
            <v>C</v>
          </cell>
          <cell r="EL192">
            <v>10000</v>
          </cell>
          <cell r="EM192">
            <v>0</v>
          </cell>
          <cell r="EN192">
            <v>0</v>
          </cell>
          <cell r="EO192">
            <v>516.39777949432244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</row>
        <row r="193">
          <cell r="F193">
            <v>393422</v>
          </cell>
          <cell r="G193" t="str">
            <v>ETIQUETA CIRCULAR 9cm TORTA CALUGA</v>
          </cell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>
            <v>1000</v>
          </cell>
          <cell r="AB193"/>
          <cell r="AC193">
            <v>1000</v>
          </cell>
          <cell r="AD193"/>
          <cell r="AE193">
            <v>1000</v>
          </cell>
          <cell r="AF193">
            <v>1000</v>
          </cell>
          <cell r="AG193"/>
          <cell r="AH193">
            <v>1000</v>
          </cell>
          <cell r="AI193"/>
          <cell r="AJ193">
            <v>1000</v>
          </cell>
          <cell r="AK193">
            <v>1000</v>
          </cell>
          <cell r="AL193">
            <v>1000</v>
          </cell>
          <cell r="AM193">
            <v>1000</v>
          </cell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>
            <v>2000</v>
          </cell>
          <cell r="BP193"/>
          <cell r="BQ193">
            <v>1000</v>
          </cell>
          <cell r="BR193">
            <v>1000</v>
          </cell>
          <cell r="BS193"/>
          <cell r="BT193">
            <v>2000</v>
          </cell>
          <cell r="BU193"/>
          <cell r="BV193">
            <v>1000</v>
          </cell>
          <cell r="BW193">
            <v>1000</v>
          </cell>
          <cell r="BX193"/>
          <cell r="BY193"/>
          <cell r="BZ193"/>
          <cell r="CA193">
            <v>2000</v>
          </cell>
          <cell r="CB193">
            <v>1000</v>
          </cell>
          <cell r="CC193"/>
          <cell r="CD193">
            <v>1000</v>
          </cell>
          <cell r="CE193"/>
          <cell r="CF193">
            <v>2000</v>
          </cell>
          <cell r="CG193">
            <v>1000</v>
          </cell>
          <cell r="CH193"/>
          <cell r="CI193">
            <v>2000</v>
          </cell>
          <cell r="CJ193"/>
          <cell r="CK193"/>
          <cell r="CL193"/>
          <cell r="CM193">
            <v>1000</v>
          </cell>
          <cell r="CN193">
            <v>1000</v>
          </cell>
          <cell r="CO193">
            <v>1000</v>
          </cell>
          <cell r="CP193">
            <v>1000</v>
          </cell>
          <cell r="CQ193">
            <v>1000</v>
          </cell>
          <cell r="CR193"/>
          <cell r="CS193"/>
          <cell r="CT193">
            <v>2000</v>
          </cell>
          <cell r="CU193"/>
          <cell r="CV193">
            <v>1000</v>
          </cell>
          <cell r="CW193"/>
          <cell r="CX193"/>
          <cell r="CY193">
            <v>1000</v>
          </cell>
          <cell r="CZ193">
            <v>1000</v>
          </cell>
          <cell r="DA193"/>
          <cell r="DB193">
            <v>1000</v>
          </cell>
          <cell r="DC193">
            <v>1000</v>
          </cell>
          <cell r="DD193"/>
          <cell r="DE193">
            <v>1000</v>
          </cell>
          <cell r="DF193"/>
          <cell r="DG193">
            <v>1000</v>
          </cell>
          <cell r="DH193"/>
          <cell r="DI193"/>
          <cell r="DJ193">
            <v>1000</v>
          </cell>
          <cell r="DK193">
            <v>2000</v>
          </cell>
          <cell r="DL193">
            <v>1000</v>
          </cell>
          <cell r="DM193"/>
          <cell r="DN193">
            <v>1000</v>
          </cell>
          <cell r="DO193">
            <v>1000</v>
          </cell>
          <cell r="DP193"/>
          <cell r="DQ193"/>
          <cell r="DR193"/>
          <cell r="DS193"/>
          <cell r="DT193"/>
          <cell r="DU193"/>
          <cell r="DV193">
            <v>1000</v>
          </cell>
          <cell r="DW193">
            <v>1000</v>
          </cell>
          <cell r="DX193">
            <v>1000</v>
          </cell>
          <cell r="DY193">
            <v>2000</v>
          </cell>
          <cell r="DZ193"/>
          <cell r="EA193"/>
          <cell r="EB193"/>
          <cell r="EC193"/>
          <cell r="ED193"/>
          <cell r="EE193"/>
          <cell r="EF193"/>
          <cell r="EG193"/>
          <cell r="EH193"/>
          <cell r="EI193"/>
          <cell r="EJ193" t="str">
            <v>SIN USO</v>
          </cell>
          <cell r="EK193" t="str">
            <v>C</v>
          </cell>
          <cell r="EL193">
            <v>10000</v>
          </cell>
          <cell r="EM193">
            <v>1222.2222222222222</v>
          </cell>
          <cell r="EN193">
            <v>203.7037037037037</v>
          </cell>
          <cell r="EO193">
            <v>435.88989435406734</v>
          </cell>
          <cell r="EP193">
            <v>9000</v>
          </cell>
          <cell r="EQ193">
            <v>201870</v>
          </cell>
          <cell r="ER193">
            <v>7.3636363636363642</v>
          </cell>
          <cell r="ES193">
            <v>1222.2222222222222</v>
          </cell>
        </row>
        <row r="194">
          <cell r="F194">
            <v>405302</v>
          </cell>
          <cell r="G194" t="str">
            <v>ETIQ. CIRCULAR 9cm IMPR. PIE DE MARACUYÁ ESPECIAL JUMBO</v>
          </cell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>
            <v>1000</v>
          </cell>
          <cell r="AC194"/>
          <cell r="AD194"/>
          <cell r="AE194">
            <v>1000</v>
          </cell>
          <cell r="AF194">
            <v>1000</v>
          </cell>
          <cell r="AG194">
            <v>1000</v>
          </cell>
          <cell r="AH194">
            <v>1000</v>
          </cell>
          <cell r="AI194">
            <v>1000</v>
          </cell>
          <cell r="AJ194">
            <v>1000</v>
          </cell>
          <cell r="AK194">
            <v>1000</v>
          </cell>
          <cell r="AL194">
            <v>1000</v>
          </cell>
          <cell r="AM194">
            <v>1000</v>
          </cell>
          <cell r="AN194">
            <v>1000</v>
          </cell>
          <cell r="AO194"/>
          <cell r="AP194"/>
          <cell r="AQ194">
            <v>1000</v>
          </cell>
          <cell r="AR194"/>
          <cell r="AS194">
            <v>1000</v>
          </cell>
          <cell r="AT194">
            <v>1000</v>
          </cell>
          <cell r="AU194"/>
          <cell r="AV194">
            <v>1000</v>
          </cell>
          <cell r="AW194">
            <v>1000</v>
          </cell>
          <cell r="AX194">
            <v>1000</v>
          </cell>
          <cell r="AY194"/>
          <cell r="AZ194"/>
          <cell r="BA194">
            <v>2000</v>
          </cell>
          <cell r="BB194">
            <v>1000</v>
          </cell>
          <cell r="BC194"/>
          <cell r="BD194">
            <v>1000</v>
          </cell>
          <cell r="BE194">
            <v>1000</v>
          </cell>
          <cell r="BF194">
            <v>1</v>
          </cell>
          <cell r="BG194">
            <v>1999</v>
          </cell>
          <cell r="BH194">
            <v>1000</v>
          </cell>
          <cell r="BI194"/>
          <cell r="BJ194">
            <v>1000</v>
          </cell>
          <cell r="BK194">
            <v>2000</v>
          </cell>
          <cell r="BL194"/>
          <cell r="BM194">
            <v>3000</v>
          </cell>
          <cell r="BN194">
            <v>1000</v>
          </cell>
          <cell r="BO194">
            <v>2000</v>
          </cell>
          <cell r="BP194"/>
          <cell r="BQ194">
            <v>1000</v>
          </cell>
          <cell r="BR194">
            <v>1000</v>
          </cell>
          <cell r="BS194"/>
          <cell r="BT194">
            <v>2000</v>
          </cell>
          <cell r="BU194"/>
          <cell r="BV194">
            <v>1000</v>
          </cell>
          <cell r="BW194">
            <v>1000</v>
          </cell>
          <cell r="BX194">
            <v>1000</v>
          </cell>
          <cell r="BY194"/>
          <cell r="BZ194"/>
          <cell r="CA194">
            <v>2000</v>
          </cell>
          <cell r="CB194">
            <v>1000</v>
          </cell>
          <cell r="CC194"/>
          <cell r="CD194">
            <v>1000</v>
          </cell>
          <cell r="CE194"/>
          <cell r="CF194">
            <v>1000</v>
          </cell>
          <cell r="CG194"/>
          <cell r="CH194"/>
          <cell r="CI194">
            <v>2000</v>
          </cell>
          <cell r="CJ194">
            <v>1000</v>
          </cell>
          <cell r="CK194"/>
          <cell r="CL194">
            <v>1000</v>
          </cell>
          <cell r="CM194">
            <v>1000</v>
          </cell>
          <cell r="CN194">
            <v>2000</v>
          </cell>
          <cell r="CO194">
            <v>1000</v>
          </cell>
          <cell r="CP194">
            <v>1000</v>
          </cell>
          <cell r="CQ194"/>
          <cell r="CR194"/>
          <cell r="CS194"/>
          <cell r="CT194">
            <v>2000</v>
          </cell>
          <cell r="CU194"/>
          <cell r="CV194">
            <v>1000</v>
          </cell>
          <cell r="CW194">
            <v>1000</v>
          </cell>
          <cell r="CX194"/>
          <cell r="CY194">
            <v>1000</v>
          </cell>
          <cell r="CZ194">
            <v>1000</v>
          </cell>
          <cell r="DA194"/>
          <cell r="DB194">
            <v>1000</v>
          </cell>
          <cell r="DC194">
            <v>1000</v>
          </cell>
          <cell r="DD194"/>
          <cell r="DE194">
            <v>1000</v>
          </cell>
          <cell r="DF194">
            <v>1000</v>
          </cell>
          <cell r="DG194">
            <v>1000</v>
          </cell>
          <cell r="DH194"/>
          <cell r="DI194"/>
          <cell r="DJ194">
            <v>1000</v>
          </cell>
          <cell r="DK194">
            <v>2000</v>
          </cell>
          <cell r="DL194">
            <v>1000</v>
          </cell>
          <cell r="DM194"/>
          <cell r="DN194">
            <v>1000</v>
          </cell>
          <cell r="DO194">
            <v>1000</v>
          </cell>
          <cell r="DP194"/>
          <cell r="DQ194">
            <v>1000</v>
          </cell>
          <cell r="DR194">
            <v>1000</v>
          </cell>
          <cell r="DS194">
            <v>1000</v>
          </cell>
          <cell r="DT194">
            <v>1000</v>
          </cell>
          <cell r="DU194">
            <v>1000</v>
          </cell>
          <cell r="DV194"/>
          <cell r="DW194">
            <v>1000</v>
          </cell>
          <cell r="DX194">
            <v>1000</v>
          </cell>
          <cell r="DY194">
            <v>1000</v>
          </cell>
          <cell r="DZ194">
            <v>1000</v>
          </cell>
          <cell r="EA194"/>
          <cell r="EB194">
            <v>2000</v>
          </cell>
          <cell r="EC194"/>
          <cell r="ED194">
            <v>2000</v>
          </cell>
          <cell r="EE194"/>
          <cell r="EF194"/>
          <cell r="EG194">
            <v>1000</v>
          </cell>
          <cell r="EH194"/>
          <cell r="EI194"/>
          <cell r="EJ194" t="str">
            <v>ACTIVO</v>
          </cell>
          <cell r="EK194" t="str">
            <v>C</v>
          </cell>
          <cell r="EL194">
            <v>10000</v>
          </cell>
          <cell r="EM194">
            <v>1176.4705882352941</v>
          </cell>
          <cell r="EN194">
            <v>196.07843137254903</v>
          </cell>
          <cell r="EO194">
            <v>516.76440913191243</v>
          </cell>
          <cell r="EP194">
            <v>5000</v>
          </cell>
          <cell r="EQ194">
            <v>85850</v>
          </cell>
          <cell r="ER194">
            <v>4.25</v>
          </cell>
          <cell r="ES194">
            <v>1176.4705882352941</v>
          </cell>
        </row>
        <row r="195">
          <cell r="F195">
            <v>405301</v>
          </cell>
          <cell r="G195" t="str">
            <v>ETIQ. CIRCULAR 9cm IMPR. PIE DE FRAMBUESA ESPECIAL JUMBO</v>
          </cell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>
            <v>1000</v>
          </cell>
          <cell r="AC195"/>
          <cell r="AD195"/>
          <cell r="AE195">
            <v>1000</v>
          </cell>
          <cell r="AF195">
            <v>1000</v>
          </cell>
          <cell r="AG195">
            <v>1000</v>
          </cell>
          <cell r="AH195">
            <v>1000</v>
          </cell>
          <cell r="AI195">
            <v>1000</v>
          </cell>
          <cell r="AJ195">
            <v>1000</v>
          </cell>
          <cell r="AK195">
            <v>2000</v>
          </cell>
          <cell r="AL195">
            <v>1000</v>
          </cell>
          <cell r="AM195">
            <v>1000</v>
          </cell>
          <cell r="AN195">
            <v>1000</v>
          </cell>
          <cell r="AO195"/>
          <cell r="AP195">
            <v>1000</v>
          </cell>
          <cell r="AQ195">
            <v>1000</v>
          </cell>
          <cell r="AR195"/>
          <cell r="AS195">
            <v>1000</v>
          </cell>
          <cell r="AT195">
            <v>1000</v>
          </cell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>
            <v>1000</v>
          </cell>
          <cell r="BF195"/>
          <cell r="BG195"/>
          <cell r="BH195"/>
          <cell r="BI195"/>
          <cell r="BJ195"/>
          <cell r="BK195"/>
          <cell r="BL195">
            <v>2000</v>
          </cell>
          <cell r="BM195"/>
          <cell r="BN195"/>
          <cell r="BO195"/>
          <cell r="BP195"/>
          <cell r="BQ195"/>
          <cell r="BR195"/>
          <cell r="BS195"/>
          <cell r="BT195"/>
          <cell r="BU195">
            <v>1000</v>
          </cell>
          <cell r="BV195">
            <v>1000</v>
          </cell>
          <cell r="BW195"/>
          <cell r="BX195">
            <v>2000</v>
          </cell>
          <cell r="BY195"/>
          <cell r="BZ195"/>
          <cell r="CA195">
            <v>2000</v>
          </cell>
          <cell r="CB195">
            <v>1000</v>
          </cell>
          <cell r="CC195"/>
          <cell r="CD195">
            <v>1000</v>
          </cell>
          <cell r="CE195">
            <v>1000</v>
          </cell>
          <cell r="CF195">
            <v>2000</v>
          </cell>
          <cell r="CG195">
            <v>1000</v>
          </cell>
          <cell r="CH195"/>
          <cell r="CI195">
            <v>2000</v>
          </cell>
          <cell r="CJ195">
            <v>1000</v>
          </cell>
          <cell r="CK195"/>
          <cell r="CL195">
            <v>1000</v>
          </cell>
          <cell r="CM195">
            <v>1000</v>
          </cell>
          <cell r="CN195">
            <v>2000</v>
          </cell>
          <cell r="CO195">
            <v>1000</v>
          </cell>
          <cell r="CP195">
            <v>1000</v>
          </cell>
          <cell r="CQ195">
            <v>1000</v>
          </cell>
          <cell r="CR195"/>
          <cell r="CS195"/>
          <cell r="CT195">
            <v>2000</v>
          </cell>
          <cell r="CU195">
            <v>2000</v>
          </cell>
          <cell r="CV195">
            <v>1000</v>
          </cell>
          <cell r="CW195">
            <v>1000</v>
          </cell>
          <cell r="CX195"/>
          <cell r="CY195">
            <v>1000</v>
          </cell>
          <cell r="CZ195">
            <v>1000</v>
          </cell>
          <cell r="DA195"/>
          <cell r="DB195">
            <v>1000</v>
          </cell>
          <cell r="DC195">
            <v>1000</v>
          </cell>
          <cell r="DD195"/>
          <cell r="DE195">
            <v>1000</v>
          </cell>
          <cell r="DF195">
            <v>1000</v>
          </cell>
          <cell r="DG195">
            <v>1000</v>
          </cell>
          <cell r="DH195"/>
          <cell r="DI195"/>
          <cell r="DJ195">
            <v>1000</v>
          </cell>
          <cell r="DK195">
            <v>2000</v>
          </cell>
          <cell r="DL195">
            <v>1000</v>
          </cell>
          <cell r="DM195">
            <v>1000</v>
          </cell>
          <cell r="DN195">
            <v>1000</v>
          </cell>
          <cell r="DO195">
            <v>1000</v>
          </cell>
          <cell r="DP195"/>
          <cell r="DQ195">
            <v>1000</v>
          </cell>
          <cell r="DR195">
            <v>1000</v>
          </cell>
          <cell r="DS195">
            <v>1000</v>
          </cell>
          <cell r="DT195"/>
          <cell r="DU195">
            <v>1000</v>
          </cell>
          <cell r="DV195"/>
          <cell r="DW195">
            <v>1000</v>
          </cell>
          <cell r="DX195">
            <v>1000</v>
          </cell>
          <cell r="DY195">
            <v>1000</v>
          </cell>
          <cell r="DZ195">
            <v>1000</v>
          </cell>
          <cell r="EA195"/>
          <cell r="EB195">
            <v>2000</v>
          </cell>
          <cell r="EC195"/>
          <cell r="ED195">
            <v>1000</v>
          </cell>
          <cell r="EE195"/>
          <cell r="EF195"/>
          <cell r="EG195">
            <v>1000</v>
          </cell>
          <cell r="EH195">
            <v>1000</v>
          </cell>
          <cell r="EI195"/>
          <cell r="EJ195" t="str">
            <v>ACTIVO</v>
          </cell>
          <cell r="EK195" t="str">
            <v>C</v>
          </cell>
          <cell r="EL195">
            <v>10000</v>
          </cell>
          <cell r="EM195">
            <v>1117.6470588235295</v>
          </cell>
          <cell r="EN195">
            <v>186.27450980392157</v>
          </cell>
          <cell r="EO195">
            <v>454.85882614734214</v>
          </cell>
          <cell r="EP195">
            <v>8000</v>
          </cell>
          <cell r="EQ195">
            <v>137360</v>
          </cell>
          <cell r="ER195">
            <v>7.1578947368421044</v>
          </cell>
          <cell r="ES195">
            <v>1117.6470588235295</v>
          </cell>
        </row>
        <row r="196">
          <cell r="F196">
            <v>405034</v>
          </cell>
          <cell r="G196" t="str">
            <v>ETIQUETAS CIRCULAR 9cm IMPR. TORTA HOJA MANJAR</v>
          </cell>
          <cell r="H196"/>
          <cell r="I196">
            <v>5000</v>
          </cell>
          <cell r="J196">
            <v>5000</v>
          </cell>
          <cell r="K196"/>
          <cell r="L196">
            <v>5000</v>
          </cell>
          <cell r="M196">
            <v>6000</v>
          </cell>
          <cell r="N196"/>
          <cell r="O196"/>
          <cell r="P196">
            <v>5000</v>
          </cell>
          <cell r="Q196"/>
          <cell r="R196">
            <v>5000</v>
          </cell>
          <cell r="S196"/>
          <cell r="T196">
            <v>5000</v>
          </cell>
          <cell r="U196"/>
          <cell r="V196">
            <v>5000</v>
          </cell>
          <cell r="W196">
            <v>2000</v>
          </cell>
          <cell r="X196">
            <v>10000</v>
          </cell>
          <cell r="Y196"/>
          <cell r="Z196">
            <v>2000</v>
          </cell>
          <cell r="AA196"/>
          <cell r="AB196">
            <v>15000</v>
          </cell>
          <cell r="AC196">
            <v>10000</v>
          </cell>
          <cell r="AD196"/>
          <cell r="AE196"/>
          <cell r="AF196"/>
          <cell r="AG196">
            <v>5000</v>
          </cell>
          <cell r="AH196"/>
          <cell r="AI196">
            <v>5000</v>
          </cell>
          <cell r="AJ196">
            <v>5000</v>
          </cell>
          <cell r="AK196">
            <v>5000</v>
          </cell>
          <cell r="AL196">
            <v>10000</v>
          </cell>
          <cell r="AM196"/>
          <cell r="AN196"/>
          <cell r="AO196"/>
          <cell r="AP196">
            <v>5000</v>
          </cell>
          <cell r="AQ196">
            <v>7000</v>
          </cell>
          <cell r="AR196">
            <v>5000</v>
          </cell>
          <cell r="AS196"/>
          <cell r="AT196"/>
          <cell r="AU196"/>
          <cell r="AV196">
            <v>5000</v>
          </cell>
          <cell r="AW196"/>
          <cell r="AX196">
            <v>7000</v>
          </cell>
          <cell r="AY196"/>
          <cell r="AZ196">
            <v>5000</v>
          </cell>
          <cell r="BA196"/>
          <cell r="BB196">
            <v>5000</v>
          </cell>
          <cell r="BC196"/>
          <cell r="BD196">
            <v>4000</v>
          </cell>
          <cell r="BE196"/>
          <cell r="BF196">
            <v>3000</v>
          </cell>
          <cell r="BG196">
            <v>5000</v>
          </cell>
          <cell r="BH196"/>
          <cell r="BI196">
            <v>5000</v>
          </cell>
          <cell r="BJ196"/>
          <cell r="BK196">
            <v>5000</v>
          </cell>
          <cell r="BL196"/>
          <cell r="BM196">
            <v>5000</v>
          </cell>
          <cell r="BN196"/>
          <cell r="BO196">
            <v>3000</v>
          </cell>
          <cell r="BP196">
            <v>5000</v>
          </cell>
          <cell r="BQ196"/>
          <cell r="BR196">
            <v>3000</v>
          </cell>
          <cell r="BS196"/>
          <cell r="BT196">
            <v>5000</v>
          </cell>
          <cell r="BU196"/>
          <cell r="BV196">
            <v>5000</v>
          </cell>
          <cell r="BW196">
            <v>5000</v>
          </cell>
          <cell r="BX196">
            <v>7000</v>
          </cell>
          <cell r="BY196"/>
          <cell r="BZ196">
            <v>7000</v>
          </cell>
          <cell r="CA196"/>
          <cell r="CB196"/>
          <cell r="CC196">
            <v>10000</v>
          </cell>
          <cell r="CD196">
            <v>10000</v>
          </cell>
          <cell r="CE196"/>
          <cell r="CF196"/>
          <cell r="CG196"/>
          <cell r="CH196"/>
          <cell r="CI196"/>
          <cell r="CJ196"/>
          <cell r="CK196">
            <v>5000</v>
          </cell>
          <cell r="CL196"/>
          <cell r="CM196">
            <v>5000</v>
          </cell>
          <cell r="CN196"/>
          <cell r="CO196">
            <v>5000</v>
          </cell>
          <cell r="CP196"/>
          <cell r="CQ196">
            <v>5000</v>
          </cell>
          <cell r="CR196">
            <v>5000</v>
          </cell>
          <cell r="CS196"/>
          <cell r="CT196"/>
          <cell r="CU196">
            <v>5000</v>
          </cell>
          <cell r="CV196">
            <v>5000</v>
          </cell>
          <cell r="CW196"/>
          <cell r="CX196">
            <v>5000</v>
          </cell>
          <cell r="CY196"/>
          <cell r="CZ196">
            <v>9000</v>
          </cell>
          <cell r="DA196"/>
          <cell r="DB196"/>
          <cell r="DC196">
            <v>5000</v>
          </cell>
          <cell r="DD196"/>
          <cell r="DE196">
            <v>5000</v>
          </cell>
          <cell r="DF196"/>
          <cell r="DG196">
            <v>4000</v>
          </cell>
          <cell r="DH196"/>
          <cell r="DI196"/>
          <cell r="DJ196">
            <v>6000</v>
          </cell>
          <cell r="DK196">
            <v>5000</v>
          </cell>
          <cell r="DL196"/>
          <cell r="DM196"/>
          <cell r="DN196">
            <v>5000</v>
          </cell>
          <cell r="DO196">
            <v>5000</v>
          </cell>
          <cell r="DP196"/>
          <cell r="DQ196"/>
          <cell r="DR196">
            <v>5000</v>
          </cell>
          <cell r="DS196"/>
          <cell r="DT196">
            <v>5000</v>
          </cell>
          <cell r="DU196"/>
          <cell r="DV196">
            <v>5000</v>
          </cell>
          <cell r="DW196"/>
          <cell r="DX196"/>
          <cell r="DY196">
            <v>5000</v>
          </cell>
          <cell r="DZ196"/>
          <cell r="EA196">
            <v>5000</v>
          </cell>
          <cell r="EB196">
            <v>10000</v>
          </cell>
          <cell r="EC196"/>
          <cell r="ED196"/>
          <cell r="EE196"/>
          <cell r="EF196">
            <v>5000</v>
          </cell>
          <cell r="EG196">
            <v>10000</v>
          </cell>
          <cell r="EH196">
            <v>3000</v>
          </cell>
          <cell r="EI196"/>
          <cell r="EJ196" t="str">
            <v>ACTIVO</v>
          </cell>
          <cell r="EK196" t="str">
            <v>C</v>
          </cell>
          <cell r="EL196">
            <v>10000</v>
          </cell>
          <cell r="EM196">
            <v>5916.666666666667</v>
          </cell>
          <cell r="EN196">
            <v>986.1111111111112</v>
          </cell>
          <cell r="EO196">
            <v>1782.3205847059801</v>
          </cell>
          <cell r="EP196">
            <v>12000</v>
          </cell>
          <cell r="EQ196">
            <v>206040</v>
          </cell>
          <cell r="ER196">
            <v>2.028169014084507</v>
          </cell>
          <cell r="ES196">
            <v>5916.666666666667</v>
          </cell>
        </row>
        <row r="197">
          <cell r="F197">
            <v>405128</v>
          </cell>
          <cell r="G197" t="str">
            <v>ETIQUETA CIRCULAR 9cm TORTA HOJA MANJAR JUMBO</v>
          </cell>
          <cell r="H197"/>
          <cell r="I197">
            <v>3000</v>
          </cell>
          <cell r="J197">
            <v>5000</v>
          </cell>
          <cell r="K197"/>
          <cell r="L197"/>
          <cell r="M197"/>
          <cell r="N197"/>
          <cell r="O197"/>
          <cell r="P197"/>
          <cell r="Q197"/>
          <cell r="R197">
            <v>2000</v>
          </cell>
          <cell r="S197"/>
          <cell r="T197">
            <v>3000</v>
          </cell>
          <cell r="U197"/>
          <cell r="V197"/>
          <cell r="W197"/>
          <cell r="X197">
            <v>5000</v>
          </cell>
          <cell r="Y197"/>
          <cell r="Z197"/>
          <cell r="AA197"/>
          <cell r="AB197">
            <v>5000</v>
          </cell>
          <cell r="AC197">
            <v>5000</v>
          </cell>
          <cell r="AD197"/>
          <cell r="AE197">
            <v>5000</v>
          </cell>
          <cell r="AF197"/>
          <cell r="AG197"/>
          <cell r="AH197"/>
          <cell r="AI197"/>
          <cell r="AJ197"/>
          <cell r="AK197"/>
          <cell r="AL197">
            <v>5000</v>
          </cell>
          <cell r="AM197"/>
          <cell r="AN197"/>
          <cell r="AO197"/>
          <cell r="AP197"/>
          <cell r="AQ197">
            <v>1000</v>
          </cell>
          <cell r="AR197">
            <v>5000</v>
          </cell>
          <cell r="AS197"/>
          <cell r="AT197"/>
          <cell r="AU197"/>
          <cell r="AV197"/>
          <cell r="AW197"/>
          <cell r="AX197"/>
          <cell r="AY197"/>
          <cell r="AZ197">
            <v>5000</v>
          </cell>
          <cell r="BA197"/>
          <cell r="BB197"/>
          <cell r="BC197"/>
          <cell r="BD197"/>
          <cell r="BE197"/>
          <cell r="BF197"/>
          <cell r="BG197"/>
          <cell r="BH197"/>
          <cell r="BI197">
            <v>5000</v>
          </cell>
          <cell r="BJ197"/>
          <cell r="BK197"/>
          <cell r="BL197"/>
          <cell r="BM197">
            <v>5000</v>
          </cell>
          <cell r="BN197"/>
          <cell r="BO197"/>
          <cell r="BP197"/>
          <cell r="BQ197"/>
          <cell r="BR197"/>
          <cell r="BS197"/>
          <cell r="BT197">
            <v>5000</v>
          </cell>
          <cell r="BU197"/>
          <cell r="BV197"/>
          <cell r="BW197"/>
          <cell r="BX197"/>
          <cell r="BY197"/>
          <cell r="BZ197">
            <v>5000</v>
          </cell>
          <cell r="CA197"/>
          <cell r="CB197"/>
          <cell r="CC197"/>
          <cell r="CD197">
            <v>5000</v>
          </cell>
          <cell r="CE197"/>
          <cell r="CF197"/>
          <cell r="CG197"/>
          <cell r="CH197"/>
          <cell r="CI197">
            <v>5000</v>
          </cell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>
            <v>5000</v>
          </cell>
          <cell r="CU197"/>
          <cell r="CV197"/>
          <cell r="CW197"/>
          <cell r="CX197"/>
          <cell r="CY197"/>
          <cell r="CZ197"/>
          <cell r="DA197">
            <v>5000</v>
          </cell>
          <cell r="DB197"/>
          <cell r="DC197"/>
          <cell r="DD197"/>
          <cell r="DE197"/>
          <cell r="DF197"/>
          <cell r="DG197">
            <v>5000</v>
          </cell>
          <cell r="DH197"/>
          <cell r="DI197"/>
          <cell r="DJ197"/>
          <cell r="DK197"/>
          <cell r="DL197"/>
          <cell r="DM197"/>
          <cell r="DN197"/>
          <cell r="DO197">
            <v>5000</v>
          </cell>
          <cell r="DP197"/>
          <cell r="DQ197"/>
          <cell r="DR197">
            <v>5000</v>
          </cell>
          <cell r="DS197"/>
          <cell r="DT197"/>
          <cell r="DU197"/>
          <cell r="DV197"/>
          <cell r="DW197"/>
          <cell r="DX197"/>
          <cell r="DY197"/>
          <cell r="DZ197">
            <v>14000</v>
          </cell>
          <cell r="EA197"/>
          <cell r="EB197"/>
          <cell r="EC197">
            <v>5000</v>
          </cell>
          <cell r="ED197"/>
          <cell r="EE197"/>
          <cell r="EF197"/>
          <cell r="EG197">
            <v>5000</v>
          </cell>
          <cell r="EH197"/>
          <cell r="EI197"/>
          <cell r="EJ197" t="str">
            <v>ACTIVO</v>
          </cell>
          <cell r="EK197" t="str">
            <v>C</v>
          </cell>
          <cell r="EL197">
            <v>10000</v>
          </cell>
          <cell r="EM197">
            <v>6800</v>
          </cell>
          <cell r="EN197">
            <v>1133.3333333333333</v>
          </cell>
          <cell r="EO197">
            <v>0</v>
          </cell>
          <cell r="EP197">
            <v>10000</v>
          </cell>
          <cell r="EQ197">
            <v>207000</v>
          </cell>
          <cell r="ER197">
            <v>1.4705882352941178</v>
          </cell>
          <cell r="ES197">
            <v>6800</v>
          </cell>
        </row>
        <row r="198">
          <cell r="F198">
            <v>405129</v>
          </cell>
          <cell r="G198" t="str">
            <v>ETIQ.CIRCULAR 9cm IMPR. TORTA HOJA PASTELERA JUMBO</v>
          </cell>
          <cell r="H198">
            <v>10000</v>
          </cell>
          <cell r="I198"/>
          <cell r="J198">
            <v>5000</v>
          </cell>
          <cell r="K198"/>
          <cell r="L198"/>
          <cell r="M198"/>
          <cell r="N198">
            <v>2000</v>
          </cell>
          <cell r="O198">
            <v>2000</v>
          </cell>
          <cell r="P198"/>
          <cell r="Q198"/>
          <cell r="R198">
            <v>2000</v>
          </cell>
          <cell r="S198">
            <v>2000</v>
          </cell>
          <cell r="T198">
            <v>3000</v>
          </cell>
          <cell r="U198"/>
          <cell r="V198">
            <v>3000</v>
          </cell>
          <cell r="W198"/>
          <cell r="X198">
            <v>5000</v>
          </cell>
          <cell r="Y198"/>
          <cell r="Z198">
            <v>4000</v>
          </cell>
          <cell r="AA198"/>
          <cell r="AB198">
            <v>5000</v>
          </cell>
          <cell r="AC198">
            <v>5000</v>
          </cell>
          <cell r="AD198"/>
          <cell r="AE198">
            <v>5000</v>
          </cell>
          <cell r="AF198"/>
          <cell r="AG198"/>
          <cell r="AH198"/>
          <cell r="AI198"/>
          <cell r="AJ198"/>
          <cell r="AK198">
            <v>5000</v>
          </cell>
          <cell r="AL198">
            <v>5000</v>
          </cell>
          <cell r="AM198"/>
          <cell r="AN198"/>
          <cell r="AO198">
            <v>1000</v>
          </cell>
          <cell r="AP198"/>
          <cell r="AQ198"/>
          <cell r="AR198">
            <v>5000</v>
          </cell>
          <cell r="AS198"/>
          <cell r="AT198"/>
          <cell r="AU198"/>
          <cell r="AV198">
            <v>10000</v>
          </cell>
          <cell r="AW198"/>
          <cell r="AX198"/>
          <cell r="AY198">
            <v>1000</v>
          </cell>
          <cell r="AZ198"/>
          <cell r="BA198"/>
          <cell r="BB198"/>
          <cell r="BC198"/>
          <cell r="BD198">
            <v>5000</v>
          </cell>
          <cell r="BE198"/>
          <cell r="BF198">
            <v>3000</v>
          </cell>
          <cell r="BG198"/>
          <cell r="BH198"/>
          <cell r="BI198"/>
          <cell r="BJ198"/>
          <cell r="BK198">
            <v>2000</v>
          </cell>
          <cell r="BL198"/>
          <cell r="BM198">
            <v>5000</v>
          </cell>
          <cell r="BN198"/>
          <cell r="BO198"/>
          <cell r="BP198"/>
          <cell r="BQ198"/>
          <cell r="BR198">
            <v>3000</v>
          </cell>
          <cell r="BS198"/>
          <cell r="BT198">
            <v>5000</v>
          </cell>
          <cell r="BU198"/>
          <cell r="BV198"/>
          <cell r="BW198"/>
          <cell r="BX198"/>
          <cell r="BY198"/>
          <cell r="BZ198">
            <v>5000</v>
          </cell>
          <cell r="CA198"/>
          <cell r="CB198">
            <v>2000</v>
          </cell>
          <cell r="CC198"/>
          <cell r="CD198">
            <v>5000</v>
          </cell>
          <cell r="CE198">
            <v>2000</v>
          </cell>
          <cell r="CF198"/>
          <cell r="CG198"/>
          <cell r="CH198"/>
          <cell r="CI198">
            <v>5000</v>
          </cell>
          <cell r="CJ198"/>
          <cell r="CK198">
            <v>5000</v>
          </cell>
          <cell r="CL198"/>
          <cell r="CM198"/>
          <cell r="CN198"/>
          <cell r="CO198"/>
          <cell r="CP198"/>
          <cell r="CQ198">
            <v>5000</v>
          </cell>
          <cell r="CR198"/>
          <cell r="CS198"/>
          <cell r="CT198">
            <v>5000</v>
          </cell>
          <cell r="CU198"/>
          <cell r="CV198"/>
          <cell r="CW198"/>
          <cell r="CX198"/>
          <cell r="CY198"/>
          <cell r="CZ198"/>
          <cell r="DA198">
            <v>2000</v>
          </cell>
          <cell r="DB198"/>
          <cell r="DC198">
            <v>2000</v>
          </cell>
          <cell r="DD198">
            <v>5000</v>
          </cell>
          <cell r="DE198">
            <v>1000</v>
          </cell>
          <cell r="DF198"/>
          <cell r="DG198"/>
          <cell r="DH198"/>
          <cell r="DI198"/>
          <cell r="DJ198"/>
          <cell r="DK198"/>
          <cell r="DL198"/>
          <cell r="DM198"/>
          <cell r="DN198"/>
          <cell r="DO198"/>
          <cell r="DP198">
            <v>4000</v>
          </cell>
          <cell r="DQ198"/>
          <cell r="DR198">
            <v>5000</v>
          </cell>
          <cell r="DS198"/>
          <cell r="DT198"/>
          <cell r="DU198"/>
          <cell r="DV198"/>
          <cell r="DW198"/>
          <cell r="DX198">
            <v>5000</v>
          </cell>
          <cell r="DY198"/>
          <cell r="DZ198">
            <v>10000</v>
          </cell>
          <cell r="EA198"/>
          <cell r="EB198"/>
          <cell r="EC198"/>
          <cell r="ED198"/>
          <cell r="EE198"/>
          <cell r="EF198"/>
          <cell r="EG198"/>
          <cell r="EH198">
            <v>5000</v>
          </cell>
          <cell r="EI198"/>
          <cell r="EJ198" t="str">
            <v>ACTIVO</v>
          </cell>
          <cell r="EK198" t="str">
            <v>C</v>
          </cell>
          <cell r="EL198">
            <v>10000</v>
          </cell>
          <cell r="EM198">
            <v>6000</v>
          </cell>
          <cell r="EN198">
            <v>1000</v>
          </cell>
          <cell r="EO198">
            <v>1579.8206649279321</v>
          </cell>
          <cell r="EP198">
            <v>15000</v>
          </cell>
          <cell r="EQ198">
            <v>310500</v>
          </cell>
          <cell r="ER198">
            <v>2.5</v>
          </cell>
          <cell r="ES198">
            <v>6000</v>
          </cell>
        </row>
        <row r="199">
          <cell r="F199">
            <v>405200</v>
          </cell>
          <cell r="G199" t="str">
            <v>ETIQUETA CIRCULAR 9cm IMPR. TORTA 3 LECHES CONGELADA</v>
          </cell>
          <cell r="H199"/>
          <cell r="I199"/>
          <cell r="J199"/>
          <cell r="K199"/>
          <cell r="L199"/>
          <cell r="M199"/>
          <cell r="N199">
            <v>3000</v>
          </cell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K199"/>
          <cell r="DL199"/>
          <cell r="DM199"/>
          <cell r="DN199"/>
          <cell r="DO199"/>
          <cell r="DP199"/>
          <cell r="DQ199"/>
          <cell r="DR199"/>
          <cell r="DS199"/>
          <cell r="DT199"/>
          <cell r="DU199"/>
          <cell r="DV199"/>
          <cell r="DW199"/>
          <cell r="DX199"/>
          <cell r="DY199"/>
          <cell r="DZ199"/>
          <cell r="EA199"/>
          <cell r="EB199"/>
          <cell r="EC199"/>
          <cell r="ED199"/>
          <cell r="EE199"/>
          <cell r="EF199"/>
          <cell r="EG199"/>
          <cell r="EH199"/>
          <cell r="EI199"/>
          <cell r="EJ199" t="str">
            <v>SIN USO</v>
          </cell>
          <cell r="EK199" t="str">
            <v/>
          </cell>
          <cell r="EL199">
            <v>10000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</row>
        <row r="200">
          <cell r="F200">
            <v>107227</v>
          </cell>
          <cell r="G200" t="str">
            <v>ETIQUETA CIRCULAR 90 IMPRESA TORTA MERENGUE FRAMBUESA ESPECIAL JUMBO</v>
          </cell>
          <cell r="H200"/>
          <cell r="I200">
            <v>1000</v>
          </cell>
          <cell r="J200"/>
          <cell r="K200">
            <v>1000</v>
          </cell>
          <cell r="L200">
            <v>1000</v>
          </cell>
          <cell r="M200">
            <v>1000</v>
          </cell>
          <cell r="N200">
            <v>1000</v>
          </cell>
          <cell r="O200"/>
          <cell r="P200"/>
          <cell r="Q200"/>
          <cell r="R200">
            <v>2000</v>
          </cell>
          <cell r="S200"/>
          <cell r="T200">
            <v>1000</v>
          </cell>
          <cell r="U200">
            <v>2000</v>
          </cell>
          <cell r="V200"/>
          <cell r="W200">
            <v>1000</v>
          </cell>
          <cell r="X200">
            <v>3000</v>
          </cell>
          <cell r="Y200"/>
          <cell r="Z200"/>
          <cell r="AA200"/>
          <cell r="AB200">
            <v>3000</v>
          </cell>
          <cell r="AC200">
            <v>1000</v>
          </cell>
          <cell r="AD200">
            <v>2000</v>
          </cell>
          <cell r="AE200"/>
          <cell r="AF200">
            <v>1000</v>
          </cell>
          <cell r="AG200"/>
          <cell r="AH200"/>
          <cell r="AI200"/>
          <cell r="AJ200">
            <v>1000</v>
          </cell>
          <cell r="AK200">
            <v>1000</v>
          </cell>
          <cell r="AL200"/>
          <cell r="AM200"/>
          <cell r="AN200"/>
          <cell r="AO200">
            <v>2000</v>
          </cell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>
            <v>1000</v>
          </cell>
          <cell r="BC200">
            <v>4000</v>
          </cell>
          <cell r="BD200">
            <v>6000</v>
          </cell>
          <cell r="BE200"/>
          <cell r="BF200">
            <v>4000</v>
          </cell>
          <cell r="BG200"/>
          <cell r="BH200"/>
          <cell r="BI200"/>
          <cell r="BJ200"/>
          <cell r="BK200">
            <v>5000</v>
          </cell>
          <cell r="BL200">
            <v>1000</v>
          </cell>
          <cell r="BM200">
            <v>2000</v>
          </cell>
          <cell r="BN200"/>
          <cell r="BO200">
            <v>1000</v>
          </cell>
          <cell r="BP200"/>
          <cell r="BQ200">
            <v>4000</v>
          </cell>
          <cell r="BR200">
            <v>2000</v>
          </cell>
          <cell r="BS200"/>
          <cell r="BT200">
            <v>1000</v>
          </cell>
          <cell r="BU200">
            <v>1000</v>
          </cell>
          <cell r="BV200">
            <v>3000</v>
          </cell>
          <cell r="BW200">
            <v>3000</v>
          </cell>
          <cell r="BX200">
            <v>1000</v>
          </cell>
          <cell r="BY200"/>
          <cell r="BZ200"/>
          <cell r="CA200">
            <v>6000</v>
          </cell>
          <cell r="CB200"/>
          <cell r="CC200"/>
          <cell r="CD200">
            <v>2000</v>
          </cell>
          <cell r="CE200"/>
          <cell r="CF200"/>
          <cell r="CG200">
            <v>1000</v>
          </cell>
          <cell r="CH200"/>
          <cell r="CI200">
            <v>2000</v>
          </cell>
          <cell r="CJ200">
            <v>1000</v>
          </cell>
          <cell r="CK200"/>
          <cell r="CL200">
            <v>1000</v>
          </cell>
          <cell r="CM200"/>
          <cell r="CN200"/>
          <cell r="CO200"/>
          <cell r="CP200"/>
          <cell r="CQ200">
            <v>2000</v>
          </cell>
          <cell r="CR200"/>
          <cell r="CS200"/>
          <cell r="CT200">
            <v>1000</v>
          </cell>
          <cell r="CU200">
            <v>2000</v>
          </cell>
          <cell r="CV200">
            <v>2000</v>
          </cell>
          <cell r="CW200">
            <v>2000</v>
          </cell>
          <cell r="CX200"/>
          <cell r="CY200">
            <v>3000</v>
          </cell>
          <cell r="CZ200">
            <v>2000</v>
          </cell>
          <cell r="DA200"/>
          <cell r="DB200">
            <v>4000</v>
          </cell>
          <cell r="DC200">
            <v>1000</v>
          </cell>
          <cell r="DD200">
            <v>1000</v>
          </cell>
          <cell r="DE200">
            <v>4000</v>
          </cell>
          <cell r="DF200">
            <v>5000</v>
          </cell>
          <cell r="DG200">
            <v>3000</v>
          </cell>
          <cell r="DH200"/>
          <cell r="DI200"/>
          <cell r="DJ200">
            <v>2000</v>
          </cell>
          <cell r="DK200">
            <v>7000</v>
          </cell>
          <cell r="DL200">
            <v>1000</v>
          </cell>
          <cell r="DM200"/>
          <cell r="DN200"/>
          <cell r="DO200">
            <v>2000</v>
          </cell>
          <cell r="DP200"/>
          <cell r="DQ200">
            <v>2000</v>
          </cell>
          <cell r="DR200"/>
          <cell r="DS200">
            <v>1000</v>
          </cell>
          <cell r="DT200">
            <v>3000</v>
          </cell>
          <cell r="DU200">
            <v>2000</v>
          </cell>
          <cell r="DV200">
            <v>2000</v>
          </cell>
          <cell r="DW200">
            <v>2000</v>
          </cell>
          <cell r="DX200">
            <v>2000</v>
          </cell>
          <cell r="DY200">
            <v>2000</v>
          </cell>
          <cell r="DZ200"/>
          <cell r="EA200"/>
          <cell r="EB200">
            <v>3000</v>
          </cell>
          <cell r="EC200">
            <v>2000</v>
          </cell>
          <cell r="ED200">
            <v>1000</v>
          </cell>
          <cell r="EE200"/>
          <cell r="EF200">
            <v>1000</v>
          </cell>
          <cell r="EG200">
            <v>2000</v>
          </cell>
          <cell r="EH200">
            <v>2000</v>
          </cell>
          <cell r="EI200"/>
          <cell r="EJ200" t="str">
            <v>ACTIVO</v>
          </cell>
          <cell r="EK200" t="str">
            <v>C</v>
          </cell>
          <cell r="EL200">
            <v>10000</v>
          </cell>
          <cell r="EM200">
            <v>2176.4705882352941</v>
          </cell>
          <cell r="EN200">
            <v>362.74509803921569</v>
          </cell>
          <cell r="EO200">
            <v>1417.8662939735209</v>
          </cell>
          <cell r="EP200">
            <v>0</v>
          </cell>
          <cell r="EQ200">
            <v>0</v>
          </cell>
          <cell r="ER200">
            <v>0</v>
          </cell>
          <cell r="ES200">
            <v>2176.4705882352941</v>
          </cell>
        </row>
        <row r="201">
          <cell r="F201">
            <v>107228</v>
          </cell>
          <cell r="G201" t="str">
            <v>ETIQUETA CIRCULAR 90 IMPRESA TORTA MERENGUE LÚCUMA ESPECIAL JUMBO</v>
          </cell>
          <cell r="H201">
            <v>1000</v>
          </cell>
          <cell r="I201"/>
          <cell r="J201"/>
          <cell r="K201">
            <v>2000</v>
          </cell>
          <cell r="L201">
            <v>1000</v>
          </cell>
          <cell r="M201">
            <v>1000</v>
          </cell>
          <cell r="N201">
            <v>2000</v>
          </cell>
          <cell r="O201"/>
          <cell r="P201"/>
          <cell r="Q201"/>
          <cell r="R201">
            <v>5000</v>
          </cell>
          <cell r="S201"/>
          <cell r="T201"/>
          <cell r="U201"/>
          <cell r="V201"/>
          <cell r="W201">
            <v>1000</v>
          </cell>
          <cell r="X201">
            <v>2000</v>
          </cell>
          <cell r="Y201"/>
          <cell r="Z201"/>
          <cell r="AA201">
            <v>2000</v>
          </cell>
          <cell r="AB201"/>
          <cell r="AC201"/>
          <cell r="AD201"/>
          <cell r="AE201">
            <v>1000</v>
          </cell>
          <cell r="AF201"/>
          <cell r="AG201"/>
          <cell r="AH201"/>
          <cell r="AI201"/>
          <cell r="AJ201"/>
          <cell r="AK201">
            <v>2000</v>
          </cell>
          <cell r="AL201"/>
          <cell r="AM201"/>
          <cell r="AN201">
            <v>1000</v>
          </cell>
          <cell r="AO201">
            <v>4000</v>
          </cell>
          <cell r="AP201"/>
          <cell r="AQ201"/>
          <cell r="AR201"/>
          <cell r="AS201"/>
          <cell r="AT201"/>
          <cell r="AU201">
            <v>1000</v>
          </cell>
          <cell r="AV201">
            <v>2000</v>
          </cell>
          <cell r="AW201"/>
          <cell r="AX201"/>
          <cell r="AY201"/>
          <cell r="AZ201">
            <v>1000</v>
          </cell>
          <cell r="BA201">
            <v>1000</v>
          </cell>
          <cell r="BB201">
            <v>5000</v>
          </cell>
          <cell r="BC201">
            <v>2000</v>
          </cell>
          <cell r="BD201"/>
          <cell r="BE201">
            <v>4000</v>
          </cell>
          <cell r="BF201"/>
          <cell r="BG201"/>
          <cell r="BH201"/>
          <cell r="BI201"/>
          <cell r="BJ201">
            <v>2000</v>
          </cell>
          <cell r="BK201">
            <v>1000</v>
          </cell>
          <cell r="BL201"/>
          <cell r="BM201"/>
          <cell r="BN201">
            <v>1000</v>
          </cell>
          <cell r="BO201">
            <v>1000</v>
          </cell>
          <cell r="BP201"/>
          <cell r="BQ201"/>
          <cell r="BR201">
            <v>1000</v>
          </cell>
          <cell r="BS201"/>
          <cell r="BT201">
            <v>1000</v>
          </cell>
          <cell r="BU201">
            <v>1000</v>
          </cell>
          <cell r="BV201">
            <v>2000</v>
          </cell>
          <cell r="BW201">
            <v>2000</v>
          </cell>
          <cell r="BX201">
            <v>2000</v>
          </cell>
          <cell r="BY201"/>
          <cell r="BZ201"/>
          <cell r="CA201">
            <v>3000</v>
          </cell>
          <cell r="CB201"/>
          <cell r="CC201"/>
          <cell r="CD201">
            <v>2000</v>
          </cell>
          <cell r="CE201"/>
          <cell r="CF201">
            <v>1000</v>
          </cell>
          <cell r="CG201">
            <v>1000</v>
          </cell>
          <cell r="CH201"/>
          <cell r="CI201">
            <v>1000</v>
          </cell>
          <cell r="CJ201">
            <v>1000</v>
          </cell>
          <cell r="CK201"/>
          <cell r="CL201">
            <v>1000</v>
          </cell>
          <cell r="CM201"/>
          <cell r="CN201">
            <v>2000</v>
          </cell>
          <cell r="CO201">
            <v>1000</v>
          </cell>
          <cell r="CP201">
            <v>1000</v>
          </cell>
          <cell r="CQ201">
            <v>1000</v>
          </cell>
          <cell r="CR201"/>
          <cell r="CS201"/>
          <cell r="CT201">
            <v>2000</v>
          </cell>
          <cell r="CU201">
            <v>1000</v>
          </cell>
          <cell r="CV201">
            <v>1000</v>
          </cell>
          <cell r="CW201">
            <v>1000</v>
          </cell>
          <cell r="CX201"/>
          <cell r="CY201">
            <v>2000</v>
          </cell>
          <cell r="CZ201">
            <v>2000</v>
          </cell>
          <cell r="DA201"/>
          <cell r="DB201">
            <v>1000</v>
          </cell>
          <cell r="DC201">
            <v>1000</v>
          </cell>
          <cell r="DD201"/>
          <cell r="DE201">
            <v>3000</v>
          </cell>
          <cell r="DF201">
            <v>1000</v>
          </cell>
          <cell r="DG201">
            <v>1000</v>
          </cell>
          <cell r="DH201"/>
          <cell r="DI201"/>
          <cell r="DJ201">
            <v>1000</v>
          </cell>
          <cell r="DK201">
            <v>4000</v>
          </cell>
          <cell r="DL201">
            <v>1000</v>
          </cell>
          <cell r="DM201"/>
          <cell r="DN201"/>
          <cell r="DO201">
            <v>1000</v>
          </cell>
          <cell r="DP201"/>
          <cell r="DQ201">
            <v>1000</v>
          </cell>
          <cell r="DR201"/>
          <cell r="DS201"/>
          <cell r="DT201">
            <v>2000</v>
          </cell>
          <cell r="DU201">
            <v>2000</v>
          </cell>
          <cell r="DV201">
            <v>2000</v>
          </cell>
          <cell r="DW201">
            <v>2000</v>
          </cell>
          <cell r="DX201">
            <v>2000</v>
          </cell>
          <cell r="DY201"/>
          <cell r="DZ201"/>
          <cell r="EA201"/>
          <cell r="EB201">
            <v>2000</v>
          </cell>
          <cell r="EC201"/>
          <cell r="ED201"/>
          <cell r="EE201"/>
          <cell r="EF201">
            <v>1000</v>
          </cell>
          <cell r="EG201">
            <v>1000</v>
          </cell>
          <cell r="EH201">
            <v>2000</v>
          </cell>
          <cell r="EI201"/>
          <cell r="EJ201" t="str">
            <v>ACTIVO</v>
          </cell>
          <cell r="EK201" t="str">
            <v>C</v>
          </cell>
          <cell r="EL201">
            <v>10000</v>
          </cell>
          <cell r="EM201">
            <v>1692.3076923076924</v>
          </cell>
          <cell r="EN201">
            <v>282.05128205128204</v>
          </cell>
          <cell r="EO201">
            <v>614.83672104745585</v>
          </cell>
          <cell r="EP201">
            <v>9000</v>
          </cell>
          <cell r="EQ201">
            <v>204300</v>
          </cell>
          <cell r="ER201">
            <v>5.3181818181818183</v>
          </cell>
          <cell r="ES201">
            <v>1692.3076923076924</v>
          </cell>
        </row>
        <row r="202">
          <cell r="F202">
            <v>405124</v>
          </cell>
          <cell r="G202" t="str">
            <v>ETIQUETAS CIRCULAR 9cm IMPR. TORTA BEATRIZ JUMBO</v>
          </cell>
          <cell r="H202"/>
          <cell r="I202">
            <v>4000</v>
          </cell>
          <cell r="J202">
            <v>4000</v>
          </cell>
          <cell r="K202">
            <v>3000</v>
          </cell>
          <cell r="L202"/>
          <cell r="M202">
            <v>4000</v>
          </cell>
          <cell r="N202"/>
          <cell r="O202">
            <v>6000</v>
          </cell>
          <cell r="P202">
            <v>3000</v>
          </cell>
          <cell r="Q202">
            <v>3000</v>
          </cell>
          <cell r="R202"/>
          <cell r="S202">
            <v>4000</v>
          </cell>
          <cell r="T202">
            <v>3000</v>
          </cell>
          <cell r="U202">
            <v>3000</v>
          </cell>
          <cell r="V202">
            <v>3000</v>
          </cell>
          <cell r="W202">
            <v>3000</v>
          </cell>
          <cell r="X202">
            <v>4000</v>
          </cell>
          <cell r="Y202">
            <v>1000</v>
          </cell>
          <cell r="Z202">
            <v>8000</v>
          </cell>
          <cell r="AA202">
            <v>8000</v>
          </cell>
          <cell r="AB202">
            <v>11000</v>
          </cell>
          <cell r="AC202"/>
          <cell r="AD202"/>
          <cell r="AE202">
            <v>10000</v>
          </cell>
          <cell r="AF202"/>
          <cell r="AG202">
            <v>5000</v>
          </cell>
          <cell r="AH202"/>
          <cell r="AI202">
            <v>5000</v>
          </cell>
          <cell r="AJ202">
            <v>8000</v>
          </cell>
          <cell r="AK202">
            <v>2000</v>
          </cell>
          <cell r="AL202">
            <v>6000</v>
          </cell>
          <cell r="AM202">
            <v>3000</v>
          </cell>
          <cell r="AN202"/>
          <cell r="AO202"/>
          <cell r="AP202"/>
          <cell r="AQ202">
            <v>3000</v>
          </cell>
          <cell r="AR202"/>
          <cell r="AS202">
            <v>3000</v>
          </cell>
          <cell r="AT202">
            <v>3000</v>
          </cell>
          <cell r="AU202"/>
          <cell r="AV202">
            <v>4000</v>
          </cell>
          <cell r="AW202">
            <v>3000</v>
          </cell>
          <cell r="AX202">
            <v>6000</v>
          </cell>
          <cell r="AY202">
            <v>1000</v>
          </cell>
          <cell r="AZ202"/>
          <cell r="BA202">
            <v>6000</v>
          </cell>
          <cell r="BB202">
            <v>3000</v>
          </cell>
          <cell r="BC202"/>
          <cell r="BD202">
            <v>3000</v>
          </cell>
          <cell r="BE202">
            <v>3000</v>
          </cell>
          <cell r="BF202">
            <v>3</v>
          </cell>
          <cell r="BG202">
            <v>8997</v>
          </cell>
          <cell r="BH202">
            <v>3000</v>
          </cell>
          <cell r="BI202"/>
          <cell r="BJ202">
            <v>1000</v>
          </cell>
          <cell r="BK202">
            <v>6000</v>
          </cell>
          <cell r="BL202"/>
          <cell r="BM202">
            <v>3000</v>
          </cell>
          <cell r="BN202">
            <v>3000</v>
          </cell>
          <cell r="BO202">
            <v>6000</v>
          </cell>
          <cell r="BP202"/>
          <cell r="BQ202">
            <v>3000</v>
          </cell>
          <cell r="BR202">
            <v>3000</v>
          </cell>
          <cell r="BS202">
            <v>1000</v>
          </cell>
          <cell r="BT202">
            <v>6000</v>
          </cell>
          <cell r="BU202"/>
          <cell r="BV202">
            <v>3000</v>
          </cell>
          <cell r="BW202">
            <v>4000</v>
          </cell>
          <cell r="BX202">
            <v>3000</v>
          </cell>
          <cell r="BY202">
            <v>9000</v>
          </cell>
          <cell r="BZ202"/>
          <cell r="CA202">
            <v>6000</v>
          </cell>
          <cell r="CB202">
            <v>3000</v>
          </cell>
          <cell r="CC202"/>
          <cell r="CD202">
            <v>3000</v>
          </cell>
          <cell r="CE202">
            <v>6000</v>
          </cell>
          <cell r="CF202">
            <v>6000</v>
          </cell>
          <cell r="CG202">
            <v>3000</v>
          </cell>
          <cell r="CH202"/>
          <cell r="CI202">
            <v>7000</v>
          </cell>
          <cell r="CJ202">
            <v>4000</v>
          </cell>
          <cell r="CK202"/>
          <cell r="CL202">
            <v>3000</v>
          </cell>
          <cell r="CM202">
            <v>3000</v>
          </cell>
          <cell r="CN202">
            <v>6000</v>
          </cell>
          <cell r="CO202">
            <v>3000</v>
          </cell>
          <cell r="CP202">
            <v>3000</v>
          </cell>
          <cell r="CQ202"/>
          <cell r="CR202">
            <v>2000</v>
          </cell>
          <cell r="CS202"/>
          <cell r="CT202">
            <v>6000</v>
          </cell>
          <cell r="CU202">
            <v>4000</v>
          </cell>
          <cell r="CV202">
            <v>4000</v>
          </cell>
          <cell r="CW202">
            <v>2000</v>
          </cell>
          <cell r="CX202">
            <v>4000</v>
          </cell>
          <cell r="CY202">
            <v>4000</v>
          </cell>
          <cell r="CZ202">
            <v>3000</v>
          </cell>
          <cell r="DA202"/>
          <cell r="DB202">
            <v>3000</v>
          </cell>
          <cell r="DC202">
            <v>3000</v>
          </cell>
          <cell r="DD202"/>
          <cell r="DE202">
            <v>5000</v>
          </cell>
          <cell r="DF202">
            <v>3000</v>
          </cell>
          <cell r="DG202">
            <v>5000</v>
          </cell>
          <cell r="DH202"/>
          <cell r="DI202"/>
          <cell r="DJ202">
            <v>3000</v>
          </cell>
          <cell r="DK202">
            <v>6000</v>
          </cell>
          <cell r="DL202">
            <v>3000</v>
          </cell>
          <cell r="DM202"/>
          <cell r="DN202">
            <v>3000</v>
          </cell>
          <cell r="DO202">
            <v>4000</v>
          </cell>
          <cell r="DP202">
            <v>3000</v>
          </cell>
          <cell r="DQ202">
            <v>3000</v>
          </cell>
          <cell r="DR202">
            <v>3000</v>
          </cell>
          <cell r="DS202">
            <v>3000</v>
          </cell>
          <cell r="DT202">
            <v>6000</v>
          </cell>
          <cell r="DU202">
            <v>3000</v>
          </cell>
          <cell r="DV202">
            <v>3000</v>
          </cell>
          <cell r="DW202">
            <v>3000</v>
          </cell>
          <cell r="DX202">
            <v>3000</v>
          </cell>
          <cell r="DY202">
            <v>7000</v>
          </cell>
          <cell r="DZ202">
            <v>7000</v>
          </cell>
          <cell r="EA202"/>
          <cell r="EB202">
            <v>6000</v>
          </cell>
          <cell r="EC202">
            <v>3000</v>
          </cell>
          <cell r="ED202">
            <v>3000</v>
          </cell>
          <cell r="EE202">
            <v>3000</v>
          </cell>
          <cell r="EF202">
            <v>6000</v>
          </cell>
          <cell r="EG202">
            <v>2000</v>
          </cell>
          <cell r="EH202">
            <v>3000</v>
          </cell>
          <cell r="EI202"/>
          <cell r="EJ202" t="str">
            <v>ACTIVO</v>
          </cell>
          <cell r="EK202" t="str">
            <v>C</v>
          </cell>
          <cell r="EL202">
            <v>10000</v>
          </cell>
          <cell r="EM202">
            <v>3909.090909090909</v>
          </cell>
          <cell r="EN202">
            <v>651.5151515151515</v>
          </cell>
          <cell r="EO202">
            <v>1693.8803881120914</v>
          </cell>
          <cell r="EP202">
            <v>7000</v>
          </cell>
          <cell r="EQ202">
            <v>120190</v>
          </cell>
          <cell r="ER202">
            <v>1.7906976744186047</v>
          </cell>
          <cell r="ES202">
            <v>3909.090909090909</v>
          </cell>
        </row>
        <row r="203">
          <cell r="F203">
            <v>405207</v>
          </cell>
          <cell r="G203" t="str">
            <v>ETIQ.CIRCULAR 9cm IMPR. TORTA SAN JORGE CHOCOLATE ARTESANAL JUMBO</v>
          </cell>
          <cell r="H203"/>
          <cell r="I203"/>
          <cell r="J203"/>
          <cell r="K203"/>
          <cell r="L203"/>
          <cell r="M203"/>
          <cell r="N203"/>
          <cell r="O203">
            <v>1000</v>
          </cell>
          <cell r="P203">
            <v>2000</v>
          </cell>
          <cell r="Q203">
            <v>2000</v>
          </cell>
          <cell r="R203"/>
          <cell r="S203"/>
          <cell r="T203">
            <v>1000</v>
          </cell>
          <cell r="U203">
            <v>1000</v>
          </cell>
          <cell r="V203">
            <v>1000</v>
          </cell>
          <cell r="W203">
            <v>1000</v>
          </cell>
          <cell r="X203">
            <v>1000</v>
          </cell>
          <cell r="Y203"/>
          <cell r="Z203"/>
          <cell r="AA203">
            <v>1000</v>
          </cell>
          <cell r="AB203">
            <v>2000</v>
          </cell>
          <cell r="AC203">
            <v>1000</v>
          </cell>
          <cell r="AD203"/>
          <cell r="AE203">
            <v>1000</v>
          </cell>
          <cell r="AF203"/>
          <cell r="AG203">
            <v>1000</v>
          </cell>
          <cell r="AH203">
            <v>1000</v>
          </cell>
          <cell r="AI203">
            <v>2000</v>
          </cell>
          <cell r="AJ203">
            <v>2000</v>
          </cell>
          <cell r="AK203">
            <v>2000</v>
          </cell>
          <cell r="AL203">
            <v>2000</v>
          </cell>
          <cell r="AM203">
            <v>2000</v>
          </cell>
          <cell r="AN203">
            <v>2000</v>
          </cell>
          <cell r="AO203"/>
          <cell r="AP203"/>
          <cell r="AQ203">
            <v>2000</v>
          </cell>
          <cell r="AR203"/>
          <cell r="AS203">
            <v>2000</v>
          </cell>
          <cell r="AT203">
            <v>2000</v>
          </cell>
          <cell r="AU203"/>
          <cell r="AV203">
            <v>2000</v>
          </cell>
          <cell r="AW203">
            <v>2000</v>
          </cell>
          <cell r="AX203">
            <v>2000</v>
          </cell>
          <cell r="AY203">
            <v>2000</v>
          </cell>
          <cell r="AZ203"/>
          <cell r="BA203">
            <v>4000</v>
          </cell>
          <cell r="BB203"/>
          <cell r="BC203"/>
          <cell r="BD203">
            <v>2000</v>
          </cell>
          <cell r="BE203">
            <v>2000</v>
          </cell>
          <cell r="BF203">
            <v>2</v>
          </cell>
          <cell r="BG203">
            <v>3998</v>
          </cell>
          <cell r="BH203">
            <v>2000</v>
          </cell>
          <cell r="BI203"/>
          <cell r="BJ203"/>
          <cell r="BK203">
            <v>4000</v>
          </cell>
          <cell r="BL203"/>
          <cell r="BM203">
            <v>3000</v>
          </cell>
          <cell r="BN203">
            <v>2000</v>
          </cell>
          <cell r="BO203">
            <v>3000</v>
          </cell>
          <cell r="BP203"/>
          <cell r="BQ203">
            <v>1000</v>
          </cell>
          <cell r="BR203">
            <v>2000</v>
          </cell>
          <cell r="BS203"/>
          <cell r="BT203">
            <v>4000</v>
          </cell>
          <cell r="BU203"/>
          <cell r="BV203">
            <v>2000</v>
          </cell>
          <cell r="BW203">
            <v>3000</v>
          </cell>
          <cell r="BX203">
            <v>2000</v>
          </cell>
          <cell r="BY203">
            <v>2000</v>
          </cell>
          <cell r="BZ203"/>
          <cell r="CA203">
            <v>4000</v>
          </cell>
          <cell r="CB203">
            <v>2000</v>
          </cell>
          <cell r="CC203"/>
          <cell r="CD203">
            <v>2000</v>
          </cell>
          <cell r="CE203">
            <v>2000</v>
          </cell>
          <cell r="CF203">
            <v>4000</v>
          </cell>
          <cell r="CG203">
            <v>2000</v>
          </cell>
          <cell r="CH203"/>
          <cell r="CI203">
            <v>4000</v>
          </cell>
          <cell r="CJ203">
            <v>2000</v>
          </cell>
          <cell r="CK203"/>
          <cell r="CL203">
            <v>2000</v>
          </cell>
          <cell r="CM203">
            <v>2000</v>
          </cell>
          <cell r="CN203">
            <v>4000</v>
          </cell>
          <cell r="CO203">
            <v>1000</v>
          </cell>
          <cell r="CP203">
            <v>1000</v>
          </cell>
          <cell r="CQ203"/>
          <cell r="CR203"/>
          <cell r="CS203"/>
          <cell r="CT203">
            <v>2000</v>
          </cell>
          <cell r="CU203">
            <v>1000</v>
          </cell>
          <cell r="CV203">
            <v>1000</v>
          </cell>
          <cell r="CW203">
            <v>1000</v>
          </cell>
          <cell r="CX203"/>
          <cell r="CY203">
            <v>1000</v>
          </cell>
          <cell r="CZ203">
            <v>1000</v>
          </cell>
          <cell r="DA203"/>
          <cell r="DB203">
            <v>1000</v>
          </cell>
          <cell r="DC203">
            <v>1000</v>
          </cell>
          <cell r="DD203"/>
          <cell r="DE203">
            <v>1000</v>
          </cell>
          <cell r="DF203">
            <v>1000</v>
          </cell>
          <cell r="DG203">
            <v>1000</v>
          </cell>
          <cell r="DH203"/>
          <cell r="DI203"/>
          <cell r="DJ203">
            <v>1000</v>
          </cell>
          <cell r="DK203">
            <v>2000</v>
          </cell>
          <cell r="DL203">
            <v>1000</v>
          </cell>
          <cell r="DM203">
            <v>1000</v>
          </cell>
          <cell r="DN203">
            <v>1000</v>
          </cell>
          <cell r="DO203">
            <v>1000</v>
          </cell>
          <cell r="DP203"/>
          <cell r="DQ203">
            <v>1000</v>
          </cell>
          <cell r="DR203">
            <v>1000</v>
          </cell>
          <cell r="DS203">
            <v>1000</v>
          </cell>
          <cell r="DT203">
            <v>1000</v>
          </cell>
          <cell r="DU203">
            <v>1000</v>
          </cell>
          <cell r="DV203">
            <v>1000</v>
          </cell>
          <cell r="DW203">
            <v>1000</v>
          </cell>
          <cell r="DX203">
            <v>1000</v>
          </cell>
          <cell r="DY203">
            <v>2000</v>
          </cell>
          <cell r="DZ203"/>
          <cell r="EA203"/>
          <cell r="EB203">
            <v>2000</v>
          </cell>
          <cell r="EC203"/>
          <cell r="ED203">
            <v>1000</v>
          </cell>
          <cell r="EE203">
            <v>1000</v>
          </cell>
          <cell r="EF203">
            <v>2000</v>
          </cell>
          <cell r="EG203">
            <v>1000</v>
          </cell>
          <cell r="EH203"/>
          <cell r="EI203"/>
          <cell r="EJ203" t="str">
            <v>ACTIVO</v>
          </cell>
          <cell r="EK203" t="str">
            <v>C</v>
          </cell>
          <cell r="EL203">
            <v>10000</v>
          </cell>
          <cell r="EM203">
            <v>1200</v>
          </cell>
          <cell r="EN203">
            <v>200</v>
          </cell>
          <cell r="EO203">
            <v>1067.559150437361</v>
          </cell>
          <cell r="EP203">
            <v>15000</v>
          </cell>
          <cell r="EQ203">
            <v>441000</v>
          </cell>
          <cell r="ER203">
            <v>12.5</v>
          </cell>
          <cell r="ES203">
            <v>1200</v>
          </cell>
        </row>
        <row r="204">
          <cell r="F204">
            <v>405310</v>
          </cell>
          <cell r="G204" t="str">
            <v>ETIQUETA OPP TRANSPARENTE 22X32 CRISME</v>
          </cell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>
            <v>10000</v>
          </cell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>
            <v>10000</v>
          </cell>
          <cell r="BE204"/>
          <cell r="BF204"/>
          <cell r="BG204">
            <v>15000</v>
          </cell>
          <cell r="BH204">
            <v>20000</v>
          </cell>
          <cell r="BI204"/>
          <cell r="BJ204"/>
          <cell r="BK204"/>
          <cell r="BL204"/>
          <cell r="BM204">
            <v>5000</v>
          </cell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>
            <v>5000</v>
          </cell>
          <cell r="CX204"/>
          <cell r="CY204"/>
          <cell r="CZ204">
            <v>1000</v>
          </cell>
          <cell r="DA204">
            <v>2000</v>
          </cell>
          <cell r="DB204">
            <v>1000</v>
          </cell>
          <cell r="DC204">
            <v>1000</v>
          </cell>
          <cell r="DD204">
            <v>1000</v>
          </cell>
          <cell r="DE204"/>
          <cell r="DF204"/>
          <cell r="DG204">
            <v>1000</v>
          </cell>
          <cell r="DH204"/>
          <cell r="DI204"/>
          <cell r="DJ204">
            <v>1000</v>
          </cell>
          <cell r="DK204">
            <v>2000</v>
          </cell>
          <cell r="DL204">
            <v>1000</v>
          </cell>
          <cell r="DM204">
            <v>1000</v>
          </cell>
          <cell r="DN204">
            <v>1000</v>
          </cell>
          <cell r="DO204">
            <v>1000</v>
          </cell>
          <cell r="DP204"/>
          <cell r="DQ204"/>
          <cell r="DR204"/>
          <cell r="DS204"/>
          <cell r="DT204"/>
          <cell r="DU204"/>
          <cell r="DV204"/>
          <cell r="DW204"/>
          <cell r="DX204"/>
          <cell r="DY204"/>
          <cell r="DZ204"/>
          <cell r="EA204"/>
          <cell r="EB204"/>
          <cell r="EC204"/>
          <cell r="ED204"/>
          <cell r="EE204">
            <v>10000</v>
          </cell>
          <cell r="EF204"/>
          <cell r="EG204"/>
          <cell r="EH204"/>
          <cell r="EI204"/>
          <cell r="EJ204" t="str">
            <v>SIN USO</v>
          </cell>
          <cell r="EK204" t="str">
            <v>C</v>
          </cell>
          <cell r="EL204">
            <v>10000</v>
          </cell>
          <cell r="EM204">
            <v>2428.5714285714284</v>
          </cell>
          <cell r="EN204">
            <v>404.76190476190476</v>
          </cell>
          <cell r="EO204">
            <v>6193.6347253540152</v>
          </cell>
          <cell r="EP204">
            <v>100000</v>
          </cell>
          <cell r="EQ204">
            <v>800000</v>
          </cell>
          <cell r="ER204">
            <v>41.176470588235297</v>
          </cell>
          <cell r="ES204">
            <v>2428.5714285714284</v>
          </cell>
        </row>
        <row r="205">
          <cell r="F205">
            <v>107266</v>
          </cell>
          <cell r="G205" t="str">
            <v>ETIQUETA CIRCULAR OPCIÓN VEGANA CRISME</v>
          </cell>
          <cell r="H205"/>
          <cell r="I205"/>
          <cell r="J205"/>
          <cell r="K205"/>
          <cell r="L205"/>
          <cell r="M205"/>
          <cell r="N205"/>
          <cell r="O205"/>
          <cell r="P205"/>
          <cell r="Q205">
            <v>7000</v>
          </cell>
          <cell r="R205"/>
          <cell r="S205"/>
          <cell r="T205"/>
          <cell r="U205">
            <v>8000</v>
          </cell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>
            <v>3000</v>
          </cell>
          <cell r="AH205"/>
          <cell r="AI205">
            <v>3000</v>
          </cell>
          <cell r="AJ205"/>
          <cell r="AK205"/>
          <cell r="AL205"/>
          <cell r="AM205"/>
          <cell r="AN205"/>
          <cell r="AO205"/>
          <cell r="AP205"/>
          <cell r="AQ205">
            <v>6000</v>
          </cell>
          <cell r="AR205"/>
          <cell r="AS205"/>
          <cell r="AT205"/>
          <cell r="AU205"/>
          <cell r="AV205"/>
          <cell r="AW205"/>
          <cell r="AX205"/>
          <cell r="AY205">
            <v>3000</v>
          </cell>
          <cell r="AZ205">
            <v>1000</v>
          </cell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>
            <v>3000</v>
          </cell>
          <cell r="BM205"/>
          <cell r="BN205"/>
          <cell r="BO205">
            <v>6000</v>
          </cell>
          <cell r="BP205"/>
          <cell r="BQ205"/>
          <cell r="BR205"/>
          <cell r="BS205"/>
          <cell r="BT205"/>
          <cell r="BU205"/>
          <cell r="BV205"/>
          <cell r="BW205"/>
          <cell r="BX205"/>
          <cell r="BY205">
            <v>3000</v>
          </cell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>
            <v>4000</v>
          </cell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>
            <v>3000</v>
          </cell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K205"/>
          <cell r="DL205"/>
          <cell r="DM205"/>
          <cell r="DN205"/>
          <cell r="DO205">
            <v>3000</v>
          </cell>
          <cell r="DP205"/>
          <cell r="DQ205">
            <v>3000</v>
          </cell>
          <cell r="DR205"/>
          <cell r="DS205"/>
          <cell r="DT205"/>
          <cell r="DU205"/>
          <cell r="DV205"/>
          <cell r="DW205"/>
          <cell r="DX205"/>
          <cell r="DY205"/>
          <cell r="DZ205"/>
          <cell r="EA205"/>
          <cell r="EB205"/>
          <cell r="EC205"/>
          <cell r="ED205"/>
          <cell r="EE205"/>
          <cell r="EF205"/>
          <cell r="EG205">
            <v>3000</v>
          </cell>
          <cell r="EH205"/>
          <cell r="EI205"/>
          <cell r="EJ205" t="str">
            <v>ACTIVO</v>
          </cell>
          <cell r="EK205" t="str">
            <v>C</v>
          </cell>
          <cell r="EL205">
            <v>3000</v>
          </cell>
          <cell r="EM205">
            <v>3000</v>
          </cell>
          <cell r="EN205">
            <v>500</v>
          </cell>
          <cell r="EO205">
            <v>1303.8404810405298</v>
          </cell>
          <cell r="EP205">
            <v>6000</v>
          </cell>
          <cell r="EQ205">
            <v>81900</v>
          </cell>
          <cell r="ER205">
            <v>2</v>
          </cell>
          <cell r="ES205">
            <v>3000</v>
          </cell>
        </row>
        <row r="206">
          <cell r="F206">
            <v>405352</v>
          </cell>
          <cell r="G206" t="str">
            <v>ETIQ. CIRCULAR 90cm IMPR. TORTA CUSINE &amp; CO SISA CONFETTI</v>
          </cell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>
            <v>1000</v>
          </cell>
          <cell r="AM206">
            <v>2000</v>
          </cell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>
            <v>1000</v>
          </cell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K206"/>
          <cell r="DL206"/>
          <cell r="DM206"/>
          <cell r="DN206"/>
          <cell r="DO206"/>
          <cell r="DP206"/>
          <cell r="DQ206"/>
          <cell r="DR206"/>
          <cell r="DS206"/>
          <cell r="DT206"/>
          <cell r="DU206"/>
          <cell r="DV206"/>
          <cell r="DW206"/>
          <cell r="DX206"/>
          <cell r="DY206"/>
          <cell r="DZ206"/>
          <cell r="EA206"/>
          <cell r="EB206"/>
          <cell r="EC206"/>
          <cell r="ED206"/>
          <cell r="EE206"/>
          <cell r="EF206"/>
          <cell r="EG206"/>
          <cell r="EH206"/>
          <cell r="EI206"/>
          <cell r="EJ206" t="str">
            <v>SIN USO</v>
          </cell>
          <cell r="EK206" t="str">
            <v>C</v>
          </cell>
          <cell r="EL206">
            <v>10000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</row>
        <row r="207">
          <cell r="F207">
            <v>405359</v>
          </cell>
          <cell r="G207" t="str">
            <v>ETIQ. CIRCULAR 90cm IMPR. TORTA CUSINE &amp; CO SISA TORTA CARAMEL</v>
          </cell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>
            <v>1000</v>
          </cell>
          <cell r="AP207">
            <v>1000</v>
          </cell>
          <cell r="AQ207">
            <v>2000</v>
          </cell>
          <cell r="AR207">
            <v>1000</v>
          </cell>
          <cell r="AS207">
            <v>1000</v>
          </cell>
          <cell r="AT207"/>
          <cell r="AU207"/>
          <cell r="AV207">
            <v>1000</v>
          </cell>
          <cell r="AW207"/>
          <cell r="AX207">
            <v>1000</v>
          </cell>
          <cell r="AY207">
            <v>2000</v>
          </cell>
          <cell r="AZ207"/>
          <cell r="BA207"/>
          <cell r="BB207">
            <v>2000</v>
          </cell>
          <cell r="BC207">
            <v>1000</v>
          </cell>
          <cell r="BD207">
            <v>1000</v>
          </cell>
          <cell r="BE207"/>
          <cell r="BF207"/>
          <cell r="BG207">
            <v>1000</v>
          </cell>
          <cell r="BH207"/>
          <cell r="BI207">
            <v>1000</v>
          </cell>
          <cell r="BJ207">
            <v>1000</v>
          </cell>
          <cell r="BK207">
            <v>1000</v>
          </cell>
          <cell r="BL207">
            <v>1000</v>
          </cell>
          <cell r="BM207">
            <v>1000</v>
          </cell>
          <cell r="BN207"/>
          <cell r="BO207">
            <v>5000</v>
          </cell>
          <cell r="BP207"/>
          <cell r="BQ207">
            <v>3000</v>
          </cell>
          <cell r="BR207">
            <v>2000</v>
          </cell>
          <cell r="BS207">
            <v>1000</v>
          </cell>
          <cell r="BT207">
            <v>5000</v>
          </cell>
          <cell r="BU207"/>
          <cell r="BV207">
            <v>2000</v>
          </cell>
          <cell r="BW207">
            <v>3000</v>
          </cell>
          <cell r="BX207">
            <v>5000</v>
          </cell>
          <cell r="BY207"/>
          <cell r="BZ207"/>
          <cell r="CA207">
            <v>2000</v>
          </cell>
          <cell r="CB207"/>
          <cell r="CC207"/>
          <cell r="CD207">
            <v>1000</v>
          </cell>
          <cell r="CE207">
            <v>2000</v>
          </cell>
          <cell r="CF207">
            <v>4000</v>
          </cell>
          <cell r="CG207">
            <v>1000</v>
          </cell>
          <cell r="CH207">
            <v>2000</v>
          </cell>
          <cell r="CI207">
            <v>3000</v>
          </cell>
          <cell r="CJ207">
            <v>2000</v>
          </cell>
          <cell r="CK207"/>
          <cell r="CL207">
            <v>2000</v>
          </cell>
          <cell r="CM207">
            <v>1000</v>
          </cell>
          <cell r="CN207">
            <v>4000</v>
          </cell>
          <cell r="CO207">
            <v>2000</v>
          </cell>
          <cell r="CP207">
            <v>2000</v>
          </cell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K207"/>
          <cell r="DL207"/>
          <cell r="DM207"/>
          <cell r="DN207"/>
          <cell r="DO207"/>
          <cell r="DP207"/>
          <cell r="DQ207"/>
          <cell r="DR207"/>
          <cell r="DS207"/>
          <cell r="DT207"/>
          <cell r="DU207"/>
          <cell r="DV207"/>
          <cell r="DW207"/>
          <cell r="DX207"/>
          <cell r="DY207"/>
          <cell r="DZ207"/>
          <cell r="EA207"/>
          <cell r="EB207"/>
          <cell r="EC207"/>
          <cell r="ED207"/>
          <cell r="EE207"/>
          <cell r="EF207"/>
          <cell r="EG207"/>
          <cell r="EH207"/>
          <cell r="EI207"/>
          <cell r="EJ207" t="str">
            <v>SIN USO</v>
          </cell>
          <cell r="EK207" t="str">
            <v>C</v>
          </cell>
          <cell r="EL207">
            <v>10000</v>
          </cell>
          <cell r="EM207">
            <v>0</v>
          </cell>
          <cell r="EN207">
            <v>0</v>
          </cell>
          <cell r="EO207">
            <v>1343.3597376039615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</row>
        <row r="208">
          <cell r="F208">
            <v>405358</v>
          </cell>
          <cell r="G208" t="str">
            <v>ETIQ. CIRCULAR 90cm IMPR. JUMBO TARTA FRUTA MIXTA SURTIDA</v>
          </cell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>
            <v>1000</v>
          </cell>
          <cell r="AQ208"/>
          <cell r="AR208">
            <v>1000</v>
          </cell>
          <cell r="AS208">
            <v>1000</v>
          </cell>
          <cell r="AT208">
            <v>1000</v>
          </cell>
          <cell r="AU208">
            <v>1000</v>
          </cell>
          <cell r="AV208">
            <v>1000</v>
          </cell>
          <cell r="AW208">
            <v>2000</v>
          </cell>
          <cell r="AX208">
            <v>2000</v>
          </cell>
          <cell r="AY208">
            <v>2000</v>
          </cell>
          <cell r="AZ208"/>
          <cell r="BA208">
            <v>2000</v>
          </cell>
          <cell r="BB208">
            <v>3000</v>
          </cell>
          <cell r="BC208"/>
          <cell r="BD208">
            <v>2000</v>
          </cell>
          <cell r="BE208">
            <v>1000</v>
          </cell>
          <cell r="BF208">
            <v>1001</v>
          </cell>
          <cell r="BG208">
            <v>3999</v>
          </cell>
          <cell r="BH208">
            <v>1000</v>
          </cell>
          <cell r="BI208"/>
          <cell r="BJ208"/>
          <cell r="BK208">
            <v>3000</v>
          </cell>
          <cell r="BL208">
            <v>1000</v>
          </cell>
          <cell r="BM208">
            <v>1001</v>
          </cell>
          <cell r="BN208">
            <v>1000</v>
          </cell>
          <cell r="BO208">
            <v>6000</v>
          </cell>
          <cell r="BP208"/>
          <cell r="BQ208">
            <v>3000</v>
          </cell>
          <cell r="BR208">
            <v>2000</v>
          </cell>
          <cell r="BS208"/>
          <cell r="BT208">
            <v>4000</v>
          </cell>
          <cell r="BU208">
            <v>1000</v>
          </cell>
          <cell r="BV208">
            <v>2000</v>
          </cell>
          <cell r="BW208">
            <v>2000</v>
          </cell>
          <cell r="BX208">
            <v>3000</v>
          </cell>
          <cell r="BY208"/>
          <cell r="BZ208"/>
          <cell r="CA208">
            <v>4000</v>
          </cell>
          <cell r="CB208">
            <v>2000</v>
          </cell>
          <cell r="CC208"/>
          <cell r="CD208">
            <v>2000</v>
          </cell>
          <cell r="CE208"/>
          <cell r="CF208">
            <v>2000</v>
          </cell>
          <cell r="CG208"/>
          <cell r="CH208"/>
          <cell r="CI208">
            <v>2000</v>
          </cell>
          <cell r="CJ208">
            <v>1000</v>
          </cell>
          <cell r="CK208"/>
          <cell r="CL208">
            <v>1000</v>
          </cell>
          <cell r="CM208">
            <v>1000</v>
          </cell>
          <cell r="CN208">
            <v>3000</v>
          </cell>
          <cell r="CO208">
            <v>1000</v>
          </cell>
          <cell r="CP208">
            <v>2000</v>
          </cell>
          <cell r="CQ208">
            <v>1000</v>
          </cell>
          <cell r="CR208">
            <v>1000</v>
          </cell>
          <cell r="CS208"/>
          <cell r="CT208">
            <v>2000</v>
          </cell>
          <cell r="CU208">
            <v>4000</v>
          </cell>
          <cell r="CV208">
            <v>2000</v>
          </cell>
          <cell r="CW208">
            <v>1000</v>
          </cell>
          <cell r="CX208">
            <v>2000</v>
          </cell>
          <cell r="CY208">
            <v>1000</v>
          </cell>
          <cell r="CZ208">
            <v>2000</v>
          </cell>
          <cell r="DA208">
            <v>1000</v>
          </cell>
          <cell r="DB208">
            <v>2000</v>
          </cell>
          <cell r="DC208">
            <v>2000</v>
          </cell>
          <cell r="DD208"/>
          <cell r="DE208">
            <v>3000</v>
          </cell>
          <cell r="DF208">
            <v>2000</v>
          </cell>
          <cell r="DG208">
            <v>2000</v>
          </cell>
          <cell r="DH208"/>
          <cell r="DI208"/>
          <cell r="DJ208">
            <v>2000</v>
          </cell>
          <cell r="DK208">
            <v>4000</v>
          </cell>
          <cell r="DL208">
            <v>2000</v>
          </cell>
          <cell r="DM208"/>
          <cell r="DN208">
            <v>2000</v>
          </cell>
          <cell r="DO208">
            <v>2000</v>
          </cell>
          <cell r="DP208"/>
          <cell r="DQ208">
            <v>2000</v>
          </cell>
          <cell r="DR208">
            <v>2000</v>
          </cell>
          <cell r="DS208">
            <v>2000</v>
          </cell>
          <cell r="DT208">
            <v>2000</v>
          </cell>
          <cell r="DU208">
            <v>2000</v>
          </cell>
          <cell r="DV208">
            <v>2000</v>
          </cell>
          <cell r="DW208">
            <v>2000</v>
          </cell>
          <cell r="DX208">
            <v>2000</v>
          </cell>
          <cell r="DY208">
            <v>3000</v>
          </cell>
          <cell r="DZ208">
            <v>1000</v>
          </cell>
          <cell r="EA208"/>
          <cell r="EB208">
            <v>4000</v>
          </cell>
          <cell r="EC208">
            <v>2000</v>
          </cell>
          <cell r="ED208">
            <v>2000</v>
          </cell>
          <cell r="EE208">
            <v>2000</v>
          </cell>
          <cell r="EF208">
            <v>2000</v>
          </cell>
          <cell r="EG208">
            <v>2000</v>
          </cell>
          <cell r="EH208">
            <v>2000</v>
          </cell>
          <cell r="EI208"/>
          <cell r="EJ208" t="str">
            <v>ACTIVO</v>
          </cell>
          <cell r="EK208" t="str">
            <v>C</v>
          </cell>
          <cell r="EL208">
            <v>10000</v>
          </cell>
          <cell r="EM208">
            <v>2190.4761904761904</v>
          </cell>
          <cell r="EN208">
            <v>365.07936507936506</v>
          </cell>
          <cell r="EO208">
            <v>1111.8063617217308</v>
          </cell>
          <cell r="EP208">
            <v>10000</v>
          </cell>
          <cell r="EQ208">
            <v>203100</v>
          </cell>
          <cell r="ER208">
            <v>4.5652173913043477</v>
          </cell>
          <cell r="ES208">
            <v>2190.4761904761904</v>
          </cell>
        </row>
        <row r="209">
          <cell r="F209">
            <v>405351</v>
          </cell>
          <cell r="G209" t="str">
            <v>ETIQ. CIRCULAR 90cm IMPR. CUSINE &amp; CO JUMBO PIE DE LIMON ESPECIAL</v>
          </cell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>
            <v>1000</v>
          </cell>
          <cell r="AL209"/>
          <cell r="AM209"/>
          <cell r="AN209"/>
          <cell r="AO209"/>
          <cell r="AP209"/>
          <cell r="AQ209"/>
          <cell r="AR209"/>
          <cell r="AS209">
            <v>1000</v>
          </cell>
          <cell r="AT209">
            <v>3000</v>
          </cell>
          <cell r="AU209"/>
          <cell r="AV209"/>
          <cell r="AW209"/>
          <cell r="AX209"/>
          <cell r="AY209">
            <v>3000</v>
          </cell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K209"/>
          <cell r="DL209"/>
          <cell r="DM209"/>
          <cell r="DN209"/>
          <cell r="DO209"/>
          <cell r="DP209"/>
          <cell r="DQ209"/>
          <cell r="DR209"/>
          <cell r="DS209"/>
          <cell r="DT209"/>
          <cell r="DU209"/>
          <cell r="DV209"/>
          <cell r="DW209"/>
          <cell r="DX209"/>
          <cell r="DY209"/>
          <cell r="DZ209">
            <v>2000</v>
          </cell>
          <cell r="EA209"/>
          <cell r="EB209"/>
          <cell r="EC209"/>
          <cell r="ED209"/>
          <cell r="EE209"/>
          <cell r="EF209"/>
          <cell r="EG209"/>
          <cell r="EH209"/>
          <cell r="EI209"/>
          <cell r="EJ209" t="str">
            <v>SIN USO</v>
          </cell>
          <cell r="EK209" t="str">
            <v/>
          </cell>
          <cell r="EL209"/>
          <cell r="EM209">
            <v>2000</v>
          </cell>
          <cell r="EN209">
            <v>333.33333333333331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2000</v>
          </cell>
        </row>
        <row r="210">
          <cell r="F210">
            <v>405540</v>
          </cell>
          <cell r="G210" t="str">
            <v>ETIQ. CIRCULAR 90cm IMPR. TORTA PISTACHO FRAMBUESA ESPECIAL JUMBO</v>
          </cell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>
            <v>3000</v>
          </cell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K210"/>
          <cell r="DL210"/>
          <cell r="DM210"/>
          <cell r="DN210"/>
          <cell r="DO210"/>
          <cell r="DP210"/>
          <cell r="DQ210"/>
          <cell r="DR210"/>
          <cell r="DS210"/>
          <cell r="DT210"/>
          <cell r="DU210"/>
          <cell r="DV210"/>
          <cell r="DW210"/>
          <cell r="DX210"/>
          <cell r="DY210"/>
          <cell r="DZ210"/>
          <cell r="EA210"/>
          <cell r="EB210"/>
          <cell r="EC210"/>
          <cell r="ED210"/>
          <cell r="EE210"/>
          <cell r="EF210"/>
          <cell r="EG210"/>
          <cell r="EH210"/>
          <cell r="EI210"/>
          <cell r="EJ210" t="str">
            <v>SIN USO</v>
          </cell>
          <cell r="EK210" t="str">
            <v>C</v>
          </cell>
          <cell r="EL210" t="str">
            <v/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</row>
        <row r="211">
          <cell r="F211">
            <v>405448</v>
          </cell>
          <cell r="G211" t="str">
            <v>ETIQ. CIRCULAR 90cm IMPR. TORTA MERENGUE NOUGAT ESPECIAL JUMBO</v>
          </cell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>
            <v>1000</v>
          </cell>
          <cell r="CB211"/>
          <cell r="CC211"/>
          <cell r="CD211"/>
          <cell r="CE211"/>
          <cell r="CF211">
            <v>1000</v>
          </cell>
          <cell r="CG211"/>
          <cell r="CH211"/>
          <cell r="CI211"/>
          <cell r="CJ211"/>
          <cell r="CK211">
            <v>1000</v>
          </cell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>
            <v>1000</v>
          </cell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>
            <v>2000</v>
          </cell>
          <cell r="DI211"/>
          <cell r="DJ211"/>
          <cell r="DK211"/>
          <cell r="DL211"/>
          <cell r="DM211"/>
          <cell r="DN211"/>
          <cell r="DO211"/>
          <cell r="DP211"/>
          <cell r="DQ211"/>
          <cell r="DR211"/>
          <cell r="DS211"/>
          <cell r="DT211"/>
          <cell r="DU211">
            <v>1000</v>
          </cell>
          <cell r="DV211"/>
          <cell r="DW211"/>
          <cell r="DX211"/>
          <cell r="DY211">
            <v>1000</v>
          </cell>
          <cell r="DZ211"/>
          <cell r="EA211"/>
          <cell r="EB211"/>
          <cell r="EC211"/>
          <cell r="ED211"/>
          <cell r="EE211"/>
          <cell r="EF211"/>
          <cell r="EG211"/>
          <cell r="EH211"/>
          <cell r="EI211">
            <v>1000</v>
          </cell>
          <cell r="EJ211" t="str">
            <v>ACTIVO</v>
          </cell>
          <cell r="EK211" t="str">
            <v>C</v>
          </cell>
          <cell r="EL211" t="str">
            <v/>
          </cell>
          <cell r="EM211">
            <v>1000</v>
          </cell>
          <cell r="EN211">
            <v>166.66666666666666</v>
          </cell>
          <cell r="EO211">
            <v>447.21359549995793</v>
          </cell>
          <cell r="EP211">
            <v>5000</v>
          </cell>
          <cell r="EQ211">
            <v>109750</v>
          </cell>
          <cell r="ER211">
            <v>5</v>
          </cell>
          <cell r="ES211">
            <v>1000</v>
          </cell>
        </row>
        <row r="212">
          <cell r="F212">
            <v>405535</v>
          </cell>
          <cell r="G212" t="str">
            <v>ETIQ. CIRCULAR 9cm IMPR. TORTA CALUGA NUEZ JUMBO</v>
          </cell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>
            <v>1000</v>
          </cell>
          <cell r="CD212">
            <v>1000</v>
          </cell>
          <cell r="CE212"/>
          <cell r="CF212">
            <v>1000</v>
          </cell>
          <cell r="CG212"/>
          <cell r="CH212"/>
          <cell r="CI212"/>
          <cell r="CJ212"/>
          <cell r="CK212"/>
          <cell r="CL212"/>
          <cell r="CM212">
            <v>1000</v>
          </cell>
          <cell r="CN212">
            <v>1000</v>
          </cell>
          <cell r="CO212"/>
          <cell r="CP212"/>
          <cell r="CQ212">
            <v>1000</v>
          </cell>
          <cell r="CR212"/>
          <cell r="CS212"/>
          <cell r="CT212">
            <v>2000</v>
          </cell>
          <cell r="CU212"/>
          <cell r="CV212">
            <v>1000</v>
          </cell>
          <cell r="CW212"/>
          <cell r="CX212"/>
          <cell r="CY212">
            <v>2000</v>
          </cell>
          <cell r="CZ212">
            <v>1000</v>
          </cell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K212"/>
          <cell r="DL212"/>
          <cell r="DM212"/>
          <cell r="DN212"/>
          <cell r="DO212"/>
          <cell r="DP212"/>
          <cell r="DQ212"/>
          <cell r="DR212"/>
          <cell r="DS212"/>
          <cell r="DT212"/>
          <cell r="DU212"/>
          <cell r="DV212"/>
          <cell r="DW212"/>
          <cell r="DX212"/>
          <cell r="DY212"/>
          <cell r="DZ212"/>
          <cell r="EA212"/>
          <cell r="EB212"/>
          <cell r="EC212"/>
          <cell r="ED212"/>
          <cell r="EE212"/>
          <cell r="EF212"/>
          <cell r="EG212"/>
          <cell r="EH212"/>
          <cell r="EI212"/>
          <cell r="EJ212" t="str">
            <v>ACTIVO</v>
          </cell>
          <cell r="EK212" t="str">
            <v>C</v>
          </cell>
          <cell r="EL212" t="str">
            <v/>
          </cell>
          <cell r="EM212">
            <v>0</v>
          </cell>
          <cell r="EN212">
            <v>0</v>
          </cell>
          <cell r="EO212">
            <v>421.63702135578393</v>
          </cell>
          <cell r="EP212">
            <v>12000</v>
          </cell>
          <cell r="EQ212">
            <v>312000</v>
          </cell>
          <cell r="ER212">
            <v>0</v>
          </cell>
          <cell r="ES212">
            <v>0</v>
          </cell>
        </row>
        <row r="213">
          <cell r="F213">
            <v>405553</v>
          </cell>
          <cell r="G213" t="str">
            <v>ETIQUETA CIRCULAR 9cm TORTA CREMA CHOCOLATE</v>
          </cell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>
            <v>3000</v>
          </cell>
          <cell r="CE213">
            <v>1000</v>
          </cell>
          <cell r="CF213">
            <v>3000</v>
          </cell>
          <cell r="CG213">
            <v>1000</v>
          </cell>
          <cell r="CH213"/>
          <cell r="CI213"/>
          <cell r="CJ213"/>
          <cell r="CK213"/>
          <cell r="CL213"/>
          <cell r="CM213">
            <v>2000</v>
          </cell>
          <cell r="CN213">
            <v>2000</v>
          </cell>
          <cell r="CO213">
            <v>2000</v>
          </cell>
          <cell r="CP213">
            <v>3000</v>
          </cell>
          <cell r="CQ213"/>
          <cell r="CR213"/>
          <cell r="CS213"/>
          <cell r="CT213">
            <v>2000</v>
          </cell>
          <cell r="CU213"/>
          <cell r="CV213">
            <v>1000</v>
          </cell>
          <cell r="CW213"/>
          <cell r="CX213">
            <v>2000</v>
          </cell>
          <cell r="CY213"/>
          <cell r="CZ213">
            <v>2000</v>
          </cell>
          <cell r="DA213"/>
          <cell r="DB213">
            <v>2000</v>
          </cell>
          <cell r="DC213"/>
          <cell r="DD213"/>
          <cell r="DE213"/>
          <cell r="DF213"/>
          <cell r="DG213"/>
          <cell r="DH213"/>
          <cell r="DI213"/>
          <cell r="DJ213">
            <v>2000</v>
          </cell>
          <cell r="DK213">
            <v>2000</v>
          </cell>
          <cell r="DL213">
            <v>2000</v>
          </cell>
          <cell r="DM213"/>
          <cell r="DN213">
            <v>2000</v>
          </cell>
          <cell r="DO213"/>
          <cell r="DP213"/>
          <cell r="DQ213"/>
          <cell r="DR213">
            <v>2000</v>
          </cell>
          <cell r="DS213">
            <v>2000</v>
          </cell>
          <cell r="DT213">
            <v>3000</v>
          </cell>
          <cell r="DU213">
            <v>3000</v>
          </cell>
          <cell r="DV213">
            <v>5000</v>
          </cell>
          <cell r="DW213"/>
          <cell r="DX213">
            <v>3000</v>
          </cell>
          <cell r="DY213">
            <v>4000</v>
          </cell>
          <cell r="DZ213"/>
          <cell r="EA213"/>
          <cell r="EB213"/>
          <cell r="EC213"/>
          <cell r="ED213">
            <v>4000</v>
          </cell>
          <cell r="EE213"/>
          <cell r="EF213"/>
          <cell r="EG213"/>
          <cell r="EH213"/>
          <cell r="EI213"/>
          <cell r="EJ213" t="str">
            <v>ACTIVO</v>
          </cell>
          <cell r="EK213" t="str">
            <v>C</v>
          </cell>
          <cell r="EL213" t="str">
            <v/>
          </cell>
          <cell r="EM213">
            <v>2833.3333333333335</v>
          </cell>
          <cell r="EN213">
            <v>472.22222222222223</v>
          </cell>
          <cell r="EO213">
            <v>707.10678118654755</v>
          </cell>
          <cell r="EP213">
            <v>6000</v>
          </cell>
          <cell r="EQ213">
            <v>152040</v>
          </cell>
          <cell r="ER213">
            <v>2.1176470588235294</v>
          </cell>
          <cell r="ES213">
            <v>2833.3333333333335</v>
          </cell>
        </row>
        <row r="214">
          <cell r="F214">
            <v>405492</v>
          </cell>
          <cell r="G214" t="str">
            <v>ETIQUETA GENERICA TORTA MIL HOJAS MANJAR ESPECIAL WALMART</v>
          </cell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>
            <v>10000</v>
          </cell>
          <cell r="CH214"/>
          <cell r="CI214"/>
          <cell r="CJ214"/>
          <cell r="CK214"/>
          <cell r="CL214">
            <v>10000</v>
          </cell>
          <cell r="CM214">
            <v>20000</v>
          </cell>
          <cell r="CN214"/>
          <cell r="CO214"/>
          <cell r="CP214"/>
          <cell r="CQ214">
            <v>20000</v>
          </cell>
          <cell r="CR214">
            <v>10000</v>
          </cell>
          <cell r="CS214">
            <v>10000</v>
          </cell>
          <cell r="CT214">
            <v>50000</v>
          </cell>
          <cell r="CU214"/>
          <cell r="CV214">
            <v>15000</v>
          </cell>
          <cell r="CW214">
            <v>8500</v>
          </cell>
          <cell r="CX214"/>
          <cell r="CY214"/>
          <cell r="CZ214"/>
          <cell r="DA214">
            <v>20000</v>
          </cell>
          <cell r="DB214"/>
          <cell r="DC214"/>
          <cell r="DD214">
            <v>20000</v>
          </cell>
          <cell r="DE214"/>
          <cell r="DF214"/>
          <cell r="DG214">
            <v>19500</v>
          </cell>
          <cell r="DH214"/>
          <cell r="DI214"/>
          <cell r="DJ214"/>
          <cell r="DK214"/>
          <cell r="DL214"/>
          <cell r="DM214"/>
          <cell r="DN214">
            <v>20000</v>
          </cell>
          <cell r="DO214"/>
          <cell r="DP214">
            <v>15000</v>
          </cell>
          <cell r="DQ214">
            <v>5000</v>
          </cell>
          <cell r="DR214"/>
          <cell r="DS214">
            <v>5000</v>
          </cell>
          <cell r="DT214"/>
          <cell r="DU214">
            <v>33000</v>
          </cell>
          <cell r="DV214"/>
          <cell r="DW214"/>
          <cell r="DX214"/>
          <cell r="DY214"/>
          <cell r="DZ214"/>
          <cell r="EA214"/>
          <cell r="EB214"/>
          <cell r="EC214"/>
          <cell r="ED214"/>
          <cell r="EE214"/>
          <cell r="EF214"/>
          <cell r="EG214"/>
          <cell r="EH214"/>
          <cell r="EI214"/>
          <cell r="EJ214" t="str">
            <v>SIN USO</v>
          </cell>
          <cell r="EK214" t="str">
            <v>C</v>
          </cell>
          <cell r="EL214" t="str">
            <v/>
          </cell>
          <cell r="EM214">
            <v>15600</v>
          </cell>
          <cell r="EN214">
            <v>2600</v>
          </cell>
          <cell r="EO214">
            <v>11268.419264798091</v>
          </cell>
          <cell r="EP214">
            <v>0</v>
          </cell>
          <cell r="EQ214">
            <v>0</v>
          </cell>
          <cell r="ER214">
            <v>0</v>
          </cell>
          <cell r="ES214">
            <v>15600</v>
          </cell>
        </row>
        <row r="215">
          <cell r="F215">
            <v>405033</v>
          </cell>
          <cell r="G215" t="str">
            <v>ETIQ. CIRCULAR 9cm IMPR. TORTA HOJA MANJAR PASTELERA</v>
          </cell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>
            <v>3000</v>
          </cell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K215"/>
          <cell r="DL215"/>
          <cell r="DM215"/>
          <cell r="DN215"/>
          <cell r="DO215"/>
          <cell r="DP215"/>
          <cell r="DQ215"/>
          <cell r="DR215"/>
          <cell r="DS215"/>
          <cell r="DT215"/>
          <cell r="DU215"/>
          <cell r="DV215"/>
          <cell r="DW215"/>
          <cell r="DX215"/>
          <cell r="DY215"/>
          <cell r="DZ215"/>
          <cell r="EA215"/>
          <cell r="EB215"/>
          <cell r="EC215"/>
          <cell r="ED215"/>
          <cell r="EE215"/>
          <cell r="EF215"/>
          <cell r="EG215"/>
          <cell r="EH215"/>
          <cell r="EI215"/>
          <cell r="EJ215" t="str">
            <v>SIN USO</v>
          </cell>
          <cell r="EK215" t="str">
            <v>C</v>
          </cell>
          <cell r="EL215" t="str">
            <v/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</row>
        <row r="216">
          <cell r="F216">
            <v>405463</v>
          </cell>
          <cell r="G216" t="str">
            <v>ETIQUETAS CIRCULAR 9cm IMPR. TORTA PQQ. CHOCOLATE MANJAR GUINDA SISA</v>
          </cell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>
            <v>1000</v>
          </cell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>
            <v>2000</v>
          </cell>
          <cell r="DK216"/>
          <cell r="DL216"/>
          <cell r="DM216"/>
          <cell r="DN216"/>
          <cell r="DO216"/>
          <cell r="DP216"/>
          <cell r="DQ216"/>
          <cell r="DR216"/>
          <cell r="DS216"/>
          <cell r="DT216"/>
          <cell r="DU216"/>
          <cell r="DV216"/>
          <cell r="DW216"/>
          <cell r="DX216"/>
          <cell r="DY216"/>
          <cell r="DZ216"/>
          <cell r="EA216"/>
          <cell r="EB216"/>
          <cell r="EC216"/>
          <cell r="ED216"/>
          <cell r="EE216"/>
          <cell r="EF216"/>
          <cell r="EG216"/>
          <cell r="EH216"/>
          <cell r="EI216"/>
          <cell r="EJ216" t="str">
            <v>ACTIVO</v>
          </cell>
          <cell r="EK216" t="str">
            <v>C</v>
          </cell>
          <cell r="EL216" t="str">
            <v/>
          </cell>
          <cell r="EM216">
            <v>2000</v>
          </cell>
          <cell r="EN216">
            <v>333.33333333333331</v>
          </cell>
          <cell r="EO216">
            <v>0</v>
          </cell>
          <cell r="EP216">
            <v>1000</v>
          </cell>
          <cell r="EQ216">
            <v>20240</v>
          </cell>
          <cell r="ER216">
            <v>0.5</v>
          </cell>
          <cell r="ES216">
            <v>2000</v>
          </cell>
        </row>
        <row r="217">
          <cell r="F217">
            <v>405223</v>
          </cell>
          <cell r="G217" t="str">
            <v>ETIQ.CIRCULAR 9cm IMPR. TORTA MERENGUE LUCUMA JUMBO</v>
          </cell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>
            <v>1000</v>
          </cell>
          <cell r="CZ217"/>
          <cell r="DA217"/>
          <cell r="DB217"/>
          <cell r="DC217">
            <v>1000</v>
          </cell>
          <cell r="DD217"/>
          <cell r="DE217"/>
          <cell r="DF217"/>
          <cell r="DG217"/>
          <cell r="DH217"/>
          <cell r="DI217"/>
          <cell r="DJ217"/>
          <cell r="DK217"/>
          <cell r="DL217"/>
          <cell r="DM217"/>
          <cell r="DN217"/>
          <cell r="DO217"/>
          <cell r="DP217"/>
          <cell r="DQ217"/>
          <cell r="DR217"/>
          <cell r="DS217"/>
          <cell r="DT217"/>
          <cell r="DU217"/>
          <cell r="DV217"/>
          <cell r="DW217"/>
          <cell r="DX217"/>
          <cell r="DY217"/>
          <cell r="DZ217"/>
          <cell r="EA217"/>
          <cell r="EB217"/>
          <cell r="EC217"/>
          <cell r="ED217"/>
          <cell r="EE217"/>
          <cell r="EF217"/>
          <cell r="EG217"/>
          <cell r="EH217"/>
          <cell r="EI217"/>
          <cell r="EJ217" t="str">
            <v>ACTIVO</v>
          </cell>
          <cell r="EK217" t="str">
            <v>C</v>
          </cell>
          <cell r="EL217" t="str">
            <v/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</row>
        <row r="218">
          <cell r="F218">
            <v>405400</v>
          </cell>
          <cell r="G218" t="str">
            <v>ETIQ.CIRCULAR 9cm IMPR. TORTA ROGEL</v>
          </cell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>
            <v>1000</v>
          </cell>
          <cell r="AS218"/>
          <cell r="AT218">
            <v>1000</v>
          </cell>
          <cell r="AU218"/>
          <cell r="AV218"/>
          <cell r="AW218"/>
          <cell r="AX218">
            <v>1000</v>
          </cell>
          <cell r="AY218"/>
          <cell r="AZ218"/>
          <cell r="BA218">
            <v>1000</v>
          </cell>
          <cell r="BB218">
            <v>1000</v>
          </cell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K218"/>
          <cell r="DL218"/>
          <cell r="DM218"/>
          <cell r="DN218"/>
          <cell r="DO218"/>
          <cell r="DP218"/>
          <cell r="DQ218"/>
          <cell r="DR218"/>
          <cell r="DS218"/>
          <cell r="DT218"/>
          <cell r="DU218"/>
          <cell r="DV218"/>
          <cell r="DW218"/>
          <cell r="DX218"/>
          <cell r="DY218"/>
          <cell r="DZ218"/>
          <cell r="EA218"/>
          <cell r="EB218"/>
          <cell r="EC218"/>
          <cell r="ED218"/>
          <cell r="EE218"/>
          <cell r="EF218"/>
          <cell r="EG218"/>
          <cell r="EH218"/>
          <cell r="EI218"/>
          <cell r="EJ218" t="str">
            <v>SIN USO</v>
          </cell>
          <cell r="EK218" t="str">
            <v/>
          </cell>
          <cell r="EL218"/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</row>
        <row r="219">
          <cell r="F219">
            <v>404742</v>
          </cell>
          <cell r="G219" t="str">
            <v>ETIQUETA CIRCULAR 9cm IMPR. TORTA PIÑA COLADA</v>
          </cell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>
            <v>1000</v>
          </cell>
          <cell r="AX219">
            <v>4000</v>
          </cell>
          <cell r="AY219"/>
          <cell r="AZ219"/>
          <cell r="BA219"/>
          <cell r="BB219">
            <v>2000</v>
          </cell>
          <cell r="BC219"/>
          <cell r="BD219"/>
          <cell r="BE219"/>
          <cell r="BF219">
            <v>2000</v>
          </cell>
          <cell r="BG219"/>
          <cell r="BH219"/>
          <cell r="BI219"/>
          <cell r="BJ219"/>
          <cell r="BK219">
            <v>5000</v>
          </cell>
          <cell r="BL219"/>
          <cell r="BM219"/>
          <cell r="BN219">
            <v>4000</v>
          </cell>
          <cell r="BO219"/>
          <cell r="BP219">
            <v>2000</v>
          </cell>
          <cell r="BQ219"/>
          <cell r="BR219">
            <v>5000</v>
          </cell>
          <cell r="BS219"/>
          <cell r="BT219">
            <v>7000</v>
          </cell>
          <cell r="BU219">
            <v>4000</v>
          </cell>
          <cell r="BV219"/>
          <cell r="BW219"/>
          <cell r="BX219">
            <v>4000</v>
          </cell>
          <cell r="BY219"/>
          <cell r="BZ219"/>
          <cell r="CA219">
            <v>4000</v>
          </cell>
          <cell r="CB219">
            <v>1000</v>
          </cell>
          <cell r="CC219"/>
          <cell r="CD219"/>
          <cell r="CE219"/>
          <cell r="CF219">
            <v>3000</v>
          </cell>
          <cell r="CG219"/>
          <cell r="CH219"/>
          <cell r="CI219">
            <v>1000</v>
          </cell>
          <cell r="CJ219">
            <v>2000</v>
          </cell>
          <cell r="CK219"/>
          <cell r="CL219">
            <v>1000</v>
          </cell>
          <cell r="CM219">
            <v>1000</v>
          </cell>
          <cell r="CN219">
            <v>4000</v>
          </cell>
          <cell r="CO219">
            <v>2000</v>
          </cell>
          <cell r="CP219">
            <v>1000</v>
          </cell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K219"/>
          <cell r="DL219"/>
          <cell r="DM219"/>
          <cell r="DN219"/>
          <cell r="DO219"/>
          <cell r="DP219"/>
          <cell r="DQ219"/>
          <cell r="DR219"/>
          <cell r="DS219"/>
          <cell r="DT219"/>
          <cell r="DU219"/>
          <cell r="DV219"/>
          <cell r="DW219"/>
          <cell r="DX219"/>
          <cell r="DY219"/>
          <cell r="DZ219"/>
          <cell r="EA219"/>
          <cell r="EB219"/>
          <cell r="EC219"/>
          <cell r="ED219"/>
          <cell r="EE219"/>
          <cell r="EF219"/>
          <cell r="EG219"/>
          <cell r="EH219"/>
          <cell r="EI219"/>
          <cell r="EJ219" t="str">
            <v>SIN USO</v>
          </cell>
          <cell r="EK219" t="str">
            <v>C</v>
          </cell>
          <cell r="EL219">
            <v>10000</v>
          </cell>
          <cell r="EM219">
            <v>0</v>
          </cell>
          <cell r="EN219">
            <v>0</v>
          </cell>
          <cell r="EO219">
            <v>1802.7756377319947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</row>
        <row r="220">
          <cell r="F220">
            <v>405401</v>
          </cell>
          <cell r="G220" t="str">
            <v>ETIQ.CIRCULAR 9cm IMPR. TORTA MERENGUE NOUGAT</v>
          </cell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>
            <v>1000</v>
          </cell>
          <cell r="AX220"/>
          <cell r="AY220"/>
          <cell r="AZ220">
            <v>1000</v>
          </cell>
          <cell r="BA220"/>
          <cell r="BB220">
            <v>1000</v>
          </cell>
          <cell r="BC220"/>
          <cell r="BD220"/>
          <cell r="BE220">
            <v>1000</v>
          </cell>
          <cell r="BF220"/>
          <cell r="BG220"/>
          <cell r="BH220"/>
          <cell r="BI220">
            <v>1000</v>
          </cell>
          <cell r="BJ220"/>
          <cell r="BK220">
            <v>1000</v>
          </cell>
          <cell r="BL220"/>
          <cell r="BM220"/>
          <cell r="BN220"/>
          <cell r="BO220"/>
          <cell r="BP220"/>
          <cell r="BQ220"/>
          <cell r="BR220"/>
          <cell r="BS220">
            <v>1000</v>
          </cell>
          <cell r="BT220">
            <v>1000</v>
          </cell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>
            <v>1000</v>
          </cell>
          <cell r="CV220"/>
          <cell r="CW220"/>
          <cell r="CX220"/>
          <cell r="CY220"/>
          <cell r="CZ220"/>
          <cell r="DA220">
            <v>1000</v>
          </cell>
          <cell r="DB220"/>
          <cell r="DC220"/>
          <cell r="DD220"/>
          <cell r="DE220"/>
          <cell r="DF220"/>
          <cell r="DG220"/>
          <cell r="DH220"/>
          <cell r="DI220"/>
          <cell r="DJ220"/>
          <cell r="DK220"/>
          <cell r="DL220"/>
          <cell r="DM220"/>
          <cell r="DN220"/>
          <cell r="DO220"/>
          <cell r="DP220"/>
          <cell r="DQ220"/>
          <cell r="DR220"/>
          <cell r="DS220"/>
          <cell r="DT220"/>
          <cell r="DU220"/>
          <cell r="DV220"/>
          <cell r="DW220"/>
          <cell r="DX220"/>
          <cell r="DY220"/>
          <cell r="DZ220"/>
          <cell r="EA220"/>
          <cell r="EB220"/>
          <cell r="EC220"/>
          <cell r="ED220"/>
          <cell r="EE220"/>
          <cell r="EF220"/>
          <cell r="EG220"/>
          <cell r="EH220"/>
          <cell r="EI220"/>
          <cell r="EJ220" t="str">
            <v>SIN USO</v>
          </cell>
          <cell r="EK220" t="str">
            <v>C</v>
          </cell>
          <cell r="EL220">
            <v>10000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</row>
        <row r="221">
          <cell r="F221">
            <v>405049</v>
          </cell>
          <cell r="G221" t="str">
            <v>ETIQUETA AUTOADHESIVA 22X32 POLIPROPILENO (OPP)</v>
          </cell>
          <cell r="H221">
            <v>10000</v>
          </cell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>
            <v>10000</v>
          </cell>
          <cell r="BA221">
            <v>40000</v>
          </cell>
          <cell r="BB221"/>
          <cell r="BC221">
            <v>10000</v>
          </cell>
          <cell r="BD221"/>
          <cell r="BE221"/>
          <cell r="BF221">
            <v>30000</v>
          </cell>
          <cell r="BG221">
            <v>20000</v>
          </cell>
          <cell r="BH221"/>
          <cell r="BI221">
            <v>30000</v>
          </cell>
          <cell r="BJ221">
            <v>30000</v>
          </cell>
          <cell r="BK221"/>
          <cell r="BL221"/>
          <cell r="BM221"/>
          <cell r="BN221">
            <v>80000</v>
          </cell>
          <cell r="BO221"/>
          <cell r="BP221"/>
          <cell r="BQ221"/>
          <cell r="BR221"/>
          <cell r="BS221"/>
          <cell r="BT221">
            <v>50000</v>
          </cell>
          <cell r="BU221"/>
          <cell r="BV221">
            <v>40000</v>
          </cell>
          <cell r="BW221">
            <v>60000</v>
          </cell>
          <cell r="BX221">
            <v>60000</v>
          </cell>
          <cell r="BY221"/>
          <cell r="BZ221">
            <v>60000</v>
          </cell>
          <cell r="CA221">
            <v>80000</v>
          </cell>
          <cell r="CB221">
            <v>30000</v>
          </cell>
          <cell r="CC221">
            <v>120000</v>
          </cell>
          <cell r="CD221"/>
          <cell r="CE221">
            <v>70000</v>
          </cell>
          <cell r="CF221">
            <v>100000</v>
          </cell>
          <cell r="CG221"/>
          <cell r="CH221">
            <v>40000</v>
          </cell>
          <cell r="CI221">
            <v>10000</v>
          </cell>
          <cell r="CJ221">
            <v>60000</v>
          </cell>
          <cell r="CK221">
            <v>80000</v>
          </cell>
          <cell r="CL221">
            <v>50000</v>
          </cell>
          <cell r="CM221">
            <v>50000</v>
          </cell>
          <cell r="CN221"/>
          <cell r="CO221">
            <v>90000</v>
          </cell>
          <cell r="CP221">
            <v>30000</v>
          </cell>
          <cell r="CQ221"/>
          <cell r="CR221">
            <v>60000</v>
          </cell>
          <cell r="CS221"/>
          <cell r="CT221"/>
          <cell r="CU221">
            <v>60000</v>
          </cell>
          <cell r="CV221"/>
          <cell r="CW221">
            <v>80000</v>
          </cell>
          <cell r="CX221">
            <v>60000</v>
          </cell>
          <cell r="CY221"/>
          <cell r="CZ221">
            <v>60000</v>
          </cell>
          <cell r="DA221">
            <v>50000</v>
          </cell>
          <cell r="DB221"/>
          <cell r="DC221">
            <v>50000</v>
          </cell>
          <cell r="DD221"/>
          <cell r="DE221">
            <v>50000</v>
          </cell>
          <cell r="DF221">
            <v>60000</v>
          </cell>
          <cell r="DG221"/>
          <cell r="DH221">
            <v>20000</v>
          </cell>
          <cell r="DI221">
            <v>20000</v>
          </cell>
          <cell r="DJ221">
            <v>60000</v>
          </cell>
          <cell r="DK221">
            <v>50000</v>
          </cell>
          <cell r="DL221"/>
          <cell r="DM221">
            <v>50000</v>
          </cell>
          <cell r="DN221"/>
          <cell r="DO221">
            <v>60000</v>
          </cell>
          <cell r="DP221">
            <v>50000</v>
          </cell>
          <cell r="DQ221"/>
          <cell r="DR221">
            <v>60000</v>
          </cell>
          <cell r="DS221">
            <v>50000</v>
          </cell>
          <cell r="DT221"/>
          <cell r="DU221">
            <v>80000</v>
          </cell>
          <cell r="DV221">
            <v>50000</v>
          </cell>
          <cell r="DW221">
            <v>100000</v>
          </cell>
          <cell r="DX221">
            <v>30000</v>
          </cell>
          <cell r="DY221">
            <v>20000</v>
          </cell>
          <cell r="DZ221">
            <v>20000</v>
          </cell>
          <cell r="EA221"/>
          <cell r="EB221">
            <v>20000</v>
          </cell>
          <cell r="EC221">
            <v>20000</v>
          </cell>
          <cell r="ED221">
            <v>10000</v>
          </cell>
          <cell r="EE221">
            <v>20000</v>
          </cell>
          <cell r="EF221">
            <v>16000</v>
          </cell>
          <cell r="EG221">
            <v>54000</v>
          </cell>
          <cell r="EH221">
            <v>10000</v>
          </cell>
          <cell r="EI221">
            <v>11000</v>
          </cell>
          <cell r="EJ221" t="str">
            <v>ACTIVO</v>
          </cell>
          <cell r="EK221" t="str">
            <v>C</v>
          </cell>
          <cell r="EL221">
            <v>10000</v>
          </cell>
          <cell r="EM221">
            <v>42000</v>
          </cell>
          <cell r="EN221">
            <v>7000</v>
          </cell>
          <cell r="EO221">
            <v>23550.449165864728</v>
          </cell>
          <cell r="EP221">
            <v>0</v>
          </cell>
          <cell r="EQ221">
            <v>0</v>
          </cell>
          <cell r="ER221">
            <v>0</v>
          </cell>
          <cell r="ES221">
            <v>42000</v>
          </cell>
        </row>
        <row r="222">
          <cell r="F222">
            <v>405449</v>
          </cell>
          <cell r="G222" t="str">
            <v>ETIQ. CIRCULAR 90cm IMPR. TORTA MERENGUE MANZANA FRAMBUESA ESPECIAL JUMBO</v>
          </cell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>
            <v>1000</v>
          </cell>
          <cell r="BC222"/>
          <cell r="BD222">
            <v>1000</v>
          </cell>
          <cell r="BE222"/>
          <cell r="BF222"/>
          <cell r="BG222"/>
          <cell r="BH222"/>
          <cell r="BI222"/>
          <cell r="BJ222"/>
          <cell r="BK222">
            <v>1000</v>
          </cell>
          <cell r="BL222">
            <v>1000</v>
          </cell>
          <cell r="BM222"/>
          <cell r="BN222">
            <v>1000</v>
          </cell>
          <cell r="BO222"/>
          <cell r="BP222"/>
          <cell r="BQ222"/>
          <cell r="BR222"/>
          <cell r="BS222"/>
          <cell r="BT222"/>
          <cell r="BU222"/>
          <cell r="BV222">
            <v>1000</v>
          </cell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>
            <v>1000</v>
          </cell>
          <cell r="CJ222"/>
          <cell r="CK222">
            <v>1000</v>
          </cell>
          <cell r="CL222"/>
          <cell r="CM222"/>
          <cell r="CN222">
            <v>2000</v>
          </cell>
          <cell r="CO222"/>
          <cell r="CP222"/>
          <cell r="CQ222">
            <v>1000</v>
          </cell>
          <cell r="CR222"/>
          <cell r="CS222"/>
          <cell r="CT222">
            <v>1000</v>
          </cell>
          <cell r="CU222"/>
          <cell r="CV222"/>
          <cell r="CW222"/>
          <cell r="CX222"/>
          <cell r="CY222">
            <v>1000</v>
          </cell>
          <cell r="CZ222">
            <v>1000</v>
          </cell>
          <cell r="DA222"/>
          <cell r="DB222"/>
          <cell r="DC222"/>
          <cell r="DD222"/>
          <cell r="DE222">
            <v>2000</v>
          </cell>
          <cell r="DF222">
            <v>1000</v>
          </cell>
          <cell r="DG222">
            <v>1000</v>
          </cell>
          <cell r="DH222"/>
          <cell r="DI222"/>
          <cell r="DJ222">
            <v>1000</v>
          </cell>
          <cell r="DK222">
            <v>2000</v>
          </cell>
          <cell r="DL222">
            <v>1000</v>
          </cell>
          <cell r="DM222"/>
          <cell r="DN222"/>
          <cell r="DO222"/>
          <cell r="DP222"/>
          <cell r="DQ222"/>
          <cell r="DR222"/>
          <cell r="DS222"/>
          <cell r="DT222">
            <v>1000</v>
          </cell>
          <cell r="DU222"/>
          <cell r="DV222"/>
          <cell r="DW222"/>
          <cell r="DX222">
            <v>1000</v>
          </cell>
          <cell r="DY222"/>
          <cell r="DZ222"/>
          <cell r="EA222"/>
          <cell r="EB222"/>
          <cell r="EC222"/>
          <cell r="ED222"/>
          <cell r="EE222"/>
          <cell r="EF222"/>
          <cell r="EG222"/>
          <cell r="EH222"/>
          <cell r="EI222"/>
          <cell r="EJ222" t="str">
            <v>ACTIVO</v>
          </cell>
          <cell r="EK222" t="str">
            <v>C</v>
          </cell>
          <cell r="EL222" t="str">
            <v/>
          </cell>
          <cell r="EM222">
            <v>1200</v>
          </cell>
          <cell r="EN222">
            <v>200</v>
          </cell>
          <cell r="EO222">
            <v>363.13651960128129</v>
          </cell>
          <cell r="EP222">
            <v>15000</v>
          </cell>
          <cell r="EQ222">
            <v>340500</v>
          </cell>
          <cell r="ER222">
            <v>12.5</v>
          </cell>
          <cell r="ES222">
            <v>1200</v>
          </cell>
        </row>
        <row r="223">
          <cell r="F223">
            <v>404733</v>
          </cell>
          <cell r="G223" t="str">
            <v>ETIQUETA CIRCULAR 9,8cm IMPR. KUCHEN  5 COL +UV</v>
          </cell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>
            <v>10000</v>
          </cell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K223"/>
          <cell r="DL223"/>
          <cell r="DM223"/>
          <cell r="DN223"/>
          <cell r="DO223"/>
          <cell r="DP223"/>
          <cell r="DQ223"/>
          <cell r="DR223"/>
          <cell r="DS223"/>
          <cell r="DT223"/>
          <cell r="DU223"/>
          <cell r="DV223"/>
          <cell r="DW223"/>
          <cell r="DX223"/>
          <cell r="DY223"/>
          <cell r="DZ223"/>
          <cell r="EA223"/>
          <cell r="EB223"/>
          <cell r="EC223"/>
          <cell r="ED223"/>
          <cell r="EE223"/>
          <cell r="EF223"/>
          <cell r="EG223"/>
          <cell r="EH223"/>
          <cell r="EI223"/>
          <cell r="EJ223" t="str">
            <v>SIN USO</v>
          </cell>
          <cell r="EK223" t="str">
            <v>C</v>
          </cell>
          <cell r="EL223" t="str">
            <v/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</row>
        <row r="224">
          <cell r="F224">
            <v>405450</v>
          </cell>
          <cell r="G224" t="str">
            <v>ETIQ. CIRCULAR 90cm IMPR. FRANGIPANE CLÁSICO ESPECIAL JUMBO</v>
          </cell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>
            <v>5000</v>
          </cell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K224"/>
          <cell r="DL224"/>
          <cell r="DM224"/>
          <cell r="DN224"/>
          <cell r="DO224"/>
          <cell r="DP224"/>
          <cell r="DQ224"/>
          <cell r="DR224"/>
          <cell r="DS224"/>
          <cell r="DT224"/>
          <cell r="DU224"/>
          <cell r="DV224"/>
          <cell r="DW224"/>
          <cell r="DX224"/>
          <cell r="DY224"/>
          <cell r="DZ224"/>
          <cell r="EA224"/>
          <cell r="EB224"/>
          <cell r="EC224"/>
          <cell r="ED224"/>
          <cell r="EE224"/>
          <cell r="EF224"/>
          <cell r="EG224"/>
          <cell r="EH224"/>
          <cell r="EI224"/>
          <cell r="EJ224" t="str">
            <v>SIN USO</v>
          </cell>
          <cell r="EK224" t="str">
            <v/>
          </cell>
          <cell r="EL224"/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</row>
        <row r="225">
          <cell r="F225">
            <v>405451</v>
          </cell>
          <cell r="G225" t="str">
            <v>ETIQ. CIRCULAR 90cm IMPR. FRANGIPANE CROCANTE ESPECIAL JUMBO</v>
          </cell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>
            <v>5000</v>
          </cell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K225"/>
          <cell r="DL225"/>
          <cell r="DM225"/>
          <cell r="DN225"/>
          <cell r="DO225"/>
          <cell r="DP225"/>
          <cell r="DQ225"/>
          <cell r="DR225"/>
          <cell r="DS225"/>
          <cell r="DT225"/>
          <cell r="DU225"/>
          <cell r="DV225"/>
          <cell r="DW225"/>
          <cell r="DX225"/>
          <cell r="DY225"/>
          <cell r="DZ225"/>
          <cell r="EA225"/>
          <cell r="EB225"/>
          <cell r="EC225"/>
          <cell r="ED225"/>
          <cell r="EE225"/>
          <cell r="EF225"/>
          <cell r="EG225"/>
          <cell r="EH225"/>
          <cell r="EI225"/>
          <cell r="EJ225" t="str">
            <v>SIN USO</v>
          </cell>
          <cell r="EK225" t="str">
            <v/>
          </cell>
          <cell r="EL225" t="str">
            <v/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</row>
        <row r="226">
          <cell r="F226">
            <v>405453</v>
          </cell>
          <cell r="G226" t="str">
            <v>ETIQ. CIRCULAR 90cm IMPR. TARTA MANJAR NUEZ ESPECIAL JUMBO</v>
          </cell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>
            <v>1000</v>
          </cell>
          <cell r="BV226">
            <v>1000</v>
          </cell>
          <cell r="BW226"/>
          <cell r="BX226"/>
          <cell r="BY226"/>
          <cell r="BZ226"/>
          <cell r="CA226"/>
          <cell r="CB226"/>
          <cell r="CC226"/>
          <cell r="CD226"/>
          <cell r="CE226"/>
          <cell r="CF226">
            <v>1000</v>
          </cell>
          <cell r="CG226"/>
          <cell r="CH226"/>
          <cell r="CI226"/>
          <cell r="CJ226"/>
          <cell r="CK226">
            <v>1000</v>
          </cell>
          <cell r="CL226"/>
          <cell r="CM226"/>
          <cell r="CN226">
            <v>1000</v>
          </cell>
          <cell r="CO226"/>
          <cell r="CP226">
            <v>1000</v>
          </cell>
          <cell r="CQ226">
            <v>2000</v>
          </cell>
          <cell r="CR226"/>
          <cell r="CS226"/>
          <cell r="CT226"/>
          <cell r="CU226"/>
          <cell r="CV226">
            <v>1000</v>
          </cell>
          <cell r="CW226">
            <v>1000</v>
          </cell>
          <cell r="CX226"/>
          <cell r="CY226"/>
          <cell r="CZ226"/>
          <cell r="DA226">
            <v>1000</v>
          </cell>
          <cell r="DB226"/>
          <cell r="DC226"/>
          <cell r="DD226"/>
          <cell r="DE226">
            <v>1000</v>
          </cell>
          <cell r="DF226"/>
          <cell r="DG226"/>
          <cell r="DH226"/>
          <cell r="DI226"/>
          <cell r="DJ226">
            <v>1000</v>
          </cell>
          <cell r="DK226"/>
          <cell r="DL226"/>
          <cell r="DM226">
            <v>1000</v>
          </cell>
          <cell r="DN226"/>
          <cell r="DO226"/>
          <cell r="DP226">
            <v>1000</v>
          </cell>
          <cell r="DQ226"/>
          <cell r="DR226">
            <v>1000</v>
          </cell>
          <cell r="DS226"/>
          <cell r="DT226"/>
          <cell r="DU226">
            <v>1000</v>
          </cell>
          <cell r="DV226"/>
          <cell r="DW226"/>
          <cell r="DX226"/>
          <cell r="DY226"/>
          <cell r="DZ226">
            <v>1000</v>
          </cell>
          <cell r="EA226"/>
          <cell r="EB226"/>
          <cell r="EC226"/>
          <cell r="ED226">
            <v>1000</v>
          </cell>
          <cell r="EE226"/>
          <cell r="EF226"/>
          <cell r="EG226">
            <v>1000</v>
          </cell>
          <cell r="EH226"/>
          <cell r="EI226"/>
          <cell r="EJ226" t="str">
            <v>ACTIVO</v>
          </cell>
          <cell r="EK226" t="str">
            <v>C</v>
          </cell>
          <cell r="EL226" t="str">
            <v/>
          </cell>
          <cell r="EM226">
            <v>1000</v>
          </cell>
          <cell r="EN226">
            <v>166.66666666666666</v>
          </cell>
          <cell r="EO226">
            <v>301.51134457776351</v>
          </cell>
          <cell r="EP226">
            <v>1000</v>
          </cell>
          <cell r="EQ226">
            <v>20700</v>
          </cell>
          <cell r="ER226">
            <v>1</v>
          </cell>
          <cell r="ES226">
            <v>1000</v>
          </cell>
        </row>
        <row r="227">
          <cell r="F227">
            <v>405464</v>
          </cell>
          <cell r="G227" t="str">
            <v>ETIQUETA CIRCULAR 9cm IMPR. CHEESECAKE SISA</v>
          </cell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>
            <v>9000</v>
          </cell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K227"/>
          <cell r="DL227"/>
          <cell r="DM227"/>
          <cell r="DN227"/>
          <cell r="DO227"/>
          <cell r="DP227"/>
          <cell r="DQ227"/>
          <cell r="DR227"/>
          <cell r="DS227"/>
          <cell r="DT227"/>
          <cell r="DU227"/>
          <cell r="DV227"/>
          <cell r="DW227"/>
          <cell r="DX227"/>
          <cell r="DY227"/>
          <cell r="DZ227"/>
          <cell r="EA227"/>
          <cell r="EB227"/>
          <cell r="EC227"/>
          <cell r="ED227"/>
          <cell r="EE227"/>
          <cell r="EF227"/>
          <cell r="EG227"/>
          <cell r="EH227"/>
          <cell r="EI227"/>
          <cell r="EJ227" t="str">
            <v>SIN USO</v>
          </cell>
          <cell r="EK227" t="str">
            <v>C</v>
          </cell>
          <cell r="EL227" t="str">
            <v/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</row>
        <row r="228">
          <cell r="F228">
            <v>405615</v>
          </cell>
          <cell r="G228" t="str">
            <v>ETIQUETA CIRCULAR 9cm TORTA CHOCOTORTA JUMBO</v>
          </cell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>
            <v>2000</v>
          </cell>
          <cell r="DA228"/>
          <cell r="DB228">
            <v>1000</v>
          </cell>
          <cell r="DC228">
            <v>1000</v>
          </cell>
          <cell r="DD228"/>
          <cell r="DE228"/>
          <cell r="DF228"/>
          <cell r="DG228">
            <v>1000</v>
          </cell>
          <cell r="DH228"/>
          <cell r="DI228"/>
          <cell r="DJ228">
            <v>1000</v>
          </cell>
          <cell r="DK228">
            <v>2000</v>
          </cell>
          <cell r="DL228">
            <v>1000</v>
          </cell>
          <cell r="DM228"/>
          <cell r="DN228">
            <v>1000</v>
          </cell>
          <cell r="DO228">
            <v>1000</v>
          </cell>
          <cell r="DP228"/>
          <cell r="DQ228"/>
          <cell r="DR228"/>
          <cell r="DS228"/>
          <cell r="DT228"/>
          <cell r="DU228"/>
          <cell r="DV228"/>
          <cell r="DW228"/>
          <cell r="DX228"/>
          <cell r="DY228"/>
          <cell r="DZ228"/>
          <cell r="EA228"/>
          <cell r="EB228"/>
          <cell r="EC228"/>
          <cell r="ED228"/>
          <cell r="EE228"/>
          <cell r="EF228"/>
          <cell r="EG228"/>
          <cell r="EH228"/>
          <cell r="EI228"/>
          <cell r="EJ228" t="str">
            <v>ACTIVO</v>
          </cell>
          <cell r="EK228" t="str">
            <v>C</v>
          </cell>
          <cell r="EL228" t="str">
            <v/>
          </cell>
          <cell r="EM228">
            <v>1200</v>
          </cell>
          <cell r="EN228">
            <v>200</v>
          </cell>
          <cell r="EO228">
            <v>500</v>
          </cell>
          <cell r="EP228">
            <v>10000</v>
          </cell>
          <cell r="EQ228">
            <v>227000</v>
          </cell>
          <cell r="ER228">
            <v>8.3333333333333339</v>
          </cell>
          <cell r="ES228">
            <v>1200</v>
          </cell>
        </row>
        <row r="229">
          <cell r="F229">
            <v>405614</v>
          </cell>
          <cell r="G229" t="str">
            <v>ETIQUETA CIRCULAR 9cm TORTA TENTACIÓN DE CHOCOLATE JUMBO</v>
          </cell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>
            <v>4000</v>
          </cell>
          <cell r="DC229"/>
          <cell r="DD229"/>
          <cell r="DE229"/>
          <cell r="DF229"/>
          <cell r="DG229"/>
          <cell r="DH229"/>
          <cell r="DI229"/>
          <cell r="DJ229">
            <v>1000</v>
          </cell>
          <cell r="DK229"/>
          <cell r="DL229">
            <v>1000</v>
          </cell>
          <cell r="DM229"/>
          <cell r="DN229">
            <v>2000</v>
          </cell>
          <cell r="DO229"/>
          <cell r="DP229"/>
          <cell r="DQ229"/>
          <cell r="DR229">
            <v>1000</v>
          </cell>
          <cell r="DS229"/>
          <cell r="DT229">
            <v>2000</v>
          </cell>
          <cell r="DU229">
            <v>2000</v>
          </cell>
          <cell r="DV229"/>
          <cell r="DW229"/>
          <cell r="DX229">
            <v>2000</v>
          </cell>
          <cell r="DY229"/>
          <cell r="DZ229"/>
          <cell r="EA229"/>
          <cell r="EB229"/>
          <cell r="EC229">
            <v>3000</v>
          </cell>
          <cell r="ED229"/>
          <cell r="EE229"/>
          <cell r="EF229">
            <v>2000</v>
          </cell>
          <cell r="EG229"/>
          <cell r="EH229"/>
          <cell r="EI229">
            <v>1000</v>
          </cell>
          <cell r="EJ229" t="str">
            <v>ACTIVO</v>
          </cell>
          <cell r="EK229" t="str">
            <v>C</v>
          </cell>
          <cell r="EL229" t="str">
            <v/>
          </cell>
          <cell r="EM229">
            <v>1777.7777777777778</v>
          </cell>
          <cell r="EN229">
            <v>296.2962962962963</v>
          </cell>
          <cell r="EO229">
            <v>0</v>
          </cell>
          <cell r="EP229">
            <v>2000</v>
          </cell>
          <cell r="EQ229">
            <v>45400</v>
          </cell>
          <cell r="ER229">
            <v>1.125</v>
          </cell>
          <cell r="ES229">
            <v>1777.7777777777778</v>
          </cell>
        </row>
        <row r="230">
          <cell r="F230">
            <v>405554</v>
          </cell>
          <cell r="G230" t="str">
            <v>ETIQUETA CIRCULAR 9cm TORTA SABOR MANJAR NUEZ</v>
          </cell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>
            <v>0</v>
          </cell>
          <cell r="DE230"/>
          <cell r="DF230"/>
          <cell r="DG230"/>
          <cell r="DH230"/>
          <cell r="DI230"/>
          <cell r="DJ230"/>
          <cell r="DK230"/>
          <cell r="DL230"/>
          <cell r="DM230"/>
          <cell r="DN230"/>
          <cell r="DO230"/>
          <cell r="DP230"/>
          <cell r="DQ230"/>
          <cell r="DR230"/>
          <cell r="DS230"/>
          <cell r="DT230"/>
          <cell r="DU230"/>
          <cell r="DV230"/>
          <cell r="DW230"/>
          <cell r="DX230">
            <v>1000</v>
          </cell>
          <cell r="DY230"/>
          <cell r="DZ230"/>
          <cell r="EA230"/>
          <cell r="EB230"/>
          <cell r="EC230">
            <v>1000</v>
          </cell>
          <cell r="ED230"/>
          <cell r="EE230"/>
          <cell r="EF230"/>
          <cell r="EG230"/>
          <cell r="EH230"/>
          <cell r="EI230"/>
          <cell r="EJ230" t="str">
            <v>ACTIVO</v>
          </cell>
          <cell r="EK230" t="str">
            <v>C</v>
          </cell>
          <cell r="EL230" t="str">
            <v/>
          </cell>
          <cell r="EM230">
            <v>1000</v>
          </cell>
          <cell r="EN230">
            <v>166.66666666666666</v>
          </cell>
          <cell r="EO230">
            <v>0</v>
          </cell>
          <cell r="EP230">
            <v>10000</v>
          </cell>
          <cell r="EQ230">
            <v>260000</v>
          </cell>
          <cell r="ER230">
            <v>10</v>
          </cell>
          <cell r="ES230">
            <v>1000</v>
          </cell>
        </row>
        <row r="231">
          <cell r="F231">
            <v>405552</v>
          </cell>
          <cell r="G231" t="str">
            <v>ETIQUETA CIRCULAR 9cm TORTA GALLETA FRAMBUESA</v>
          </cell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>
            <v>0</v>
          </cell>
          <cell r="DE231"/>
          <cell r="DF231"/>
          <cell r="DG231"/>
          <cell r="DH231"/>
          <cell r="DI231"/>
          <cell r="DJ231"/>
          <cell r="DK231"/>
          <cell r="DL231"/>
          <cell r="DM231"/>
          <cell r="DN231"/>
          <cell r="DO231"/>
          <cell r="DP231"/>
          <cell r="DQ231"/>
          <cell r="DR231"/>
          <cell r="DS231"/>
          <cell r="DT231"/>
          <cell r="DU231"/>
          <cell r="DV231"/>
          <cell r="DW231"/>
          <cell r="DX231"/>
          <cell r="DY231"/>
          <cell r="DZ231"/>
          <cell r="EA231"/>
          <cell r="EB231"/>
          <cell r="EC231"/>
          <cell r="ED231"/>
          <cell r="EE231"/>
          <cell r="EF231"/>
          <cell r="EG231"/>
          <cell r="EH231"/>
          <cell r="EI231"/>
          <cell r="EJ231" t="str">
            <v>ACTIVO</v>
          </cell>
          <cell r="EK231" t="str">
            <v>C</v>
          </cell>
          <cell r="EL231" t="str">
            <v/>
          </cell>
          <cell r="EM231">
            <v>0</v>
          </cell>
          <cell r="EN231">
            <v>0</v>
          </cell>
          <cell r="EO231">
            <v>0</v>
          </cell>
          <cell r="EP231">
            <v>8000</v>
          </cell>
          <cell r="EQ231">
            <v>181600</v>
          </cell>
          <cell r="ER231">
            <v>0</v>
          </cell>
          <cell r="ES231">
            <v>0</v>
          </cell>
        </row>
        <row r="232">
          <cell r="F232">
            <v>405644</v>
          </cell>
          <cell r="G232" t="str">
            <v>ETIQUETA TORTA MERENGUE COOKIES</v>
          </cell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>
            <v>0</v>
          </cell>
          <cell r="DE232">
            <v>1000</v>
          </cell>
          <cell r="DF232">
            <v>1000</v>
          </cell>
          <cell r="DG232">
            <v>1000</v>
          </cell>
          <cell r="DH232"/>
          <cell r="DI232"/>
          <cell r="DJ232">
            <v>1000</v>
          </cell>
          <cell r="DK232">
            <v>2000</v>
          </cell>
          <cell r="DL232"/>
          <cell r="DM232"/>
          <cell r="DN232">
            <v>1000</v>
          </cell>
          <cell r="DO232">
            <v>1000</v>
          </cell>
          <cell r="DP232"/>
          <cell r="DQ232"/>
          <cell r="DR232"/>
          <cell r="DS232"/>
          <cell r="DT232"/>
          <cell r="DU232"/>
          <cell r="DV232">
            <v>2000</v>
          </cell>
          <cell r="DW232"/>
          <cell r="DX232">
            <v>1000</v>
          </cell>
          <cell r="DY232">
            <v>1000</v>
          </cell>
          <cell r="DZ232"/>
          <cell r="EA232"/>
          <cell r="EB232"/>
          <cell r="EC232"/>
          <cell r="ED232"/>
          <cell r="EE232"/>
          <cell r="EF232"/>
          <cell r="EG232"/>
          <cell r="EH232"/>
          <cell r="EI232"/>
          <cell r="EJ232" t="str">
            <v>ACTIVO</v>
          </cell>
          <cell r="EK232" t="str">
            <v>C</v>
          </cell>
          <cell r="EL232" t="str">
            <v/>
          </cell>
          <cell r="EM232">
            <v>1285.7142857142858</v>
          </cell>
          <cell r="EN232">
            <v>214.28571428571431</v>
          </cell>
          <cell r="EO232">
            <v>500</v>
          </cell>
          <cell r="EP232">
            <v>4000</v>
          </cell>
          <cell r="EQ232">
            <v>90800</v>
          </cell>
          <cell r="ER232">
            <v>3.1111111111111112</v>
          </cell>
          <cell r="ES232">
            <v>1285.7142857142858</v>
          </cell>
        </row>
        <row r="233">
          <cell r="F233">
            <v>405643</v>
          </cell>
          <cell r="G233" t="str">
            <v>ETIQUETA TORTA MERENGUE LEMON PIE</v>
          </cell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>
            <v>0</v>
          </cell>
          <cell r="DE233">
            <v>3000</v>
          </cell>
          <cell r="DF233">
            <v>1000</v>
          </cell>
          <cell r="DG233">
            <v>1000</v>
          </cell>
          <cell r="DH233"/>
          <cell r="DI233"/>
          <cell r="DJ233">
            <v>1000</v>
          </cell>
          <cell r="DK233">
            <v>2000</v>
          </cell>
          <cell r="DL233"/>
          <cell r="DM233"/>
          <cell r="DN233"/>
          <cell r="DO233"/>
          <cell r="DP233"/>
          <cell r="DQ233"/>
          <cell r="DR233"/>
          <cell r="DS233"/>
          <cell r="DT233"/>
          <cell r="DU233"/>
          <cell r="DV233"/>
          <cell r="DW233">
            <v>1000</v>
          </cell>
          <cell r="DX233"/>
          <cell r="DY233"/>
          <cell r="DZ233"/>
          <cell r="EA233"/>
          <cell r="EB233"/>
          <cell r="EC233"/>
          <cell r="ED233"/>
          <cell r="EE233"/>
          <cell r="EF233"/>
          <cell r="EG233">
            <v>1000</v>
          </cell>
          <cell r="EH233"/>
          <cell r="EI233"/>
          <cell r="EJ233" t="str">
            <v>ACTIVO</v>
          </cell>
          <cell r="EK233" t="str">
            <v>C</v>
          </cell>
          <cell r="EL233" t="str">
            <v/>
          </cell>
          <cell r="EM233">
            <v>1250</v>
          </cell>
          <cell r="EN233">
            <v>208.33333333333334</v>
          </cell>
          <cell r="EO233">
            <v>1258.3057392117917</v>
          </cell>
          <cell r="EP233">
            <v>4000</v>
          </cell>
          <cell r="EQ233">
            <v>90800</v>
          </cell>
          <cell r="ER233">
            <v>3.2</v>
          </cell>
          <cell r="ES233">
            <v>1250</v>
          </cell>
        </row>
        <row r="234">
          <cell r="F234">
            <v>405687</v>
          </cell>
          <cell r="G234" t="str">
            <v>ETIQ. CIRCULAR 90cm IMPR. TORTA CARROT CAKE ARTESANAL JUMBO</v>
          </cell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>
            <v>0</v>
          </cell>
          <cell r="DG234"/>
          <cell r="DH234"/>
          <cell r="DI234"/>
          <cell r="DJ234"/>
          <cell r="DK234"/>
          <cell r="DL234"/>
          <cell r="DM234"/>
          <cell r="DN234"/>
          <cell r="DO234"/>
          <cell r="DP234"/>
          <cell r="DQ234"/>
          <cell r="DR234">
            <v>1500</v>
          </cell>
          <cell r="DS234">
            <v>1000</v>
          </cell>
          <cell r="DT234">
            <v>500</v>
          </cell>
          <cell r="DU234">
            <v>1000</v>
          </cell>
          <cell r="DV234"/>
          <cell r="DW234">
            <v>1000</v>
          </cell>
          <cell r="DX234">
            <v>1000</v>
          </cell>
          <cell r="DY234">
            <v>1000</v>
          </cell>
          <cell r="DZ234">
            <v>1000</v>
          </cell>
          <cell r="EA234"/>
          <cell r="EB234">
            <v>2000</v>
          </cell>
          <cell r="EC234"/>
          <cell r="ED234">
            <v>1000</v>
          </cell>
          <cell r="EE234"/>
          <cell r="EF234"/>
          <cell r="EG234">
            <v>1000</v>
          </cell>
          <cell r="EH234"/>
          <cell r="EI234"/>
          <cell r="EJ234" t="str">
            <v>ACTIVO</v>
          </cell>
          <cell r="EK234" t="str">
            <v>C</v>
          </cell>
          <cell r="EL234" t="str">
            <v/>
          </cell>
          <cell r="EM234">
            <v>1090.909090909091</v>
          </cell>
          <cell r="EN234">
            <v>181.81818181818184</v>
          </cell>
          <cell r="EO234">
            <v>0</v>
          </cell>
          <cell r="EP234">
            <v>4000</v>
          </cell>
          <cell r="EQ234">
            <v>180000</v>
          </cell>
          <cell r="ER234">
            <v>3.6666666666666665</v>
          </cell>
          <cell r="ES234">
            <v>1090.909090909091</v>
          </cell>
        </row>
        <row r="235">
          <cell r="F235">
            <v>405688</v>
          </cell>
          <cell r="G235" t="str">
            <v>ETIQ. CIRCULAR 90cm IMPR. TORTA IGNACIA ARTESANAL JUMBO</v>
          </cell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>
            <v>0</v>
          </cell>
          <cell r="DG235"/>
          <cell r="DH235"/>
          <cell r="DI235"/>
          <cell r="DJ235"/>
          <cell r="DK235"/>
          <cell r="DL235"/>
          <cell r="DM235"/>
          <cell r="DN235"/>
          <cell r="DO235"/>
          <cell r="DP235"/>
          <cell r="DQ235"/>
          <cell r="DR235">
            <v>1500</v>
          </cell>
          <cell r="DS235">
            <v>1000</v>
          </cell>
          <cell r="DT235">
            <v>500</v>
          </cell>
          <cell r="DU235">
            <v>1000</v>
          </cell>
          <cell r="DV235"/>
          <cell r="DW235">
            <v>1000</v>
          </cell>
          <cell r="DX235">
            <v>1000</v>
          </cell>
          <cell r="DY235">
            <v>1000</v>
          </cell>
          <cell r="DZ235">
            <v>1000</v>
          </cell>
          <cell r="EA235"/>
          <cell r="EB235">
            <v>2000</v>
          </cell>
          <cell r="EC235"/>
          <cell r="ED235">
            <v>1000</v>
          </cell>
          <cell r="EE235"/>
          <cell r="EF235"/>
          <cell r="EG235">
            <v>1000</v>
          </cell>
          <cell r="EH235"/>
          <cell r="EI235"/>
          <cell r="EJ235" t="str">
            <v>ACTIVO</v>
          </cell>
          <cell r="EK235" t="str">
            <v>C</v>
          </cell>
          <cell r="EL235" t="str">
            <v/>
          </cell>
          <cell r="EM235">
            <v>1090.909090909091</v>
          </cell>
          <cell r="EN235">
            <v>181.81818181818184</v>
          </cell>
          <cell r="EO235">
            <v>0</v>
          </cell>
          <cell r="EP235">
            <v>6000</v>
          </cell>
          <cell r="EQ235">
            <v>270000</v>
          </cell>
          <cell r="ER235">
            <v>5.5</v>
          </cell>
          <cell r="ES235">
            <v>1090.909090909091</v>
          </cell>
        </row>
        <row r="236">
          <cell r="F236">
            <v>405686</v>
          </cell>
          <cell r="G236" t="str">
            <v>ETIQ. CIRCULAR 90cm IMPR. TORTA RED VELVET ARTESANAL JUMBO</v>
          </cell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>
            <v>0</v>
          </cell>
          <cell r="DG236"/>
          <cell r="DH236"/>
          <cell r="DI236"/>
          <cell r="DJ236"/>
          <cell r="DK236"/>
          <cell r="DL236"/>
          <cell r="DM236"/>
          <cell r="DN236"/>
          <cell r="DO236"/>
          <cell r="DP236"/>
          <cell r="DQ236"/>
          <cell r="DR236">
            <v>1500</v>
          </cell>
          <cell r="DS236">
            <v>1000</v>
          </cell>
          <cell r="DT236">
            <v>500</v>
          </cell>
          <cell r="DU236">
            <v>1000</v>
          </cell>
          <cell r="DV236"/>
          <cell r="DW236">
            <v>1000</v>
          </cell>
          <cell r="DX236">
            <v>1000</v>
          </cell>
          <cell r="DY236">
            <v>1000</v>
          </cell>
          <cell r="DZ236">
            <v>1000</v>
          </cell>
          <cell r="EA236">
            <v>1000</v>
          </cell>
          <cell r="EB236">
            <v>2000</v>
          </cell>
          <cell r="EC236"/>
          <cell r="ED236">
            <v>1000</v>
          </cell>
          <cell r="EE236"/>
          <cell r="EF236"/>
          <cell r="EG236">
            <v>1000</v>
          </cell>
          <cell r="EH236"/>
          <cell r="EI236"/>
          <cell r="EJ236" t="str">
            <v>ACTIVO</v>
          </cell>
          <cell r="EK236" t="str">
            <v>C</v>
          </cell>
          <cell r="EL236" t="str">
            <v/>
          </cell>
          <cell r="EM236">
            <v>1083.3333333333333</v>
          </cell>
          <cell r="EN236">
            <v>180.55555555555554</v>
          </cell>
          <cell r="EO236">
            <v>0</v>
          </cell>
          <cell r="EP236">
            <v>6000</v>
          </cell>
          <cell r="EQ236">
            <v>270000</v>
          </cell>
          <cell r="ER236">
            <v>5.5384615384615392</v>
          </cell>
          <cell r="ES236">
            <v>1083.3333333333333</v>
          </cell>
        </row>
        <row r="237">
          <cell r="F237">
            <v>405698</v>
          </cell>
          <cell r="G237" t="str">
            <v>ETIQ. CIRCULAR 90cm IMPR. TORTA LEMON CAKE ESPECIAL JUMBO</v>
          </cell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K237">
            <v>1000</v>
          </cell>
          <cell r="DL237"/>
          <cell r="DM237">
            <v>1000</v>
          </cell>
          <cell r="DN237"/>
          <cell r="DO237"/>
          <cell r="DP237"/>
          <cell r="DQ237"/>
          <cell r="DR237"/>
          <cell r="DS237">
            <v>1000</v>
          </cell>
          <cell r="DT237"/>
          <cell r="DU237"/>
          <cell r="DV237"/>
          <cell r="DW237">
            <v>1000</v>
          </cell>
          <cell r="DX237">
            <v>1000</v>
          </cell>
          <cell r="DY237">
            <v>1000</v>
          </cell>
          <cell r="DZ237"/>
          <cell r="EA237"/>
          <cell r="EB237"/>
          <cell r="EC237">
            <v>3000</v>
          </cell>
          <cell r="ED237"/>
          <cell r="EE237"/>
          <cell r="EF237"/>
          <cell r="EG237"/>
          <cell r="EH237"/>
          <cell r="EI237"/>
          <cell r="EJ237" t="str">
            <v>ACTIVO</v>
          </cell>
          <cell r="EK237" t="str">
            <v/>
          </cell>
          <cell r="EL237" t="str">
            <v/>
          </cell>
          <cell r="EM237">
            <v>1285.7142857142858</v>
          </cell>
          <cell r="EN237">
            <v>214.28571428571431</v>
          </cell>
          <cell r="EO237">
            <v>0</v>
          </cell>
          <cell r="EP237">
            <v>3000</v>
          </cell>
          <cell r="EQ237">
            <v>78000</v>
          </cell>
          <cell r="ER237">
            <v>2.333333333333333</v>
          </cell>
          <cell r="ES237">
            <v>1285.7142857142858</v>
          </cell>
        </row>
        <row r="238">
          <cell r="F238">
            <v>405712</v>
          </cell>
          <cell r="G238" t="str">
            <v>ETIQ. CIRCULAR 90cm IMPR. OPP TORTA MIL HOJAS MANJAR ARTESANAL WALMART</v>
          </cell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K238"/>
          <cell r="DL238"/>
          <cell r="DM238"/>
          <cell r="DN238"/>
          <cell r="DO238"/>
          <cell r="DP238"/>
          <cell r="DQ238"/>
          <cell r="DR238"/>
          <cell r="DS238"/>
          <cell r="DT238"/>
          <cell r="DU238"/>
          <cell r="DV238">
            <v>10000</v>
          </cell>
          <cell r="DW238"/>
          <cell r="DX238">
            <v>10000</v>
          </cell>
          <cell r="DY238"/>
          <cell r="DZ238">
            <v>10000</v>
          </cell>
          <cell r="EA238"/>
          <cell r="EB238"/>
          <cell r="EC238"/>
          <cell r="ED238"/>
          <cell r="EE238"/>
          <cell r="EF238"/>
          <cell r="EG238"/>
          <cell r="EH238"/>
          <cell r="EI238"/>
          <cell r="EJ238" t="str">
            <v>ACTIVO</v>
          </cell>
          <cell r="EK238" t="str">
            <v/>
          </cell>
          <cell r="EL238" t="str">
            <v/>
          </cell>
          <cell r="EM238">
            <v>10000</v>
          </cell>
          <cell r="EN238">
            <v>1666.6666666666667</v>
          </cell>
          <cell r="EO238">
            <v>0</v>
          </cell>
          <cell r="EP238">
            <v>20000</v>
          </cell>
          <cell r="EQ238">
            <v>454000</v>
          </cell>
          <cell r="ER238">
            <v>2</v>
          </cell>
          <cell r="ES238">
            <v>10000</v>
          </cell>
        </row>
        <row r="239">
          <cell r="F239">
            <v>405751</v>
          </cell>
          <cell r="G239" t="str">
            <v>ETIQ. CIRCULAR 90cm IMPR. TORTA VIENA VAINILLA</v>
          </cell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K239"/>
          <cell r="DL239"/>
          <cell r="DM239"/>
          <cell r="DN239"/>
          <cell r="DO239"/>
          <cell r="DP239"/>
          <cell r="DQ239"/>
          <cell r="DR239"/>
          <cell r="DS239"/>
          <cell r="DT239"/>
          <cell r="DU239"/>
          <cell r="DV239"/>
          <cell r="DW239"/>
          <cell r="DX239"/>
          <cell r="DY239"/>
          <cell r="DZ239">
            <v>4000</v>
          </cell>
          <cell r="EA239">
            <v>1000</v>
          </cell>
          <cell r="EB239"/>
          <cell r="EC239"/>
          <cell r="ED239"/>
          <cell r="EE239"/>
          <cell r="EF239"/>
          <cell r="EG239"/>
          <cell r="EH239"/>
          <cell r="EI239"/>
          <cell r="EJ239" t="str">
            <v>SIN USO</v>
          </cell>
          <cell r="EK239" t="str">
            <v/>
          </cell>
          <cell r="EL239" t="str">
            <v/>
          </cell>
          <cell r="EM239">
            <v>2500</v>
          </cell>
          <cell r="EN239">
            <v>416.66666666666669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2500</v>
          </cell>
        </row>
        <row r="240">
          <cell r="F240">
            <v>405787</v>
          </cell>
          <cell r="G240" t="str">
            <v>ETIQ. CIRCULAR 90cm IMPR. TORTA HOJA FRAMBUESA ESPECIAL JUMBO</v>
          </cell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K240"/>
          <cell r="DL240"/>
          <cell r="DM240"/>
          <cell r="DN240"/>
          <cell r="DO240"/>
          <cell r="DP240"/>
          <cell r="DQ240"/>
          <cell r="DR240"/>
          <cell r="DS240"/>
          <cell r="DT240"/>
          <cell r="DU240"/>
          <cell r="DV240"/>
          <cell r="DW240"/>
          <cell r="DX240"/>
          <cell r="DY240"/>
          <cell r="DZ240"/>
          <cell r="EA240"/>
          <cell r="EB240"/>
          <cell r="EC240"/>
          <cell r="ED240">
            <v>1000</v>
          </cell>
          <cell r="EE240"/>
          <cell r="EF240">
            <v>1000</v>
          </cell>
          <cell r="EG240">
            <v>1000</v>
          </cell>
          <cell r="EH240"/>
          <cell r="EI240">
            <v>1000</v>
          </cell>
          <cell r="EJ240" t="str">
            <v>ACTIVO</v>
          </cell>
          <cell r="EK240" t="str">
            <v/>
          </cell>
          <cell r="EL240" t="str">
            <v/>
          </cell>
          <cell r="EM240">
            <v>1000</v>
          </cell>
          <cell r="EN240">
            <v>166.66666666666666</v>
          </cell>
          <cell r="EO240">
            <v>0</v>
          </cell>
          <cell r="EP240">
            <v>6000</v>
          </cell>
          <cell r="EQ240">
            <v>136200</v>
          </cell>
          <cell r="ER240">
            <v>6</v>
          </cell>
          <cell r="ES240">
            <v>1000</v>
          </cell>
        </row>
        <row r="241">
          <cell r="F241">
            <v>405754</v>
          </cell>
          <cell r="G241" t="str">
            <v>ETIQ.CIRCULAR 9cm IMPR. TORTA SAN JORGE AVELLANA ARTESANAL JUMBO</v>
          </cell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K241"/>
          <cell r="DL241"/>
          <cell r="DM241"/>
          <cell r="DN241"/>
          <cell r="DO241"/>
          <cell r="DP241"/>
          <cell r="DQ241"/>
          <cell r="DR241"/>
          <cell r="DS241"/>
          <cell r="DT241"/>
          <cell r="DU241"/>
          <cell r="DV241"/>
          <cell r="DW241"/>
          <cell r="DX241"/>
          <cell r="DY241"/>
          <cell r="DZ241"/>
          <cell r="EA241"/>
          <cell r="EB241"/>
          <cell r="EC241"/>
          <cell r="ED241"/>
          <cell r="EE241">
            <v>1000</v>
          </cell>
          <cell r="EF241">
            <v>1000</v>
          </cell>
          <cell r="EG241">
            <v>1000</v>
          </cell>
          <cell r="EH241">
            <v>1000</v>
          </cell>
          <cell r="EI241"/>
          <cell r="EJ241" t="str">
            <v>ACTIVO</v>
          </cell>
          <cell r="EK241" t="str">
            <v/>
          </cell>
          <cell r="EL241" t="str">
            <v/>
          </cell>
          <cell r="EM241">
            <v>1000</v>
          </cell>
          <cell r="EN241">
            <v>166.66666666666666</v>
          </cell>
          <cell r="EO241">
            <v>0</v>
          </cell>
          <cell r="EP241">
            <v>2000</v>
          </cell>
          <cell r="EQ241">
            <v>90000</v>
          </cell>
          <cell r="ER241">
            <v>2</v>
          </cell>
          <cell r="ES241">
            <v>1000</v>
          </cell>
        </row>
        <row r="242">
          <cell r="F242">
            <v>405721</v>
          </cell>
          <cell r="G242" t="str">
            <v>ETIQUETA COLOR CREMA 245X40 OPP</v>
          </cell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K242"/>
          <cell r="DL242"/>
          <cell r="DM242"/>
          <cell r="DN242"/>
          <cell r="DO242"/>
          <cell r="DP242"/>
          <cell r="DQ242"/>
          <cell r="DR242"/>
          <cell r="DS242"/>
          <cell r="DT242"/>
          <cell r="DU242"/>
          <cell r="DV242"/>
          <cell r="DW242"/>
          <cell r="DX242"/>
          <cell r="DY242"/>
          <cell r="DZ242"/>
          <cell r="EA242"/>
          <cell r="EB242"/>
          <cell r="EC242"/>
          <cell r="ED242"/>
          <cell r="EE242"/>
          <cell r="EF242">
            <v>10000</v>
          </cell>
          <cell r="EG242"/>
          <cell r="EH242"/>
          <cell r="EI242"/>
          <cell r="EJ242" t="str">
            <v>ACTIVO</v>
          </cell>
          <cell r="EK242" t="str">
            <v/>
          </cell>
          <cell r="EL242" t="str">
            <v/>
          </cell>
          <cell r="EM242">
            <v>10000</v>
          </cell>
          <cell r="EN242">
            <v>1666.6666666666667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10000</v>
          </cell>
        </row>
        <row r="243">
          <cell r="F243">
            <v>405784</v>
          </cell>
          <cell r="G243" t="str">
            <v>ETIQUETAS CIRCULAR 9cm IMPR. TORTA DURAZNO MANJAR</v>
          </cell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K243"/>
          <cell r="DL243"/>
          <cell r="DM243"/>
          <cell r="DN243"/>
          <cell r="DO243"/>
          <cell r="DP243"/>
          <cell r="DQ243"/>
          <cell r="DR243"/>
          <cell r="DS243"/>
          <cell r="DT243"/>
          <cell r="DU243"/>
          <cell r="DV243"/>
          <cell r="DW243"/>
          <cell r="DX243"/>
          <cell r="DY243"/>
          <cell r="DZ243"/>
          <cell r="EA243"/>
          <cell r="EB243"/>
          <cell r="EC243"/>
          <cell r="ED243"/>
          <cell r="EE243"/>
          <cell r="EF243">
            <v>4000</v>
          </cell>
          <cell r="EG243">
            <v>3000</v>
          </cell>
          <cell r="EH243"/>
          <cell r="EI243"/>
          <cell r="EJ243" t="str">
            <v>ACTIVO</v>
          </cell>
          <cell r="EK243" t="str">
            <v/>
          </cell>
          <cell r="EL243" t="str">
            <v/>
          </cell>
          <cell r="EM243">
            <v>3500</v>
          </cell>
          <cell r="EN243">
            <v>583.33333333333337</v>
          </cell>
          <cell r="EO243">
            <v>0</v>
          </cell>
          <cell r="EP243">
            <v>3000</v>
          </cell>
          <cell r="EQ243">
            <v>68100</v>
          </cell>
          <cell r="ER243">
            <v>0.8571428571428571</v>
          </cell>
          <cell r="ES243">
            <v>3500</v>
          </cell>
        </row>
        <row r="244">
          <cell r="F244">
            <v>405783</v>
          </cell>
          <cell r="G244" t="str">
            <v>ETIQUETAS CIRCULAR 9cm IMPR. TORTA IRLANDESA</v>
          </cell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K244"/>
          <cell r="DL244"/>
          <cell r="DM244"/>
          <cell r="DN244"/>
          <cell r="DO244"/>
          <cell r="DP244"/>
          <cell r="DQ244"/>
          <cell r="DR244"/>
          <cell r="DS244"/>
          <cell r="DT244"/>
          <cell r="DU244"/>
          <cell r="DV244"/>
          <cell r="DW244"/>
          <cell r="DX244"/>
          <cell r="DY244"/>
          <cell r="DZ244"/>
          <cell r="EA244"/>
          <cell r="EB244"/>
          <cell r="EC244"/>
          <cell r="ED244"/>
          <cell r="EE244"/>
          <cell r="EF244">
            <v>3000</v>
          </cell>
          <cell r="EG244"/>
          <cell r="EH244"/>
          <cell r="EI244"/>
          <cell r="EJ244" t="str">
            <v>ACTIVO</v>
          </cell>
          <cell r="EK244" t="str">
            <v/>
          </cell>
          <cell r="EL244"/>
          <cell r="EM244">
            <v>3000</v>
          </cell>
          <cell r="EN244">
            <v>500</v>
          </cell>
          <cell r="EO244">
            <v>0</v>
          </cell>
          <cell r="EP244">
            <v>2000</v>
          </cell>
          <cell r="EQ244">
            <v>45400</v>
          </cell>
          <cell r="ER244">
            <v>0.66666666666666663</v>
          </cell>
          <cell r="ES244">
            <v>3000</v>
          </cell>
        </row>
        <row r="245">
          <cell r="F245"/>
          <cell r="G245"/>
          <cell r="H245">
            <v>54000</v>
          </cell>
          <cell r="I245">
            <v>183500</v>
          </cell>
          <cell r="J245">
            <v>332500</v>
          </cell>
          <cell r="K245">
            <v>141000</v>
          </cell>
          <cell r="L245">
            <v>116500</v>
          </cell>
          <cell r="M245">
            <v>135000</v>
          </cell>
          <cell r="N245">
            <v>109000</v>
          </cell>
          <cell r="O245">
            <v>236000</v>
          </cell>
          <cell r="P245">
            <v>257500</v>
          </cell>
          <cell r="Q245">
            <v>142001</v>
          </cell>
          <cell r="R245">
            <v>50000</v>
          </cell>
          <cell r="S245">
            <v>171000</v>
          </cell>
          <cell r="T245">
            <v>209000</v>
          </cell>
          <cell r="U245">
            <v>206000</v>
          </cell>
          <cell r="V245">
            <v>153000</v>
          </cell>
          <cell r="W245">
            <v>115000</v>
          </cell>
          <cell r="X245">
            <v>320000</v>
          </cell>
          <cell r="Y245">
            <v>96000</v>
          </cell>
          <cell r="Z245">
            <v>166001</v>
          </cell>
          <cell r="AA245">
            <v>159000</v>
          </cell>
          <cell r="AB245">
            <v>341999</v>
          </cell>
          <cell r="AC245">
            <v>205000</v>
          </cell>
          <cell r="AD245">
            <v>77000</v>
          </cell>
          <cell r="AE245">
            <v>357000</v>
          </cell>
          <cell r="AF245">
            <v>156000</v>
          </cell>
          <cell r="AG245">
            <v>188500</v>
          </cell>
          <cell r="AH245">
            <v>165000</v>
          </cell>
          <cell r="AI245">
            <v>278000</v>
          </cell>
          <cell r="AJ245">
            <v>194000</v>
          </cell>
          <cell r="AK245">
            <v>210500</v>
          </cell>
          <cell r="AL245">
            <v>261000</v>
          </cell>
          <cell r="AM245">
            <v>219500</v>
          </cell>
          <cell r="AN245">
            <v>179500</v>
          </cell>
          <cell r="AO245">
            <v>241000</v>
          </cell>
          <cell r="AP245">
            <v>189000</v>
          </cell>
          <cell r="AQ245">
            <v>198500</v>
          </cell>
          <cell r="AR245">
            <v>110000</v>
          </cell>
          <cell r="AS245">
            <v>192500</v>
          </cell>
          <cell r="AT245">
            <v>269500</v>
          </cell>
          <cell r="AU245">
            <v>13000</v>
          </cell>
          <cell r="AV245">
            <v>256500</v>
          </cell>
          <cell r="AW245">
            <v>225500</v>
          </cell>
          <cell r="AX245">
            <v>315000</v>
          </cell>
          <cell r="AY245">
            <v>125500</v>
          </cell>
          <cell r="AZ245">
            <v>110000</v>
          </cell>
          <cell r="BA245">
            <v>305000</v>
          </cell>
          <cell r="BB245">
            <v>257000</v>
          </cell>
          <cell r="BC245">
            <v>56000</v>
          </cell>
          <cell r="BD245">
            <v>333500</v>
          </cell>
          <cell r="BE245">
            <v>235500</v>
          </cell>
          <cell r="BF245">
            <v>63154</v>
          </cell>
          <cell r="BG245">
            <v>390246</v>
          </cell>
          <cell r="BH245">
            <v>185500</v>
          </cell>
          <cell r="BI245">
            <v>59000</v>
          </cell>
          <cell r="BJ245">
            <v>162000</v>
          </cell>
          <cell r="BK245">
            <v>363000</v>
          </cell>
          <cell r="BL245">
            <v>80000</v>
          </cell>
          <cell r="BM245">
            <v>198501</v>
          </cell>
          <cell r="BN245">
            <v>312501</v>
          </cell>
          <cell r="BO245">
            <v>381000</v>
          </cell>
          <cell r="BP245">
            <v>60000</v>
          </cell>
          <cell r="BQ245">
            <v>336500</v>
          </cell>
          <cell r="BR245">
            <v>287500</v>
          </cell>
          <cell r="BS245">
            <v>60000</v>
          </cell>
          <cell r="BT245">
            <v>484000</v>
          </cell>
          <cell r="BU245">
            <v>47000</v>
          </cell>
          <cell r="BV245">
            <v>306500</v>
          </cell>
          <cell r="BW245">
            <v>353500</v>
          </cell>
          <cell r="BX245">
            <v>309000</v>
          </cell>
          <cell r="BY245">
            <v>251000</v>
          </cell>
          <cell r="BZ245">
            <v>128000</v>
          </cell>
          <cell r="CA245">
            <v>459000</v>
          </cell>
          <cell r="CB245">
            <v>318500</v>
          </cell>
          <cell r="CC245">
            <v>154000</v>
          </cell>
          <cell r="CD245">
            <v>248500</v>
          </cell>
          <cell r="CE245">
            <v>335000</v>
          </cell>
          <cell r="CF245">
            <v>516000</v>
          </cell>
          <cell r="CG245">
            <v>202500</v>
          </cell>
          <cell r="CH245">
            <v>114000</v>
          </cell>
          <cell r="CI245">
            <v>343000</v>
          </cell>
          <cell r="CJ245">
            <v>266500</v>
          </cell>
          <cell r="CK245">
            <v>246000</v>
          </cell>
          <cell r="CL245">
            <v>226500</v>
          </cell>
          <cell r="CM245">
            <v>275000</v>
          </cell>
          <cell r="CN245">
            <v>351000</v>
          </cell>
          <cell r="CO245">
            <v>301000</v>
          </cell>
          <cell r="CP245">
            <v>375500</v>
          </cell>
          <cell r="CQ245">
            <v>181000</v>
          </cell>
          <cell r="CR245">
            <v>122000</v>
          </cell>
          <cell r="CS245">
            <v>10000</v>
          </cell>
          <cell r="CT245">
            <v>406000</v>
          </cell>
          <cell r="CU245">
            <v>555500</v>
          </cell>
          <cell r="CV245">
            <v>224500</v>
          </cell>
          <cell r="CW245">
            <v>324000</v>
          </cell>
          <cell r="CX245">
            <v>160010</v>
          </cell>
          <cell r="CY245">
            <v>438500</v>
          </cell>
          <cell r="CZ245">
            <v>237000</v>
          </cell>
          <cell r="DA245">
            <v>102000</v>
          </cell>
          <cell r="DB245">
            <v>290490</v>
          </cell>
          <cell r="DC245">
            <v>258500</v>
          </cell>
          <cell r="DD245">
            <v>186000</v>
          </cell>
          <cell r="DE245">
            <v>267500</v>
          </cell>
          <cell r="DF245">
            <v>221000</v>
          </cell>
          <cell r="DG245">
            <v>180000</v>
          </cell>
          <cell r="DH245">
            <v>31000</v>
          </cell>
          <cell r="DI245">
            <v>20000</v>
          </cell>
          <cell r="DJ245">
            <v>242500</v>
          </cell>
          <cell r="DK245">
            <v>397000</v>
          </cell>
          <cell r="DL245">
            <v>360500</v>
          </cell>
          <cell r="DM245">
            <v>189000</v>
          </cell>
          <cell r="DN245">
            <v>239000</v>
          </cell>
          <cell r="DO245">
            <v>259500</v>
          </cell>
          <cell r="DP245">
            <v>324000</v>
          </cell>
          <cell r="DQ245">
            <v>154500</v>
          </cell>
          <cell r="DR245">
            <v>306000</v>
          </cell>
          <cell r="DS245">
            <v>236500</v>
          </cell>
          <cell r="DT245">
            <v>274000</v>
          </cell>
          <cell r="DU245">
            <v>308000</v>
          </cell>
          <cell r="DV245">
            <v>237000</v>
          </cell>
          <cell r="DW245">
            <v>406000</v>
          </cell>
          <cell r="DX245">
            <v>249500</v>
          </cell>
          <cell r="DY245">
            <v>291500</v>
          </cell>
          <cell r="DZ245">
            <v>199500</v>
          </cell>
          <cell r="EA245">
            <v>44000</v>
          </cell>
          <cell r="EB245">
            <v>346500</v>
          </cell>
          <cell r="EC245">
            <v>194000</v>
          </cell>
          <cell r="ED245">
            <v>457500</v>
          </cell>
          <cell r="EE245">
            <v>200000</v>
          </cell>
          <cell r="EF245">
            <v>409000</v>
          </cell>
          <cell r="EG245">
            <v>350000</v>
          </cell>
          <cell r="EH245">
            <v>174000</v>
          </cell>
          <cell r="EI245">
            <v>19000</v>
          </cell>
          <cell r="EJ245" t="str">
            <v>ACTIVO</v>
          </cell>
          <cell r="EK245" t="str">
            <v/>
          </cell>
          <cell r="EL245" t="str">
            <v/>
          </cell>
          <cell r="EM245">
            <v>267800</v>
          </cell>
          <cell r="EN245">
            <v>44633.333333333336</v>
          </cell>
          <cell r="EO245">
            <v>127559.46304090964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</row>
        <row r="246">
          <cell r="F246">
            <v>401010</v>
          </cell>
          <cell r="G246" t="str">
            <v>STRECH FILM BLANCO</v>
          </cell>
          <cell r="H246">
            <v>50</v>
          </cell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>
            <v>4</v>
          </cell>
          <cell r="T246"/>
          <cell r="U246"/>
          <cell r="V246">
            <v>10</v>
          </cell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>
            <v>12</v>
          </cell>
          <cell r="AO246"/>
          <cell r="AP246"/>
          <cell r="AQ246"/>
          <cell r="AR246"/>
          <cell r="AS246"/>
          <cell r="AT246"/>
          <cell r="AU246"/>
          <cell r="AV246"/>
          <cell r="AW246"/>
          <cell r="AX246">
            <v>6</v>
          </cell>
          <cell r="AY246"/>
          <cell r="AZ246">
            <v>6</v>
          </cell>
          <cell r="BA246"/>
          <cell r="BB246">
            <v>30</v>
          </cell>
          <cell r="BC246">
            <v>36</v>
          </cell>
          <cell r="BD246">
            <v>36</v>
          </cell>
          <cell r="BE246">
            <v>60</v>
          </cell>
          <cell r="BF246"/>
          <cell r="BG246">
            <v>18</v>
          </cell>
          <cell r="BH246"/>
          <cell r="BI246">
            <v>30</v>
          </cell>
          <cell r="BJ246">
            <v>24</v>
          </cell>
          <cell r="BK246">
            <v>37</v>
          </cell>
          <cell r="BL246">
            <v>18</v>
          </cell>
          <cell r="BM246">
            <v>10</v>
          </cell>
          <cell r="BN246">
            <v>30</v>
          </cell>
          <cell r="BO246">
            <v>60</v>
          </cell>
          <cell r="BP246">
            <v>60</v>
          </cell>
          <cell r="BQ246"/>
          <cell r="BR246">
            <v>36</v>
          </cell>
          <cell r="BS246">
            <v>36</v>
          </cell>
          <cell r="BT246">
            <v>37</v>
          </cell>
          <cell r="BU246">
            <v>30</v>
          </cell>
          <cell r="BV246">
            <v>12</v>
          </cell>
          <cell r="BW246">
            <v>48</v>
          </cell>
          <cell r="BX246">
            <v>60</v>
          </cell>
          <cell r="BY246">
            <v>60</v>
          </cell>
          <cell r="BZ246">
            <v>66</v>
          </cell>
          <cell r="CA246">
            <v>6</v>
          </cell>
          <cell r="CB246">
            <v>48</v>
          </cell>
          <cell r="CC246">
            <v>36</v>
          </cell>
          <cell r="CD246">
            <v>60</v>
          </cell>
          <cell r="CE246">
            <v>60</v>
          </cell>
          <cell r="CF246">
            <v>36</v>
          </cell>
          <cell r="CG246">
            <v>60</v>
          </cell>
          <cell r="CH246">
            <v>42</v>
          </cell>
          <cell r="CI246">
            <v>36</v>
          </cell>
          <cell r="CJ246"/>
          <cell r="CK246">
            <v>90</v>
          </cell>
          <cell r="CL246"/>
          <cell r="CM246">
            <v>114</v>
          </cell>
          <cell r="CN246"/>
          <cell r="CO246">
            <v>36</v>
          </cell>
          <cell r="CP246">
            <v>36</v>
          </cell>
          <cell r="CQ246">
            <v>40</v>
          </cell>
          <cell r="CR246">
            <v>96</v>
          </cell>
          <cell r="CS246"/>
          <cell r="CT246">
            <v>36</v>
          </cell>
          <cell r="CU246"/>
          <cell r="CV246">
            <v>36</v>
          </cell>
          <cell r="CW246">
            <v>60</v>
          </cell>
          <cell r="CX246">
            <v>48</v>
          </cell>
          <cell r="CY246">
            <v>28</v>
          </cell>
          <cell r="CZ246">
            <v>24</v>
          </cell>
          <cell r="DA246"/>
          <cell r="DB246"/>
          <cell r="DC246"/>
          <cell r="DD246">
            <v>15</v>
          </cell>
          <cell r="DE246">
            <v>10</v>
          </cell>
          <cell r="DF246"/>
          <cell r="DG246"/>
          <cell r="DH246"/>
          <cell r="DI246"/>
          <cell r="DJ246"/>
          <cell r="DK246">
            <v>6</v>
          </cell>
          <cell r="DL246"/>
          <cell r="DM246"/>
          <cell r="DN246">
            <v>6</v>
          </cell>
          <cell r="DO246"/>
          <cell r="DP246"/>
          <cell r="DQ246"/>
          <cell r="DR246">
            <v>9</v>
          </cell>
          <cell r="DS246"/>
          <cell r="DT246">
            <v>6</v>
          </cell>
          <cell r="DU246">
            <v>6</v>
          </cell>
          <cell r="DV246"/>
          <cell r="DW246"/>
          <cell r="DX246">
            <v>12</v>
          </cell>
          <cell r="DY246"/>
          <cell r="DZ246"/>
          <cell r="EA246">
            <v>12</v>
          </cell>
          <cell r="EB246"/>
          <cell r="EC246"/>
          <cell r="ED246"/>
          <cell r="EE246">
            <v>12</v>
          </cell>
          <cell r="EF246"/>
          <cell r="EG246"/>
          <cell r="EH246"/>
          <cell r="EI246">
            <v>12</v>
          </cell>
          <cell r="EJ246" t="str">
            <v>ACTIVO</v>
          </cell>
          <cell r="EK246" t="str">
            <v>C</v>
          </cell>
          <cell r="EL246">
            <v>120</v>
          </cell>
          <cell r="EM246">
            <v>8.625</v>
          </cell>
          <cell r="EN246">
            <v>1.4375</v>
          </cell>
          <cell r="EO246">
            <v>23.129942299306123</v>
          </cell>
          <cell r="EP246">
            <v>21</v>
          </cell>
          <cell r="EQ246">
            <v>82838.91</v>
          </cell>
          <cell r="ER246">
            <v>2.4347826086956523</v>
          </cell>
          <cell r="ES246">
            <v>5.75</v>
          </cell>
        </row>
        <row r="247">
          <cell r="F247">
            <v>401011</v>
          </cell>
          <cell r="G247" t="str">
            <v>STRECH FILM NEGRO</v>
          </cell>
          <cell r="H247">
            <v>12</v>
          </cell>
          <cell r="I247"/>
          <cell r="J247"/>
          <cell r="K247"/>
          <cell r="L247"/>
          <cell r="M247">
            <v>6</v>
          </cell>
          <cell r="N247"/>
          <cell r="O247"/>
          <cell r="P247"/>
          <cell r="Q247"/>
          <cell r="R247"/>
          <cell r="S247"/>
          <cell r="T247">
            <v>1</v>
          </cell>
          <cell r="U247"/>
          <cell r="V247"/>
          <cell r="W247">
            <v>10</v>
          </cell>
          <cell r="X247">
            <v>3</v>
          </cell>
          <cell r="Y247">
            <v>3</v>
          </cell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>
            <v>3</v>
          </cell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>
            <v>1</v>
          </cell>
          <cell r="AY247"/>
          <cell r="AZ247"/>
          <cell r="BA247"/>
          <cell r="BB247"/>
          <cell r="BC247">
            <v>6</v>
          </cell>
          <cell r="BD247">
            <v>0</v>
          </cell>
          <cell r="BE247"/>
          <cell r="BF247"/>
          <cell r="BG247">
            <v>6</v>
          </cell>
          <cell r="BH247"/>
          <cell r="BI247">
            <v>24</v>
          </cell>
          <cell r="BJ247"/>
          <cell r="BK247"/>
          <cell r="BL247"/>
          <cell r="BM247"/>
          <cell r="BN247">
            <v>42</v>
          </cell>
          <cell r="BO247">
            <v>6</v>
          </cell>
          <cell r="BP247"/>
          <cell r="BQ247"/>
          <cell r="BR247"/>
          <cell r="BS247"/>
          <cell r="BT247">
            <v>6</v>
          </cell>
          <cell r="BU247"/>
          <cell r="BV247"/>
          <cell r="BW247">
            <v>12</v>
          </cell>
          <cell r="BX247"/>
          <cell r="BY247">
            <v>1</v>
          </cell>
          <cell r="BZ247"/>
          <cell r="CA247"/>
          <cell r="CB247"/>
          <cell r="CC247"/>
          <cell r="CD247"/>
          <cell r="CE247"/>
          <cell r="CF247"/>
          <cell r="CG247">
            <v>6</v>
          </cell>
          <cell r="CH247">
            <v>12</v>
          </cell>
          <cell r="CI247"/>
          <cell r="CJ247">
            <v>6</v>
          </cell>
          <cell r="CK247">
            <v>6</v>
          </cell>
          <cell r="CL247"/>
          <cell r="CM247"/>
          <cell r="CN247"/>
          <cell r="CO247">
            <v>12</v>
          </cell>
          <cell r="CP247"/>
          <cell r="CQ247"/>
          <cell r="CR247">
            <v>12</v>
          </cell>
          <cell r="CS247"/>
          <cell r="CT247"/>
          <cell r="CU247">
            <v>6</v>
          </cell>
          <cell r="CV247"/>
          <cell r="CW247">
            <v>6</v>
          </cell>
          <cell r="CX247"/>
          <cell r="CY247">
            <v>6</v>
          </cell>
          <cell r="CZ247">
            <v>5</v>
          </cell>
          <cell r="DA247"/>
          <cell r="DB247"/>
          <cell r="DC247"/>
          <cell r="DD247"/>
          <cell r="DE247"/>
          <cell r="DF247"/>
          <cell r="DG247">
            <v>6</v>
          </cell>
          <cell r="DH247"/>
          <cell r="DI247"/>
          <cell r="DJ247">
            <v>6</v>
          </cell>
          <cell r="DK247"/>
          <cell r="DL247"/>
          <cell r="DM247"/>
          <cell r="DN247">
            <v>6</v>
          </cell>
          <cell r="DO247"/>
          <cell r="DP247"/>
          <cell r="DQ247"/>
          <cell r="DR247">
            <v>6</v>
          </cell>
          <cell r="DS247"/>
          <cell r="DT247"/>
          <cell r="DU247">
            <v>6</v>
          </cell>
          <cell r="DV247"/>
          <cell r="DW247"/>
          <cell r="DX247"/>
          <cell r="DY247"/>
          <cell r="DZ247">
            <v>6</v>
          </cell>
          <cell r="EA247"/>
          <cell r="EB247">
            <v>12</v>
          </cell>
          <cell r="EC247"/>
          <cell r="ED247"/>
          <cell r="EE247">
            <v>12</v>
          </cell>
          <cell r="EF247"/>
          <cell r="EG247"/>
          <cell r="EH247"/>
          <cell r="EI247"/>
          <cell r="EJ247" t="str">
            <v>ACTIVO</v>
          </cell>
          <cell r="EK247" t="str">
            <v>C</v>
          </cell>
          <cell r="EL247">
            <v>120</v>
          </cell>
          <cell r="EM247">
            <v>7.7142857142857144</v>
          </cell>
          <cell r="EN247">
            <v>1.2857142857142858</v>
          </cell>
          <cell r="EO247">
            <v>9.6341152406740616</v>
          </cell>
          <cell r="EP247">
            <v>251</v>
          </cell>
          <cell r="EQ247">
            <v>987674.96</v>
          </cell>
          <cell r="ER247">
            <v>32.537037037037038</v>
          </cell>
          <cell r="ES247">
            <v>5.1428571428571432</v>
          </cell>
        </row>
        <row r="248">
          <cell r="F248">
            <v>401012</v>
          </cell>
          <cell r="G248" t="str">
            <v>STRECH FILM VERDE</v>
          </cell>
          <cell r="H248">
            <v>19</v>
          </cell>
          <cell r="I248"/>
          <cell r="J248">
            <v>8</v>
          </cell>
          <cell r="K248">
            <v>1</v>
          </cell>
          <cell r="L248"/>
          <cell r="M248">
            <v>3</v>
          </cell>
          <cell r="N248">
            <v>6</v>
          </cell>
          <cell r="O248">
            <v>2</v>
          </cell>
          <cell r="P248">
            <v>3</v>
          </cell>
          <cell r="Q248">
            <v>1</v>
          </cell>
          <cell r="R248">
            <v>1</v>
          </cell>
          <cell r="S248"/>
          <cell r="T248">
            <v>2</v>
          </cell>
          <cell r="U248"/>
          <cell r="V248"/>
          <cell r="W248">
            <v>10</v>
          </cell>
          <cell r="X248"/>
          <cell r="Y248">
            <v>5</v>
          </cell>
          <cell r="Z248">
            <v>19</v>
          </cell>
          <cell r="AA248">
            <v>5</v>
          </cell>
          <cell r="AB248">
            <v>12</v>
          </cell>
          <cell r="AC248">
            <v>14</v>
          </cell>
          <cell r="AD248">
            <v>21</v>
          </cell>
          <cell r="AE248">
            <v>0</v>
          </cell>
          <cell r="AF248"/>
          <cell r="AG248"/>
          <cell r="AH248"/>
          <cell r="AI248">
            <v>9</v>
          </cell>
          <cell r="AJ248">
            <v>16</v>
          </cell>
          <cell r="AK248">
            <v>8</v>
          </cell>
          <cell r="AL248"/>
          <cell r="AM248"/>
          <cell r="AN248">
            <v>9</v>
          </cell>
          <cell r="AO248">
            <v>3</v>
          </cell>
          <cell r="AP248"/>
          <cell r="AQ248"/>
          <cell r="AR248"/>
          <cell r="AS248"/>
          <cell r="AT248"/>
          <cell r="AU248"/>
          <cell r="AV248"/>
          <cell r="AW248"/>
          <cell r="AX248">
            <v>12</v>
          </cell>
          <cell r="AY248"/>
          <cell r="AZ248"/>
          <cell r="BA248"/>
          <cell r="BB248"/>
          <cell r="BC248">
            <v>6</v>
          </cell>
          <cell r="BD248">
            <v>0</v>
          </cell>
          <cell r="BE248">
            <v>6</v>
          </cell>
          <cell r="BF248">
            <v>30</v>
          </cell>
          <cell r="BG248"/>
          <cell r="BH248"/>
          <cell r="BI248"/>
          <cell r="BJ248"/>
          <cell r="BK248">
            <v>6</v>
          </cell>
          <cell r="BL248"/>
          <cell r="BM248"/>
          <cell r="BN248"/>
          <cell r="BO248">
            <v>6</v>
          </cell>
          <cell r="BP248"/>
          <cell r="BQ248"/>
          <cell r="BR248"/>
          <cell r="BS248">
            <v>6</v>
          </cell>
          <cell r="BT248">
            <v>6</v>
          </cell>
          <cell r="BU248"/>
          <cell r="BV248"/>
          <cell r="BW248">
            <v>12</v>
          </cell>
          <cell r="BX248"/>
          <cell r="BY248"/>
          <cell r="BZ248">
            <v>1</v>
          </cell>
          <cell r="CA248"/>
          <cell r="CB248">
            <v>6</v>
          </cell>
          <cell r="CC248"/>
          <cell r="CD248"/>
          <cell r="CE248"/>
          <cell r="CF248">
            <v>6</v>
          </cell>
          <cell r="CG248"/>
          <cell r="CH248">
            <v>12</v>
          </cell>
          <cell r="CI248"/>
          <cell r="CJ248">
            <v>6</v>
          </cell>
          <cell r="CK248">
            <v>30</v>
          </cell>
          <cell r="CL248"/>
          <cell r="CM248"/>
          <cell r="CN248"/>
          <cell r="CO248"/>
          <cell r="CP248"/>
          <cell r="CQ248"/>
          <cell r="CR248"/>
          <cell r="CS248"/>
          <cell r="CT248">
            <v>12</v>
          </cell>
          <cell r="CU248"/>
          <cell r="CV248"/>
          <cell r="CW248"/>
          <cell r="CX248"/>
          <cell r="CY248">
            <v>6</v>
          </cell>
          <cell r="CZ248"/>
          <cell r="DA248"/>
          <cell r="DB248"/>
          <cell r="DC248">
            <v>12</v>
          </cell>
          <cell r="DD248"/>
          <cell r="DE248"/>
          <cell r="DF248"/>
          <cell r="DG248"/>
          <cell r="DH248"/>
          <cell r="DI248"/>
          <cell r="DJ248"/>
          <cell r="DK248">
            <v>6</v>
          </cell>
          <cell r="DL248"/>
          <cell r="DM248"/>
          <cell r="DN248">
            <v>6</v>
          </cell>
          <cell r="DO248"/>
          <cell r="DP248"/>
          <cell r="DQ248"/>
          <cell r="DR248">
            <v>6</v>
          </cell>
          <cell r="DS248"/>
          <cell r="DT248"/>
          <cell r="DU248">
            <v>12</v>
          </cell>
          <cell r="DV248"/>
          <cell r="DW248">
            <v>6</v>
          </cell>
          <cell r="DX248">
            <v>12</v>
          </cell>
          <cell r="DY248"/>
          <cell r="DZ248"/>
          <cell r="EA248"/>
          <cell r="EB248">
            <v>6</v>
          </cell>
          <cell r="EC248">
            <v>12</v>
          </cell>
          <cell r="ED248"/>
          <cell r="EE248">
            <v>6</v>
          </cell>
          <cell r="EF248"/>
          <cell r="EG248"/>
          <cell r="EH248"/>
          <cell r="EI248"/>
          <cell r="EJ248" t="str">
            <v>ACTIVO</v>
          </cell>
          <cell r="EK248" t="str">
            <v>C</v>
          </cell>
          <cell r="EL248"/>
          <cell r="EM248">
            <v>8</v>
          </cell>
          <cell r="EN248">
            <v>1.3333333333333333</v>
          </cell>
          <cell r="EO248">
            <v>6.8664657319724274</v>
          </cell>
          <cell r="EP248">
            <v>39</v>
          </cell>
          <cell r="EQ248">
            <v>153906.87</v>
          </cell>
          <cell r="ER248">
            <v>4.875</v>
          </cell>
          <cell r="ES248">
            <v>5.333333333333333</v>
          </cell>
        </row>
        <row r="249">
          <cell r="F249">
            <v>401013</v>
          </cell>
          <cell r="G249" t="str">
            <v>STRECH FILM AZUL</v>
          </cell>
          <cell r="H249">
            <v>20</v>
          </cell>
          <cell r="I249">
            <v>6</v>
          </cell>
          <cell r="J249">
            <v>4</v>
          </cell>
          <cell r="K249">
            <v>13</v>
          </cell>
          <cell r="L249">
            <v>3</v>
          </cell>
          <cell r="M249">
            <v>4</v>
          </cell>
          <cell r="N249"/>
          <cell r="O249"/>
          <cell r="P249">
            <v>5</v>
          </cell>
          <cell r="Q249">
            <v>1</v>
          </cell>
          <cell r="R249">
            <v>8</v>
          </cell>
          <cell r="S249">
            <v>5</v>
          </cell>
          <cell r="T249">
            <v>4</v>
          </cell>
          <cell r="U249">
            <v>16</v>
          </cell>
          <cell r="V249">
            <v>26</v>
          </cell>
          <cell r="W249">
            <v>33</v>
          </cell>
          <cell r="X249">
            <v>41</v>
          </cell>
          <cell r="Y249">
            <v>26</v>
          </cell>
          <cell r="Z249">
            <v>24</v>
          </cell>
          <cell r="AA249">
            <v>22</v>
          </cell>
          <cell r="AB249">
            <v>54</v>
          </cell>
          <cell r="AC249">
            <v>12</v>
          </cell>
          <cell r="AD249">
            <v>12</v>
          </cell>
          <cell r="AE249">
            <v>36</v>
          </cell>
          <cell r="AF249">
            <v>33.6</v>
          </cell>
          <cell r="AG249">
            <v>28.4</v>
          </cell>
          <cell r="AH249">
            <v>26</v>
          </cell>
          <cell r="AI249">
            <v>30</v>
          </cell>
          <cell r="AJ249"/>
          <cell r="AK249">
            <v>12</v>
          </cell>
          <cell r="AL249">
            <v>29</v>
          </cell>
          <cell r="AM249">
            <v>34</v>
          </cell>
          <cell r="AN249">
            <v>21</v>
          </cell>
          <cell r="AO249">
            <v>15</v>
          </cell>
          <cell r="AP249">
            <v>16</v>
          </cell>
          <cell r="AQ249">
            <v>28</v>
          </cell>
          <cell r="AR249">
            <v>14</v>
          </cell>
          <cell r="AS249">
            <v>0</v>
          </cell>
          <cell r="AT249">
            <v>16</v>
          </cell>
          <cell r="AU249">
            <v>11</v>
          </cell>
          <cell r="AV249">
            <v>14</v>
          </cell>
          <cell r="AW249">
            <v>21</v>
          </cell>
          <cell r="AX249">
            <v>20</v>
          </cell>
          <cell r="AY249">
            <v>9</v>
          </cell>
          <cell r="AZ249">
            <v>19</v>
          </cell>
          <cell r="BA249">
            <v>19</v>
          </cell>
          <cell r="BB249">
            <v>22</v>
          </cell>
          <cell r="BC249">
            <v>12</v>
          </cell>
          <cell r="BD249">
            <v>13</v>
          </cell>
          <cell r="BE249">
            <v>21</v>
          </cell>
          <cell r="BF249">
            <v>18</v>
          </cell>
          <cell r="BG249">
            <v>18</v>
          </cell>
          <cell r="BH249">
            <v>11</v>
          </cell>
          <cell r="BI249">
            <v>29</v>
          </cell>
          <cell r="BJ249">
            <v>10</v>
          </cell>
          <cell r="BK249">
            <v>28</v>
          </cell>
          <cell r="BL249">
            <v>14</v>
          </cell>
          <cell r="BM249">
            <v>20</v>
          </cell>
          <cell r="BN249">
            <v>96</v>
          </cell>
          <cell r="BO249">
            <v>26</v>
          </cell>
          <cell r="BP249">
            <v>9</v>
          </cell>
          <cell r="BQ249">
            <v>9</v>
          </cell>
          <cell r="BR249">
            <v>18</v>
          </cell>
          <cell r="BS249">
            <v>12</v>
          </cell>
          <cell r="BT249">
            <v>14</v>
          </cell>
          <cell r="BU249">
            <v>11</v>
          </cell>
          <cell r="BV249">
            <v>12</v>
          </cell>
          <cell r="BW249">
            <v>30</v>
          </cell>
          <cell r="BX249">
            <v>19</v>
          </cell>
          <cell r="BY249">
            <v>16</v>
          </cell>
          <cell r="BZ249">
            <v>22</v>
          </cell>
          <cell r="CA249">
            <v>23</v>
          </cell>
          <cell r="CB249">
            <v>32</v>
          </cell>
          <cell r="CC249">
            <v>7</v>
          </cell>
          <cell r="CD249">
            <v>26</v>
          </cell>
          <cell r="CE249">
            <v>18</v>
          </cell>
          <cell r="CF249">
            <v>16</v>
          </cell>
          <cell r="CG249">
            <v>12</v>
          </cell>
          <cell r="CH249">
            <v>34</v>
          </cell>
          <cell r="CI249">
            <v>16</v>
          </cell>
          <cell r="CJ249">
            <v>18</v>
          </cell>
          <cell r="CK249">
            <v>18</v>
          </cell>
          <cell r="CL249">
            <v>6</v>
          </cell>
          <cell r="CM249">
            <v>23</v>
          </cell>
          <cell r="CN249">
            <v>22</v>
          </cell>
          <cell r="CO249">
            <v>30</v>
          </cell>
          <cell r="CP249">
            <v>9</v>
          </cell>
          <cell r="CQ249">
            <v>22</v>
          </cell>
          <cell r="CR249">
            <v>21</v>
          </cell>
          <cell r="CS249">
            <v>10</v>
          </cell>
          <cell r="CT249">
            <v>6</v>
          </cell>
          <cell r="CU249">
            <v>8</v>
          </cell>
          <cell r="CV249">
            <v>18</v>
          </cell>
          <cell r="CW249">
            <v>18</v>
          </cell>
          <cell r="CX249">
            <v>20</v>
          </cell>
          <cell r="CY249"/>
          <cell r="CZ249">
            <v>16</v>
          </cell>
          <cell r="DA249">
            <v>15</v>
          </cell>
          <cell r="DB249"/>
          <cell r="DC249">
            <v>24</v>
          </cell>
          <cell r="DD249">
            <v>6</v>
          </cell>
          <cell r="DE249">
            <v>4</v>
          </cell>
          <cell r="DF249">
            <v>11</v>
          </cell>
          <cell r="DG249">
            <v>10</v>
          </cell>
          <cell r="DH249">
            <v>6</v>
          </cell>
          <cell r="DI249"/>
          <cell r="DJ249">
            <v>13</v>
          </cell>
          <cell r="DK249">
            <v>20</v>
          </cell>
          <cell r="DL249">
            <v>32</v>
          </cell>
          <cell r="DM249">
            <v>18</v>
          </cell>
          <cell r="DN249">
            <v>26</v>
          </cell>
          <cell r="DO249">
            <v>10</v>
          </cell>
          <cell r="DP249">
            <v>14</v>
          </cell>
          <cell r="DQ249">
            <v>12</v>
          </cell>
          <cell r="DR249">
            <v>14</v>
          </cell>
          <cell r="DS249">
            <v>5</v>
          </cell>
          <cell r="DT249">
            <v>44</v>
          </cell>
          <cell r="DU249">
            <v>17</v>
          </cell>
          <cell r="DV249">
            <v>9</v>
          </cell>
          <cell r="DW249">
            <v>16</v>
          </cell>
          <cell r="DX249">
            <v>12</v>
          </cell>
          <cell r="DY249">
            <v>16</v>
          </cell>
          <cell r="DZ249">
            <v>16</v>
          </cell>
          <cell r="EA249">
            <v>6</v>
          </cell>
          <cell r="EB249"/>
          <cell r="EC249">
            <v>8</v>
          </cell>
          <cell r="ED249">
            <v>22</v>
          </cell>
          <cell r="EE249">
            <v>18</v>
          </cell>
          <cell r="EF249"/>
          <cell r="EG249">
            <v>12</v>
          </cell>
          <cell r="EH249">
            <v>12</v>
          </cell>
          <cell r="EI249"/>
          <cell r="EJ249" t="str">
            <v>ACTIVO</v>
          </cell>
          <cell r="EK249" t="str">
            <v>C</v>
          </cell>
          <cell r="EL249">
            <v>120</v>
          </cell>
          <cell r="EM249">
            <v>16.363636363636363</v>
          </cell>
          <cell r="EN249">
            <v>2.7272727272727271</v>
          </cell>
          <cell r="EO249">
            <v>13.462307584147529</v>
          </cell>
          <cell r="EP249">
            <v>28</v>
          </cell>
          <cell r="EQ249">
            <v>110880</v>
          </cell>
          <cell r="ER249">
            <v>1.7111111111111112</v>
          </cell>
          <cell r="ES249">
            <v>10.909090909090908</v>
          </cell>
        </row>
        <row r="250">
          <cell r="F250">
            <v>401014</v>
          </cell>
          <cell r="G250" t="str">
            <v>STRECH FILM ANARANJADO</v>
          </cell>
          <cell r="H250">
            <v>12</v>
          </cell>
          <cell r="I250">
            <v>3</v>
          </cell>
          <cell r="J250"/>
          <cell r="K250"/>
          <cell r="L250">
            <v>1</v>
          </cell>
          <cell r="M250">
            <v>3</v>
          </cell>
          <cell r="N250">
            <v>1</v>
          </cell>
          <cell r="O250"/>
          <cell r="P250"/>
          <cell r="Q250">
            <v>4</v>
          </cell>
          <cell r="R250">
            <v>2</v>
          </cell>
          <cell r="S250">
            <v>1</v>
          </cell>
          <cell r="T250">
            <v>2</v>
          </cell>
          <cell r="U250"/>
          <cell r="V250">
            <v>5</v>
          </cell>
          <cell r="W250">
            <v>2</v>
          </cell>
          <cell r="X250"/>
          <cell r="Y250"/>
          <cell r="Z250"/>
          <cell r="AA250"/>
          <cell r="AB250">
            <v>12</v>
          </cell>
          <cell r="AC250"/>
          <cell r="AD250">
            <v>12</v>
          </cell>
          <cell r="AE250"/>
          <cell r="AF250">
            <v>1</v>
          </cell>
          <cell r="AG250"/>
          <cell r="AH250"/>
          <cell r="AI250">
            <v>4</v>
          </cell>
          <cell r="AJ250"/>
          <cell r="AK250">
            <v>3</v>
          </cell>
          <cell r="AL250"/>
          <cell r="AM250"/>
          <cell r="AN250"/>
          <cell r="AO250"/>
          <cell r="AP250"/>
          <cell r="AQ250"/>
          <cell r="AR250"/>
          <cell r="AS250">
            <v>0</v>
          </cell>
          <cell r="AT250"/>
          <cell r="AU250"/>
          <cell r="AV250"/>
          <cell r="AW250"/>
          <cell r="AX250">
            <v>2</v>
          </cell>
          <cell r="AY250"/>
          <cell r="AZ250"/>
          <cell r="BA250"/>
          <cell r="BB250"/>
          <cell r="BC250">
            <v>6</v>
          </cell>
          <cell r="BD250"/>
          <cell r="BE250">
            <v>4</v>
          </cell>
          <cell r="BF250">
            <v>6</v>
          </cell>
          <cell r="BG250"/>
          <cell r="BH250"/>
          <cell r="BI250"/>
          <cell r="BJ250"/>
          <cell r="BK250"/>
          <cell r="BL250"/>
          <cell r="BM250"/>
          <cell r="BN250">
            <v>18</v>
          </cell>
          <cell r="BO250"/>
          <cell r="BP250"/>
          <cell r="BQ250"/>
          <cell r="BR250">
            <v>6</v>
          </cell>
          <cell r="BS250"/>
          <cell r="BT250">
            <v>6</v>
          </cell>
          <cell r="BU250"/>
          <cell r="BV250"/>
          <cell r="BW250"/>
          <cell r="BX250"/>
          <cell r="BY250"/>
          <cell r="BZ250">
            <v>74</v>
          </cell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>
            <v>24</v>
          </cell>
          <cell r="CS250"/>
          <cell r="CT250"/>
          <cell r="CU250"/>
          <cell r="CV250"/>
          <cell r="CW250">
            <v>12</v>
          </cell>
          <cell r="CX250"/>
          <cell r="CY250"/>
          <cell r="CZ250"/>
          <cell r="DA250"/>
          <cell r="DB250"/>
          <cell r="DC250"/>
          <cell r="DD250"/>
          <cell r="DE250">
            <v>6</v>
          </cell>
          <cell r="DF250"/>
          <cell r="DG250"/>
          <cell r="DH250"/>
          <cell r="DI250"/>
          <cell r="DJ250">
            <v>6</v>
          </cell>
          <cell r="DK250">
            <v>6</v>
          </cell>
          <cell r="DL250"/>
          <cell r="DM250"/>
          <cell r="DN250">
            <v>6</v>
          </cell>
          <cell r="DO250"/>
          <cell r="DP250"/>
          <cell r="DQ250"/>
          <cell r="DR250">
            <v>6</v>
          </cell>
          <cell r="DS250"/>
          <cell r="DT250"/>
          <cell r="DU250">
            <v>6</v>
          </cell>
          <cell r="DV250"/>
          <cell r="DW250">
            <v>6</v>
          </cell>
          <cell r="DX250"/>
          <cell r="DY250"/>
          <cell r="DZ250"/>
          <cell r="EA250"/>
          <cell r="EB250">
            <v>6</v>
          </cell>
          <cell r="EC250"/>
          <cell r="ED250"/>
          <cell r="EE250">
            <v>12</v>
          </cell>
          <cell r="EF250"/>
          <cell r="EG250"/>
          <cell r="EH250"/>
          <cell r="EI250">
            <v>10</v>
          </cell>
          <cell r="EJ250" t="str">
            <v>ACTIVO</v>
          </cell>
          <cell r="EK250" t="str">
            <v>C</v>
          </cell>
          <cell r="EL250">
            <v>120</v>
          </cell>
          <cell r="EM250">
            <v>6.75</v>
          </cell>
          <cell r="EN250">
            <v>1.125</v>
          </cell>
          <cell r="EO250">
            <v>24.43650664769531</v>
          </cell>
          <cell r="EP250">
            <v>0</v>
          </cell>
          <cell r="EQ250">
            <v>0</v>
          </cell>
          <cell r="ER250">
            <v>0</v>
          </cell>
          <cell r="ES250">
            <v>4.5</v>
          </cell>
        </row>
        <row r="251">
          <cell r="F251">
            <v>401015</v>
          </cell>
          <cell r="G251" t="str">
            <v>STRECH FILM AMARILLO</v>
          </cell>
          <cell r="H251">
            <v>13</v>
          </cell>
          <cell r="I251"/>
          <cell r="J251">
            <v>1</v>
          </cell>
          <cell r="K251"/>
          <cell r="L251"/>
          <cell r="M251">
            <v>7</v>
          </cell>
          <cell r="N251"/>
          <cell r="O251">
            <v>2</v>
          </cell>
          <cell r="P251"/>
          <cell r="Q251">
            <v>6</v>
          </cell>
          <cell r="R251">
            <v>2</v>
          </cell>
          <cell r="S251"/>
          <cell r="T251">
            <v>10</v>
          </cell>
          <cell r="U251">
            <v>22</v>
          </cell>
          <cell r="V251">
            <v>10</v>
          </cell>
          <cell r="W251">
            <v>1</v>
          </cell>
          <cell r="X251">
            <v>4</v>
          </cell>
          <cell r="Y251"/>
          <cell r="Z251">
            <v>5</v>
          </cell>
          <cell r="AA251"/>
          <cell r="AB251"/>
          <cell r="AC251"/>
          <cell r="AD251">
            <v>12</v>
          </cell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>
            <v>12</v>
          </cell>
          <cell r="AY251"/>
          <cell r="AZ251"/>
          <cell r="BA251"/>
          <cell r="BB251"/>
          <cell r="BC251">
            <v>6</v>
          </cell>
          <cell r="BD251">
            <v>0</v>
          </cell>
          <cell r="BE251"/>
          <cell r="BF251"/>
          <cell r="BG251"/>
          <cell r="BH251"/>
          <cell r="BI251"/>
          <cell r="BJ251"/>
          <cell r="BK251">
            <v>12</v>
          </cell>
          <cell r="BL251"/>
          <cell r="BM251"/>
          <cell r="BN251">
            <v>12</v>
          </cell>
          <cell r="BO251"/>
          <cell r="BP251"/>
          <cell r="BQ251"/>
          <cell r="BR251">
            <v>6</v>
          </cell>
          <cell r="BS251"/>
          <cell r="BT251">
            <v>6</v>
          </cell>
          <cell r="BU251"/>
          <cell r="BV251"/>
          <cell r="BW251">
            <v>12</v>
          </cell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>
            <v>12</v>
          </cell>
          <cell r="CI251"/>
          <cell r="CJ251"/>
          <cell r="CK251">
            <v>6</v>
          </cell>
          <cell r="CL251"/>
          <cell r="CM251"/>
          <cell r="CN251"/>
          <cell r="CO251"/>
          <cell r="CP251"/>
          <cell r="CQ251"/>
          <cell r="CR251">
            <v>18</v>
          </cell>
          <cell r="CS251"/>
          <cell r="CT251"/>
          <cell r="CU251"/>
          <cell r="CV251"/>
          <cell r="CW251"/>
          <cell r="CX251"/>
          <cell r="CY251">
            <v>6</v>
          </cell>
          <cell r="CZ251"/>
          <cell r="DA251"/>
          <cell r="DB251"/>
          <cell r="DC251">
            <v>12</v>
          </cell>
          <cell r="DD251"/>
          <cell r="DE251"/>
          <cell r="DF251"/>
          <cell r="DG251"/>
          <cell r="DH251"/>
          <cell r="DI251"/>
          <cell r="DJ251">
            <v>6</v>
          </cell>
          <cell r="DK251"/>
          <cell r="DL251"/>
          <cell r="DM251"/>
          <cell r="DN251">
            <v>6</v>
          </cell>
          <cell r="DO251"/>
          <cell r="DP251"/>
          <cell r="DQ251"/>
          <cell r="DR251">
            <v>6</v>
          </cell>
          <cell r="DS251"/>
          <cell r="DT251"/>
          <cell r="DU251">
            <v>12</v>
          </cell>
          <cell r="DV251"/>
          <cell r="DW251"/>
          <cell r="DX251"/>
          <cell r="DY251"/>
          <cell r="DZ251">
            <v>6</v>
          </cell>
          <cell r="EA251"/>
          <cell r="EB251">
            <v>6</v>
          </cell>
          <cell r="EC251"/>
          <cell r="ED251"/>
          <cell r="EE251">
            <v>12</v>
          </cell>
          <cell r="EF251"/>
          <cell r="EG251"/>
          <cell r="EH251"/>
          <cell r="EI251"/>
          <cell r="EJ251" t="str">
            <v>ACTIVO</v>
          </cell>
          <cell r="EK251" t="str">
            <v>C</v>
          </cell>
          <cell r="EL251">
            <v>120</v>
          </cell>
          <cell r="EM251">
            <v>7.7142857142857144</v>
          </cell>
          <cell r="EN251">
            <v>1.2857142857142858</v>
          </cell>
          <cell r="EO251">
            <v>4.0496913462633159</v>
          </cell>
          <cell r="EP251">
            <v>8</v>
          </cell>
          <cell r="EQ251">
            <v>31447.040000000001</v>
          </cell>
          <cell r="ER251">
            <v>1.037037037037037</v>
          </cell>
          <cell r="ES251">
            <v>5.1428571428571432</v>
          </cell>
        </row>
        <row r="252">
          <cell r="F252">
            <v>401019</v>
          </cell>
          <cell r="G252" t="str">
            <v>STRECH FILM ROJO</v>
          </cell>
          <cell r="H252"/>
          <cell r="I252"/>
          <cell r="J252"/>
          <cell r="K252"/>
          <cell r="L252"/>
          <cell r="M252"/>
          <cell r="N252"/>
          <cell r="O252"/>
          <cell r="P252">
            <v>1</v>
          </cell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>
            <v>2</v>
          </cell>
          <cell r="AF252">
            <v>2</v>
          </cell>
          <cell r="AG252"/>
          <cell r="AH252"/>
          <cell r="AI252"/>
          <cell r="AJ252"/>
          <cell r="AK252">
            <v>1</v>
          </cell>
          <cell r="AL252"/>
          <cell r="AM252"/>
          <cell r="AN252"/>
          <cell r="AO252">
            <v>1</v>
          </cell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>
            <v>6</v>
          </cell>
          <cell r="BD252">
            <v>0</v>
          </cell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>
            <v>12</v>
          </cell>
          <cell r="CC252"/>
          <cell r="CD252"/>
          <cell r="CE252"/>
          <cell r="CF252"/>
          <cell r="CG252">
            <v>6</v>
          </cell>
          <cell r="CH252">
            <v>12</v>
          </cell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K252"/>
          <cell r="DL252"/>
          <cell r="DM252"/>
          <cell r="DN252"/>
          <cell r="DO252"/>
          <cell r="DP252"/>
          <cell r="DQ252"/>
          <cell r="DR252"/>
          <cell r="DS252">
            <v>6</v>
          </cell>
          <cell r="DT252"/>
          <cell r="DU252"/>
          <cell r="DV252"/>
          <cell r="DW252"/>
          <cell r="DX252"/>
          <cell r="DY252"/>
          <cell r="DZ252"/>
          <cell r="EA252"/>
          <cell r="EB252"/>
          <cell r="EC252"/>
          <cell r="ED252"/>
          <cell r="EE252"/>
          <cell r="EF252"/>
          <cell r="EG252"/>
          <cell r="EH252"/>
          <cell r="EI252"/>
          <cell r="EJ252" t="str">
            <v>ACTIVO</v>
          </cell>
          <cell r="EK252" t="str">
            <v>C</v>
          </cell>
          <cell r="EL252">
            <v>120</v>
          </cell>
          <cell r="EM252">
            <v>6</v>
          </cell>
          <cell r="EN252">
            <v>1</v>
          </cell>
          <cell r="EO252">
            <v>3.4641016151377544</v>
          </cell>
          <cell r="EP252">
            <v>100</v>
          </cell>
          <cell r="EQ252">
            <v>383338</v>
          </cell>
          <cell r="ER252">
            <v>16.666666666666668</v>
          </cell>
          <cell r="ES252">
            <v>4</v>
          </cell>
        </row>
        <row r="253">
          <cell r="F253">
            <v>402111</v>
          </cell>
          <cell r="G253" t="str">
            <v>FILM TRANSPARENTE  685 MM (23CM) BATTISTA</v>
          </cell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>
            <v>6</v>
          </cell>
          <cell r="AX253"/>
          <cell r="AY253">
            <v>1</v>
          </cell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K253"/>
          <cell r="DL253"/>
          <cell r="DM253"/>
          <cell r="DN253"/>
          <cell r="DO253"/>
          <cell r="DP253"/>
          <cell r="DQ253"/>
          <cell r="DR253"/>
          <cell r="DS253"/>
          <cell r="DT253"/>
          <cell r="DU253"/>
          <cell r="DV253"/>
          <cell r="DW253"/>
          <cell r="DX253"/>
          <cell r="DY253"/>
          <cell r="DZ253"/>
          <cell r="EA253"/>
          <cell r="EB253"/>
          <cell r="EC253"/>
          <cell r="ED253"/>
          <cell r="EE253"/>
          <cell r="EF253"/>
          <cell r="EG253"/>
          <cell r="EH253"/>
          <cell r="EI253"/>
          <cell r="EJ253" t="str">
            <v>ACTIVO</v>
          </cell>
          <cell r="EK253" t="str">
            <v/>
          </cell>
          <cell r="EL253">
            <v>120</v>
          </cell>
          <cell r="EM253">
            <v>0</v>
          </cell>
          <cell r="EN253">
            <v>0</v>
          </cell>
          <cell r="EO253">
            <v>0</v>
          </cell>
          <cell r="EP253">
            <v>285</v>
          </cell>
          <cell r="EQ253">
            <v>926560.65</v>
          </cell>
          <cell r="ER253">
            <v>0</v>
          </cell>
          <cell r="ES253">
            <v>0</v>
          </cell>
        </row>
        <row r="254">
          <cell r="F254"/>
          <cell r="G254"/>
          <cell r="H254">
            <v>126</v>
          </cell>
          <cell r="I254">
            <v>9</v>
          </cell>
          <cell r="J254">
            <v>13</v>
          </cell>
          <cell r="K254">
            <v>14</v>
          </cell>
          <cell r="L254">
            <v>4</v>
          </cell>
          <cell r="M254">
            <v>23</v>
          </cell>
          <cell r="N254">
            <v>7</v>
          </cell>
          <cell r="O254">
            <v>4</v>
          </cell>
          <cell r="P254">
            <v>9</v>
          </cell>
          <cell r="Q254">
            <v>12</v>
          </cell>
          <cell r="R254">
            <v>13</v>
          </cell>
          <cell r="S254">
            <v>10</v>
          </cell>
          <cell r="T254">
            <v>19</v>
          </cell>
          <cell r="U254">
            <v>38</v>
          </cell>
          <cell r="V254">
            <v>51</v>
          </cell>
          <cell r="W254">
            <v>56</v>
          </cell>
          <cell r="X254">
            <v>48</v>
          </cell>
          <cell r="Y254">
            <v>34</v>
          </cell>
          <cell r="Z254">
            <v>48</v>
          </cell>
          <cell r="AA254">
            <v>27</v>
          </cell>
          <cell r="AB254">
            <v>78</v>
          </cell>
          <cell r="AC254">
            <v>26</v>
          </cell>
          <cell r="AD254">
            <v>57</v>
          </cell>
          <cell r="AE254">
            <v>38</v>
          </cell>
          <cell r="AF254">
            <v>36.6</v>
          </cell>
          <cell r="AG254">
            <v>28.4</v>
          </cell>
          <cell r="AH254">
            <v>26</v>
          </cell>
          <cell r="AI254">
            <v>43</v>
          </cell>
          <cell r="AJ254">
            <v>16</v>
          </cell>
          <cell r="AK254">
            <v>27</v>
          </cell>
          <cell r="AL254">
            <v>29</v>
          </cell>
          <cell r="AM254">
            <v>34</v>
          </cell>
          <cell r="AN254">
            <v>42</v>
          </cell>
          <cell r="AO254">
            <v>19</v>
          </cell>
          <cell r="AP254">
            <v>16</v>
          </cell>
          <cell r="AQ254">
            <v>28</v>
          </cell>
          <cell r="AR254">
            <v>14</v>
          </cell>
          <cell r="AS254">
            <v>0</v>
          </cell>
          <cell r="AT254">
            <v>16</v>
          </cell>
          <cell r="AU254">
            <v>11</v>
          </cell>
          <cell r="AV254">
            <v>14</v>
          </cell>
          <cell r="AW254">
            <v>27</v>
          </cell>
          <cell r="AX254">
            <v>53</v>
          </cell>
          <cell r="AY254">
            <v>10</v>
          </cell>
          <cell r="AZ254">
            <v>25</v>
          </cell>
          <cell r="BA254">
            <v>19</v>
          </cell>
          <cell r="BB254">
            <v>52</v>
          </cell>
          <cell r="BC254">
            <v>78</v>
          </cell>
          <cell r="BD254">
            <v>49</v>
          </cell>
          <cell r="BE254">
            <v>91</v>
          </cell>
          <cell r="BF254">
            <v>54</v>
          </cell>
          <cell r="BG254">
            <v>42</v>
          </cell>
          <cell r="BH254">
            <v>11</v>
          </cell>
          <cell r="BI254">
            <v>83</v>
          </cell>
          <cell r="BJ254">
            <v>34</v>
          </cell>
          <cell r="BK254">
            <v>83</v>
          </cell>
          <cell r="BL254">
            <v>32</v>
          </cell>
          <cell r="BM254">
            <v>30</v>
          </cell>
          <cell r="BN254">
            <v>198</v>
          </cell>
          <cell r="BO254">
            <v>98</v>
          </cell>
          <cell r="BP254">
            <v>69</v>
          </cell>
          <cell r="BQ254">
            <v>9</v>
          </cell>
          <cell r="BR254">
            <v>66</v>
          </cell>
          <cell r="BS254">
            <v>54</v>
          </cell>
          <cell r="BT254">
            <v>75</v>
          </cell>
          <cell r="BU254">
            <v>41</v>
          </cell>
          <cell r="BV254">
            <v>24</v>
          </cell>
          <cell r="BW254">
            <v>114</v>
          </cell>
          <cell r="BX254">
            <v>79</v>
          </cell>
          <cell r="BY254">
            <v>77</v>
          </cell>
          <cell r="BZ254">
            <v>163</v>
          </cell>
          <cell r="CA254">
            <v>29</v>
          </cell>
          <cell r="CB254">
            <v>98</v>
          </cell>
          <cell r="CC254">
            <v>43</v>
          </cell>
          <cell r="CD254">
            <v>86</v>
          </cell>
          <cell r="CE254">
            <v>78</v>
          </cell>
          <cell r="CF254">
            <v>58</v>
          </cell>
          <cell r="CG254">
            <v>84</v>
          </cell>
          <cell r="CH254">
            <v>124</v>
          </cell>
          <cell r="CI254">
            <v>52</v>
          </cell>
          <cell r="CJ254">
            <v>30</v>
          </cell>
          <cell r="CK254">
            <v>150</v>
          </cell>
          <cell r="CL254">
            <v>6</v>
          </cell>
          <cell r="CM254">
            <v>137</v>
          </cell>
          <cell r="CN254">
            <v>22</v>
          </cell>
          <cell r="CO254">
            <v>78</v>
          </cell>
          <cell r="CP254">
            <v>45</v>
          </cell>
          <cell r="CQ254">
            <v>62</v>
          </cell>
          <cell r="CR254">
            <v>171</v>
          </cell>
          <cell r="CS254">
            <v>10</v>
          </cell>
          <cell r="CT254">
            <v>54</v>
          </cell>
          <cell r="CU254">
            <v>14</v>
          </cell>
          <cell r="CV254">
            <v>54</v>
          </cell>
          <cell r="CW254">
            <v>96</v>
          </cell>
          <cell r="CX254">
            <v>68</v>
          </cell>
          <cell r="CY254">
            <v>46</v>
          </cell>
          <cell r="CZ254">
            <v>45</v>
          </cell>
          <cell r="DA254">
            <v>15</v>
          </cell>
          <cell r="DB254"/>
          <cell r="DC254">
            <v>48</v>
          </cell>
          <cell r="DD254">
            <v>21</v>
          </cell>
          <cell r="DE254">
            <v>20</v>
          </cell>
          <cell r="DF254">
            <v>11</v>
          </cell>
          <cell r="DG254">
            <v>16</v>
          </cell>
          <cell r="DH254">
            <v>6</v>
          </cell>
          <cell r="DI254"/>
          <cell r="DJ254">
            <v>31</v>
          </cell>
          <cell r="DK254">
            <v>38</v>
          </cell>
          <cell r="DL254">
            <v>32</v>
          </cell>
          <cell r="DM254">
            <v>18</v>
          </cell>
          <cell r="DN254">
            <v>56</v>
          </cell>
          <cell r="DO254">
            <v>10</v>
          </cell>
          <cell r="DP254">
            <v>14</v>
          </cell>
          <cell r="DQ254">
            <v>12</v>
          </cell>
          <cell r="DR254">
            <v>47</v>
          </cell>
          <cell r="DS254">
            <v>11</v>
          </cell>
          <cell r="DT254">
            <v>50</v>
          </cell>
          <cell r="DU254">
            <v>59</v>
          </cell>
          <cell r="DV254">
            <v>9</v>
          </cell>
          <cell r="DW254">
            <v>28</v>
          </cell>
          <cell r="DX254">
            <v>36</v>
          </cell>
          <cell r="DY254">
            <v>16</v>
          </cell>
          <cell r="DZ254">
            <v>28</v>
          </cell>
          <cell r="EA254">
            <v>18</v>
          </cell>
          <cell r="EB254">
            <v>30</v>
          </cell>
          <cell r="EC254">
            <v>20</v>
          </cell>
          <cell r="ED254">
            <v>22</v>
          </cell>
          <cell r="EE254">
            <v>72</v>
          </cell>
          <cell r="EF254"/>
          <cell r="EG254">
            <v>12</v>
          </cell>
          <cell r="EH254">
            <v>12</v>
          </cell>
          <cell r="EI254">
            <v>22</v>
          </cell>
          <cell r="EJ254" t="str">
            <v>ACTIVO</v>
          </cell>
          <cell r="EK254" t="str">
            <v/>
          </cell>
          <cell r="EL254" t="str">
            <v/>
          </cell>
          <cell r="EM254">
            <v>29.086956521739129</v>
          </cell>
          <cell r="EN254">
            <v>4.8478260869565215</v>
          </cell>
          <cell r="EO254">
            <v>45.27607204527763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</row>
        <row r="255">
          <cell r="F255">
            <v>402132</v>
          </cell>
          <cell r="G255" t="str">
            <v>FRAMBUESA CONGELADA ALTA FRUTA</v>
          </cell>
          <cell r="H255"/>
          <cell r="I255"/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>
            <v>1400</v>
          </cell>
          <cell r="X255">
            <v>1400</v>
          </cell>
          <cell r="Y255"/>
          <cell r="Z255"/>
          <cell r="AA255">
            <v>400</v>
          </cell>
          <cell r="AB255"/>
          <cell r="AC255">
            <v>500</v>
          </cell>
          <cell r="AD255">
            <v>300</v>
          </cell>
          <cell r="AE255"/>
          <cell r="AF255">
            <v>400</v>
          </cell>
          <cell r="AG255"/>
          <cell r="AH255"/>
          <cell r="AI255"/>
          <cell r="AJ255"/>
          <cell r="AK255"/>
          <cell r="AL255">
            <v>400</v>
          </cell>
          <cell r="AM255"/>
          <cell r="AN255"/>
          <cell r="AO255"/>
          <cell r="AP255">
            <v>500</v>
          </cell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>
            <v>200</v>
          </cell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>
            <v>416</v>
          </cell>
          <cell r="CC255"/>
          <cell r="CD255"/>
          <cell r="CE255"/>
          <cell r="CF255"/>
          <cell r="CG255">
            <v>266.7</v>
          </cell>
          <cell r="CH255"/>
          <cell r="CI255"/>
          <cell r="CJ255"/>
          <cell r="CK255"/>
          <cell r="CL255"/>
          <cell r="CM255">
            <v>57.5</v>
          </cell>
          <cell r="CN255">
            <v>573.5</v>
          </cell>
          <cell r="CO255">
            <v>458</v>
          </cell>
          <cell r="CP255">
            <v>277.5</v>
          </cell>
          <cell r="CQ255">
            <v>615</v>
          </cell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>
            <v>420</v>
          </cell>
          <cell r="DF255">
            <v>969</v>
          </cell>
          <cell r="DG255">
            <v>1203</v>
          </cell>
          <cell r="DH255">
            <v>1056</v>
          </cell>
          <cell r="DI255">
            <v>200</v>
          </cell>
          <cell r="DJ255">
            <v>1152</v>
          </cell>
          <cell r="DK255">
            <v>1700</v>
          </cell>
          <cell r="DL255">
            <v>1052</v>
          </cell>
          <cell r="DM255">
            <v>272</v>
          </cell>
          <cell r="DN255">
            <v>24</v>
          </cell>
          <cell r="DO255">
            <v>388</v>
          </cell>
          <cell r="DP255">
            <v>596</v>
          </cell>
          <cell r="DQ255"/>
          <cell r="DR255">
            <v>656</v>
          </cell>
          <cell r="DS255">
            <v>832</v>
          </cell>
          <cell r="DT255">
            <v>368</v>
          </cell>
          <cell r="DU255"/>
          <cell r="DV255"/>
          <cell r="DW255">
            <v>294</v>
          </cell>
          <cell r="DX255">
            <v>274</v>
          </cell>
          <cell r="DY255">
            <v>1040</v>
          </cell>
          <cell r="DZ255">
            <v>619</v>
          </cell>
          <cell r="EA255">
            <v>400</v>
          </cell>
          <cell r="EB255">
            <v>288</v>
          </cell>
          <cell r="EC255">
            <v>144</v>
          </cell>
          <cell r="ED255">
            <v>660</v>
          </cell>
          <cell r="EE255">
            <v>396.5</v>
          </cell>
          <cell r="EF255">
            <v>740</v>
          </cell>
          <cell r="EG255">
            <v>200</v>
          </cell>
          <cell r="EH255">
            <v>318</v>
          </cell>
          <cell r="EI255">
            <v>821.5</v>
          </cell>
          <cell r="EJ255" t="str">
            <v>ACTIVO</v>
          </cell>
          <cell r="EK255" t="str">
            <v>B</v>
          </cell>
          <cell r="EL255" t="str">
            <v/>
          </cell>
          <cell r="EM255">
            <v>558.88636363636363</v>
          </cell>
          <cell r="EN255">
            <v>93.147727272727266</v>
          </cell>
          <cell r="EO255">
            <v>359.92830557142247</v>
          </cell>
          <cell r="EP255">
            <v>461</v>
          </cell>
          <cell r="EQ255">
            <v>2706070</v>
          </cell>
          <cell r="ER255">
            <v>0.82485462160953194</v>
          </cell>
          <cell r="ES255">
            <v>279.44318181818181</v>
          </cell>
        </row>
        <row r="256">
          <cell r="F256">
            <v>107354</v>
          </cell>
          <cell r="G256" t="str">
            <v>FRUTILLA CONGELADA ALTA FRUTA</v>
          </cell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>
            <v>0</v>
          </cell>
          <cell r="DE256"/>
          <cell r="DF256"/>
          <cell r="DG256"/>
          <cell r="DH256"/>
          <cell r="DI256"/>
          <cell r="DJ256"/>
          <cell r="DK256"/>
          <cell r="DL256"/>
          <cell r="DM256"/>
          <cell r="DN256"/>
          <cell r="DO256"/>
          <cell r="DP256"/>
          <cell r="DQ256"/>
          <cell r="DR256"/>
          <cell r="DS256"/>
          <cell r="DT256"/>
          <cell r="DU256"/>
          <cell r="DV256"/>
          <cell r="DW256"/>
          <cell r="DX256"/>
          <cell r="DY256"/>
          <cell r="DZ256"/>
          <cell r="EA256"/>
          <cell r="EB256"/>
          <cell r="EC256"/>
          <cell r="ED256"/>
          <cell r="EE256"/>
          <cell r="EF256"/>
          <cell r="EG256"/>
          <cell r="EH256"/>
          <cell r="EI256"/>
          <cell r="EJ256" t="str">
            <v>SIN USO</v>
          </cell>
          <cell r="EK256" t="str">
            <v>C</v>
          </cell>
          <cell r="EL256" t="str">
            <v/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</row>
        <row r="257">
          <cell r="F257">
            <v>107306</v>
          </cell>
          <cell r="G257" t="str">
            <v>FRAMBUESA CONGELADA FRUTOS DEL MAIPO</v>
          </cell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>
            <v>1800</v>
          </cell>
          <cell r="AH257"/>
          <cell r="AI257"/>
          <cell r="AJ257"/>
          <cell r="AK257">
            <v>396</v>
          </cell>
          <cell r="AL257"/>
          <cell r="AM257"/>
          <cell r="AN257">
            <v>204</v>
          </cell>
          <cell r="AO257">
            <v>408</v>
          </cell>
          <cell r="AP257">
            <v>204</v>
          </cell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>
            <v>600</v>
          </cell>
          <cell r="BO257">
            <v>300</v>
          </cell>
          <cell r="BP257">
            <v>600</v>
          </cell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>
            <v>237.3</v>
          </cell>
          <cell r="CH257"/>
          <cell r="CI257">
            <v>408</v>
          </cell>
          <cell r="CJ257">
            <v>236.5</v>
          </cell>
          <cell r="CK257">
            <v>504</v>
          </cell>
          <cell r="CL257">
            <v>124</v>
          </cell>
          <cell r="CM257">
            <v>530</v>
          </cell>
          <cell r="CN257"/>
          <cell r="CO257"/>
          <cell r="CP257"/>
          <cell r="CQ257">
            <v>270</v>
          </cell>
          <cell r="CR257">
            <v>562</v>
          </cell>
          <cell r="CS257">
            <v>162</v>
          </cell>
          <cell r="CT257">
            <v>468</v>
          </cell>
          <cell r="CU257">
            <v>554</v>
          </cell>
          <cell r="CV257">
            <v>588</v>
          </cell>
          <cell r="CW257">
            <v>674</v>
          </cell>
          <cell r="CX257">
            <v>512</v>
          </cell>
          <cell r="CY257">
            <v>982</v>
          </cell>
          <cell r="CZ257">
            <v>708</v>
          </cell>
          <cell r="DA257">
            <v>832</v>
          </cell>
          <cell r="DB257">
            <v>850</v>
          </cell>
          <cell r="DC257">
            <v>562</v>
          </cell>
          <cell r="DD257">
            <v>479</v>
          </cell>
          <cell r="DE257"/>
          <cell r="DF257">
            <v>5</v>
          </cell>
          <cell r="DG257"/>
          <cell r="DH257"/>
          <cell r="DI257"/>
          <cell r="DJ257"/>
          <cell r="DK257"/>
          <cell r="DL257"/>
          <cell r="DM257"/>
          <cell r="DN257"/>
          <cell r="DO257"/>
          <cell r="DP257"/>
          <cell r="DQ257"/>
          <cell r="DR257"/>
          <cell r="DS257"/>
          <cell r="DT257">
            <v>144</v>
          </cell>
          <cell r="DU257">
            <v>466</v>
          </cell>
          <cell r="DV257">
            <v>434</v>
          </cell>
          <cell r="DW257">
            <v>466</v>
          </cell>
          <cell r="DX257">
            <v>368</v>
          </cell>
          <cell r="DY257">
            <v>728</v>
          </cell>
          <cell r="DZ257"/>
          <cell r="EA257"/>
          <cell r="EB257"/>
          <cell r="EC257"/>
          <cell r="ED257"/>
          <cell r="EE257"/>
          <cell r="EF257"/>
          <cell r="EG257"/>
          <cell r="EH257"/>
          <cell r="EI257"/>
          <cell r="EJ257" t="str">
            <v>ACTIVO</v>
          </cell>
          <cell r="EK257" t="str">
            <v>B</v>
          </cell>
          <cell r="EL257" t="str">
            <v/>
          </cell>
          <cell r="EM257">
            <v>434.33333333333331</v>
          </cell>
          <cell r="EN257">
            <v>72.388888888888886</v>
          </cell>
          <cell r="EO257">
            <v>239.31635768992282</v>
          </cell>
          <cell r="EP257">
            <v>0</v>
          </cell>
          <cell r="EQ257">
            <v>0</v>
          </cell>
          <cell r="ER257">
            <v>0</v>
          </cell>
          <cell r="ES257">
            <v>217.16666666666666</v>
          </cell>
        </row>
        <row r="258">
          <cell r="F258">
            <v>107368</v>
          </cell>
          <cell r="G258" t="str">
            <v>FRAMBUESA MITAD CONGELADA MEL</v>
          </cell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>
            <v>200</v>
          </cell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K258"/>
          <cell r="DL258"/>
          <cell r="DM258"/>
          <cell r="DN258"/>
          <cell r="DO258"/>
          <cell r="DP258"/>
          <cell r="DQ258"/>
          <cell r="DR258"/>
          <cell r="DS258"/>
          <cell r="DT258"/>
          <cell r="DU258"/>
          <cell r="DV258"/>
          <cell r="DW258"/>
          <cell r="DX258"/>
          <cell r="DY258"/>
          <cell r="DZ258"/>
          <cell r="EA258"/>
          <cell r="EB258"/>
          <cell r="EC258"/>
          <cell r="ED258"/>
          <cell r="EE258"/>
          <cell r="EF258"/>
          <cell r="EG258"/>
          <cell r="EH258"/>
          <cell r="EI258"/>
          <cell r="EJ258" t="str">
            <v>SIN USO</v>
          </cell>
          <cell r="EK258" t="str">
            <v/>
          </cell>
          <cell r="EL258" t="str">
            <v/>
          </cell>
          <cell r="EM258">
            <v>0</v>
          </cell>
          <cell r="EN258">
            <v>0</v>
          </cell>
          <cell r="EO258">
            <v>0</v>
          </cell>
          <cell r="EP258">
            <v>0</v>
          </cell>
          <cell r="EQ258">
            <v>0</v>
          </cell>
          <cell r="ER258">
            <v>0</v>
          </cell>
          <cell r="ES258">
            <v>0</v>
          </cell>
        </row>
        <row r="259">
          <cell r="F259">
            <v>405285</v>
          </cell>
          <cell r="G259" t="str">
            <v>FRUTILLA PICADILLO CONGELADA ALTA FRUTA</v>
          </cell>
          <cell r="H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>
            <v>133</v>
          </cell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K259"/>
          <cell r="DL259"/>
          <cell r="DM259"/>
          <cell r="DN259"/>
          <cell r="DO259"/>
          <cell r="DP259"/>
          <cell r="DQ259"/>
          <cell r="DR259"/>
          <cell r="DS259"/>
          <cell r="DT259"/>
          <cell r="DU259"/>
          <cell r="DV259"/>
          <cell r="DW259"/>
          <cell r="DX259"/>
          <cell r="DY259"/>
          <cell r="DZ259"/>
          <cell r="EA259"/>
          <cell r="EB259"/>
          <cell r="EC259"/>
          <cell r="ED259"/>
          <cell r="EE259"/>
          <cell r="EF259"/>
          <cell r="EG259"/>
          <cell r="EH259"/>
          <cell r="EI259"/>
          <cell r="EJ259" t="str">
            <v>SIN USO</v>
          </cell>
          <cell r="EK259" t="str">
            <v>C</v>
          </cell>
          <cell r="EL259" t="str">
            <v/>
          </cell>
          <cell r="EM259">
            <v>0</v>
          </cell>
          <cell r="EN259">
            <v>0</v>
          </cell>
          <cell r="EO259">
            <v>0</v>
          </cell>
          <cell r="EP259">
            <v>0</v>
          </cell>
          <cell r="EQ259">
            <v>0</v>
          </cell>
          <cell r="ER259">
            <v>0</v>
          </cell>
          <cell r="ES259">
            <v>0</v>
          </cell>
        </row>
        <row r="260">
          <cell r="F260">
            <v>107277</v>
          </cell>
          <cell r="G260" t="str">
            <v>PULPA MARACUYÁ CON PEPAS ALTA FRUTA</v>
          </cell>
          <cell r="H260"/>
          <cell r="I260"/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>
            <v>10</v>
          </cell>
          <cell r="DB260">
            <v>35</v>
          </cell>
          <cell r="DC260"/>
          <cell r="DD260"/>
          <cell r="DE260"/>
          <cell r="DF260"/>
          <cell r="DG260"/>
          <cell r="DH260"/>
          <cell r="DI260"/>
          <cell r="DJ260"/>
          <cell r="DK260"/>
          <cell r="DL260"/>
          <cell r="DM260"/>
          <cell r="DN260"/>
          <cell r="DO260"/>
          <cell r="DP260"/>
          <cell r="DQ260"/>
          <cell r="DR260"/>
          <cell r="DS260"/>
          <cell r="DT260"/>
          <cell r="DU260"/>
          <cell r="DV260"/>
          <cell r="DW260"/>
          <cell r="DX260"/>
          <cell r="DY260"/>
          <cell r="DZ260"/>
          <cell r="EA260"/>
          <cell r="EB260"/>
          <cell r="EC260"/>
          <cell r="ED260"/>
          <cell r="EE260"/>
          <cell r="EF260"/>
          <cell r="EG260"/>
          <cell r="EH260"/>
          <cell r="EI260"/>
          <cell r="EJ260" t="str">
            <v>SIN USO</v>
          </cell>
          <cell r="EK260" t="str">
            <v>C</v>
          </cell>
          <cell r="EL260" t="str">
            <v/>
          </cell>
          <cell r="EM260">
            <v>0</v>
          </cell>
          <cell r="EN260">
            <v>0</v>
          </cell>
          <cell r="EO260">
            <v>17.677669529663689</v>
          </cell>
          <cell r="EP260">
            <v>0</v>
          </cell>
          <cell r="EQ260">
            <v>0</v>
          </cell>
          <cell r="ER260">
            <v>0</v>
          </cell>
          <cell r="ES260">
            <v>0</v>
          </cell>
        </row>
        <row r="261"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>
            <v>1400</v>
          </cell>
          <cell r="X261">
            <v>1400</v>
          </cell>
          <cell r="Y261"/>
          <cell r="Z261"/>
          <cell r="AA261">
            <v>400</v>
          </cell>
          <cell r="AB261"/>
          <cell r="AC261">
            <v>500</v>
          </cell>
          <cell r="AD261">
            <v>300</v>
          </cell>
          <cell r="AE261"/>
          <cell r="AF261">
            <v>400</v>
          </cell>
          <cell r="AG261">
            <v>1800</v>
          </cell>
          <cell r="AH261"/>
          <cell r="AI261"/>
          <cell r="AJ261"/>
          <cell r="AK261">
            <v>396</v>
          </cell>
          <cell r="AL261">
            <v>400</v>
          </cell>
          <cell r="AM261"/>
          <cell r="AN261">
            <v>204</v>
          </cell>
          <cell r="AO261">
            <v>608</v>
          </cell>
          <cell r="AP261">
            <v>704</v>
          </cell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>
            <v>200</v>
          </cell>
          <cell r="BM261"/>
          <cell r="BN261">
            <v>600</v>
          </cell>
          <cell r="BO261">
            <v>300</v>
          </cell>
          <cell r="BP261">
            <v>600</v>
          </cell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>
            <v>416</v>
          </cell>
          <cell r="CC261"/>
          <cell r="CD261"/>
          <cell r="CE261"/>
          <cell r="CF261"/>
          <cell r="CG261">
            <v>504</v>
          </cell>
          <cell r="CH261"/>
          <cell r="CI261">
            <v>408</v>
          </cell>
          <cell r="CJ261">
            <v>236.5</v>
          </cell>
          <cell r="CK261">
            <v>504</v>
          </cell>
          <cell r="CL261">
            <v>124</v>
          </cell>
          <cell r="CM261">
            <v>587.5</v>
          </cell>
          <cell r="CN261">
            <v>573.5</v>
          </cell>
          <cell r="CO261">
            <v>458</v>
          </cell>
          <cell r="CP261">
            <v>277.5</v>
          </cell>
          <cell r="CQ261">
            <v>885</v>
          </cell>
          <cell r="CR261">
            <v>562</v>
          </cell>
          <cell r="CS261">
            <v>162</v>
          </cell>
          <cell r="CT261">
            <v>601</v>
          </cell>
          <cell r="CU261">
            <v>554</v>
          </cell>
          <cell r="CV261">
            <v>588</v>
          </cell>
          <cell r="CW261">
            <v>674</v>
          </cell>
          <cell r="CX261">
            <v>512</v>
          </cell>
          <cell r="CY261">
            <v>982</v>
          </cell>
          <cell r="CZ261">
            <v>708</v>
          </cell>
          <cell r="DA261">
            <v>842</v>
          </cell>
          <cell r="DB261">
            <v>885</v>
          </cell>
          <cell r="DC261">
            <v>562</v>
          </cell>
          <cell r="DD261">
            <v>479</v>
          </cell>
          <cell r="DE261">
            <v>420</v>
          </cell>
          <cell r="DF261">
            <v>974</v>
          </cell>
          <cell r="DG261">
            <v>1203</v>
          </cell>
          <cell r="DH261">
            <v>1056</v>
          </cell>
          <cell r="DI261">
            <v>200</v>
          </cell>
          <cell r="DJ261">
            <v>1152</v>
          </cell>
          <cell r="DK261">
            <v>1700</v>
          </cell>
          <cell r="DL261">
            <v>1052</v>
          </cell>
          <cell r="DM261">
            <v>272</v>
          </cell>
          <cell r="DN261">
            <v>24</v>
          </cell>
          <cell r="DO261">
            <v>388</v>
          </cell>
          <cell r="DP261">
            <v>596</v>
          </cell>
          <cell r="DQ261"/>
          <cell r="DR261">
            <v>656</v>
          </cell>
          <cell r="DS261">
            <v>832</v>
          </cell>
          <cell r="DT261">
            <v>512</v>
          </cell>
          <cell r="DU261">
            <v>466</v>
          </cell>
          <cell r="DV261">
            <v>434</v>
          </cell>
          <cell r="DW261">
            <v>760</v>
          </cell>
          <cell r="DX261">
            <v>642</v>
          </cell>
          <cell r="DY261">
            <v>1768</v>
          </cell>
          <cell r="DZ261">
            <v>619</v>
          </cell>
          <cell r="EA261">
            <v>400</v>
          </cell>
          <cell r="EB261">
            <v>288</v>
          </cell>
          <cell r="EC261">
            <v>144</v>
          </cell>
          <cell r="ED261">
            <v>660</v>
          </cell>
          <cell r="EE261">
            <v>396.5</v>
          </cell>
          <cell r="EF261">
            <v>740</v>
          </cell>
          <cell r="EG261">
            <v>200</v>
          </cell>
          <cell r="EH261">
            <v>318</v>
          </cell>
          <cell r="EI261">
            <v>821.5</v>
          </cell>
          <cell r="EJ261" t="str">
            <v>ACTIVO</v>
          </cell>
          <cell r="EK261" t="str">
            <v/>
          </cell>
          <cell r="EL261" t="str">
            <v/>
          </cell>
          <cell r="EM261">
            <v>620.89583333333337</v>
          </cell>
          <cell r="EN261">
            <v>103.4826388888889</v>
          </cell>
          <cell r="EO261">
            <v>263.47680775697592</v>
          </cell>
          <cell r="EP261">
            <v>0</v>
          </cell>
          <cell r="EQ261">
            <v>0</v>
          </cell>
          <cell r="ER261">
            <v>0</v>
          </cell>
          <cell r="ES261">
            <v>0</v>
          </cell>
        </row>
        <row r="262">
          <cell r="F262">
            <v>107319</v>
          </cell>
          <cell r="G262" t="str">
            <v>FILLING DE GUINDA BALDE 4,5 Kg</v>
          </cell>
          <cell r="H262">
            <v>640</v>
          </cell>
          <cell r="I262">
            <v>409.5</v>
          </cell>
          <cell r="J262">
            <v>400.5</v>
          </cell>
          <cell r="K262">
            <v>481.5</v>
          </cell>
          <cell r="L262">
            <v>1035</v>
          </cell>
          <cell r="M262">
            <v>274.5</v>
          </cell>
          <cell r="N262">
            <v>369</v>
          </cell>
          <cell r="O262">
            <v>675</v>
          </cell>
          <cell r="P262">
            <v>441</v>
          </cell>
          <cell r="Q262">
            <v>1251</v>
          </cell>
          <cell r="R262">
            <v>589.5</v>
          </cell>
          <cell r="S262">
            <v>310.5</v>
          </cell>
          <cell r="T262">
            <v>144</v>
          </cell>
          <cell r="U262">
            <v>1368</v>
          </cell>
          <cell r="V262">
            <v>1152.5</v>
          </cell>
          <cell r="W262">
            <v>648</v>
          </cell>
          <cell r="X262">
            <v>841.5</v>
          </cell>
          <cell r="Y262">
            <v>378</v>
          </cell>
          <cell r="Z262">
            <v>369</v>
          </cell>
          <cell r="AA262">
            <v>549</v>
          </cell>
          <cell r="AB262">
            <v>657</v>
          </cell>
          <cell r="AC262">
            <v>574.76</v>
          </cell>
          <cell r="AD262">
            <v>634.5</v>
          </cell>
          <cell r="AE262">
            <v>792</v>
          </cell>
          <cell r="AF262">
            <v>652.5</v>
          </cell>
          <cell r="AG262">
            <v>603</v>
          </cell>
          <cell r="AH262">
            <v>567</v>
          </cell>
          <cell r="AI262">
            <v>576</v>
          </cell>
          <cell r="AJ262">
            <v>571.5</v>
          </cell>
          <cell r="AK262">
            <v>679.5</v>
          </cell>
          <cell r="AL262">
            <v>494</v>
          </cell>
          <cell r="AM262">
            <v>742.5</v>
          </cell>
          <cell r="AN262">
            <v>513</v>
          </cell>
          <cell r="AO262">
            <v>535.5</v>
          </cell>
          <cell r="AP262">
            <v>549</v>
          </cell>
          <cell r="AQ262">
            <v>607.5</v>
          </cell>
          <cell r="AR262">
            <v>562.5</v>
          </cell>
          <cell r="AS262">
            <v>598.5</v>
          </cell>
          <cell r="AT262">
            <v>454.5</v>
          </cell>
          <cell r="AU262">
            <v>629.5</v>
          </cell>
          <cell r="AV262">
            <v>486</v>
          </cell>
          <cell r="AW262">
            <v>396</v>
          </cell>
          <cell r="AX262">
            <v>531</v>
          </cell>
          <cell r="AY262">
            <v>603</v>
          </cell>
          <cell r="AZ262">
            <v>571.5</v>
          </cell>
          <cell r="BA262">
            <v>621</v>
          </cell>
          <cell r="BB262">
            <v>378</v>
          </cell>
          <cell r="BC262">
            <v>549</v>
          </cell>
          <cell r="BD262">
            <v>418.5</v>
          </cell>
          <cell r="BE262">
            <v>436.5</v>
          </cell>
          <cell r="BF262">
            <v>531</v>
          </cell>
          <cell r="BG262">
            <v>463.5</v>
          </cell>
          <cell r="BH262">
            <v>247.5</v>
          </cell>
          <cell r="BI262">
            <v>463.5</v>
          </cell>
          <cell r="BJ262">
            <v>459</v>
          </cell>
          <cell r="BK262">
            <v>441</v>
          </cell>
          <cell r="BL262">
            <v>549</v>
          </cell>
          <cell r="BM262">
            <v>432</v>
          </cell>
          <cell r="BN262">
            <v>405</v>
          </cell>
          <cell r="BO262">
            <v>900</v>
          </cell>
          <cell r="BP262">
            <v>490.5</v>
          </cell>
          <cell r="BQ262">
            <v>229.5</v>
          </cell>
          <cell r="BR262">
            <v>562.5</v>
          </cell>
          <cell r="BS262">
            <v>1192.5</v>
          </cell>
          <cell r="BT262">
            <v>459</v>
          </cell>
          <cell r="BU262">
            <v>454.5</v>
          </cell>
          <cell r="BV262">
            <v>792</v>
          </cell>
          <cell r="BW262">
            <v>427.5</v>
          </cell>
          <cell r="BX262">
            <v>918</v>
          </cell>
          <cell r="BY262">
            <v>954</v>
          </cell>
          <cell r="BZ262">
            <v>531</v>
          </cell>
          <cell r="CA262">
            <v>1017</v>
          </cell>
          <cell r="CB262"/>
          <cell r="CC262">
            <v>364.5</v>
          </cell>
          <cell r="CD262">
            <v>486</v>
          </cell>
          <cell r="CE262">
            <v>324</v>
          </cell>
          <cell r="CF262">
            <v>594</v>
          </cell>
          <cell r="CG262">
            <v>567</v>
          </cell>
          <cell r="CH262">
            <v>418.5</v>
          </cell>
          <cell r="CI262">
            <v>166.5</v>
          </cell>
          <cell r="CJ262">
            <v>814.5</v>
          </cell>
          <cell r="CK262">
            <v>589.5</v>
          </cell>
          <cell r="CL262">
            <v>1053</v>
          </cell>
          <cell r="CM262">
            <v>63</v>
          </cell>
          <cell r="CN262">
            <v>468</v>
          </cell>
          <cell r="CO262">
            <v>477</v>
          </cell>
          <cell r="CP262">
            <v>1228.5</v>
          </cell>
          <cell r="CQ262">
            <v>243</v>
          </cell>
          <cell r="CR262">
            <v>463.5</v>
          </cell>
          <cell r="CS262">
            <v>486</v>
          </cell>
          <cell r="CT262">
            <v>535.5</v>
          </cell>
          <cell r="CU262">
            <v>729</v>
          </cell>
          <cell r="CV262">
            <v>841.5</v>
          </cell>
          <cell r="CW262">
            <v>837</v>
          </cell>
          <cell r="CX262">
            <v>81</v>
          </cell>
          <cell r="CY262">
            <v>360</v>
          </cell>
          <cell r="CZ262">
            <v>1116</v>
          </cell>
          <cell r="DA262">
            <v>364.5</v>
          </cell>
          <cell r="DB262"/>
          <cell r="DC262">
            <v>517.5</v>
          </cell>
          <cell r="DD262">
            <v>360</v>
          </cell>
          <cell r="DE262">
            <v>252</v>
          </cell>
          <cell r="DF262">
            <v>432</v>
          </cell>
          <cell r="DG262">
            <v>144</v>
          </cell>
          <cell r="DH262">
            <v>234</v>
          </cell>
          <cell r="DI262">
            <v>117</v>
          </cell>
          <cell r="DJ262">
            <v>792</v>
          </cell>
          <cell r="DK262">
            <v>252</v>
          </cell>
          <cell r="DL262">
            <v>634.5</v>
          </cell>
          <cell r="DM262">
            <v>792</v>
          </cell>
          <cell r="DN262">
            <v>310.5</v>
          </cell>
          <cell r="DO262">
            <v>1120.5</v>
          </cell>
          <cell r="DP262">
            <v>720</v>
          </cell>
          <cell r="DQ262">
            <v>243</v>
          </cell>
          <cell r="DR262">
            <v>121.5</v>
          </cell>
          <cell r="DS262">
            <v>252</v>
          </cell>
          <cell r="DT262">
            <v>607.5</v>
          </cell>
          <cell r="DU262">
            <v>729</v>
          </cell>
          <cell r="DV262">
            <v>229.5</v>
          </cell>
          <cell r="DW262">
            <v>364.5</v>
          </cell>
          <cell r="DX262">
            <v>855</v>
          </cell>
          <cell r="DY262">
            <v>486</v>
          </cell>
          <cell r="DZ262">
            <v>1259</v>
          </cell>
          <cell r="EA262"/>
          <cell r="EB262">
            <v>508.5</v>
          </cell>
          <cell r="EC262">
            <v>418.5</v>
          </cell>
          <cell r="ED262">
            <v>598.5</v>
          </cell>
          <cell r="EE262">
            <v>819</v>
          </cell>
          <cell r="EF262">
            <v>697.5</v>
          </cell>
          <cell r="EG262">
            <v>427.5</v>
          </cell>
          <cell r="EH262">
            <v>490.5</v>
          </cell>
          <cell r="EI262">
            <v>234</v>
          </cell>
          <cell r="EJ262" t="str">
            <v>ACTIVO</v>
          </cell>
          <cell r="EK262" t="str">
            <v>A</v>
          </cell>
          <cell r="EL262">
            <v>540</v>
          </cell>
          <cell r="EM262">
            <v>556.45833333333337</v>
          </cell>
          <cell r="EN262">
            <v>92.743055555555557</v>
          </cell>
          <cell r="EO262">
            <v>283.18910123594713</v>
          </cell>
          <cell r="EP262">
            <v>1386</v>
          </cell>
          <cell r="EQ262">
            <v>6042655.0800000001</v>
          </cell>
          <cell r="ER262">
            <v>2.4907525271433917</v>
          </cell>
          <cell r="ES262">
            <v>185.48611111111111</v>
          </cell>
        </row>
        <row r="263">
          <cell r="F263">
            <v>107312</v>
          </cell>
          <cell r="G263" t="str">
            <v>CEREZAS AL JUGO CAMPOS</v>
          </cell>
          <cell r="H263">
            <v>37.4</v>
          </cell>
          <cell r="I263">
            <v>4.8</v>
          </cell>
          <cell r="J263">
            <v>4.8</v>
          </cell>
          <cell r="K263"/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>
            <v>31</v>
          </cell>
          <cell r="AP263">
            <v>54.199999999999996</v>
          </cell>
          <cell r="AQ263">
            <v>141.4</v>
          </cell>
          <cell r="AR263">
            <v>158.1</v>
          </cell>
          <cell r="AS263"/>
          <cell r="AT263">
            <v>130.89999999999998</v>
          </cell>
          <cell r="AU263">
            <v>139.29999999999998</v>
          </cell>
          <cell r="AV263">
            <v>139.39999999999998</v>
          </cell>
          <cell r="AW263">
            <v>162.79999999999998</v>
          </cell>
          <cell r="AX263">
            <v>173.4</v>
          </cell>
          <cell r="AY263">
            <v>170.70000000000002</v>
          </cell>
          <cell r="AZ263">
            <v>185.29999999999998</v>
          </cell>
          <cell r="BA263">
            <v>187</v>
          </cell>
          <cell r="BB263">
            <v>154.80000000000001</v>
          </cell>
          <cell r="BC263">
            <v>185.29999999999998</v>
          </cell>
          <cell r="BD263">
            <v>176.79999999999998</v>
          </cell>
          <cell r="BE263">
            <v>173.4</v>
          </cell>
          <cell r="BF263">
            <v>180.20000000000002</v>
          </cell>
          <cell r="BG263">
            <v>110.5</v>
          </cell>
          <cell r="BH263">
            <v>90.1</v>
          </cell>
          <cell r="BI263">
            <v>197.20000000000002</v>
          </cell>
          <cell r="BJ263">
            <v>107.10000000000001</v>
          </cell>
          <cell r="BK263">
            <v>232.42100000000002</v>
          </cell>
          <cell r="BL263">
            <v>195.5</v>
          </cell>
          <cell r="BM263">
            <v>179.5</v>
          </cell>
          <cell r="BN263">
            <v>195.5</v>
          </cell>
          <cell r="BO263">
            <v>200.6</v>
          </cell>
          <cell r="BP263">
            <v>207.4</v>
          </cell>
          <cell r="BQ263">
            <v>195.5</v>
          </cell>
          <cell r="BR263">
            <v>270.89999999999998</v>
          </cell>
          <cell r="BS263">
            <v>204.00000000000003</v>
          </cell>
          <cell r="BT263">
            <v>200.60000000000002</v>
          </cell>
          <cell r="BU263">
            <v>229.9</v>
          </cell>
          <cell r="BV263">
            <v>249.89999999999998</v>
          </cell>
          <cell r="BW263">
            <v>243.1</v>
          </cell>
          <cell r="BX263">
            <v>230.3</v>
          </cell>
          <cell r="BY263">
            <v>178.5</v>
          </cell>
          <cell r="BZ263">
            <v>6.8</v>
          </cell>
          <cell r="CA263">
            <v>13.6</v>
          </cell>
          <cell r="CB263">
            <v>9</v>
          </cell>
          <cell r="CC263">
            <v>39.1</v>
          </cell>
          <cell r="CD263">
            <v>32.300000000000004</v>
          </cell>
          <cell r="CE263">
            <v>39.099999999999994</v>
          </cell>
          <cell r="CF263">
            <v>27.199999999999996</v>
          </cell>
          <cell r="CG263">
            <v>27.199999999999996</v>
          </cell>
          <cell r="CH263">
            <v>62.900000000000006</v>
          </cell>
          <cell r="CI263">
            <v>183.6</v>
          </cell>
          <cell r="CJ263">
            <v>185.3</v>
          </cell>
          <cell r="CK263">
            <v>178.8</v>
          </cell>
          <cell r="CL263">
            <v>129.19999999999999</v>
          </cell>
          <cell r="CM263">
            <v>132.6</v>
          </cell>
          <cell r="CN263">
            <v>200.78</v>
          </cell>
          <cell r="CO263">
            <v>207.4</v>
          </cell>
          <cell r="CP263">
            <v>192.1</v>
          </cell>
          <cell r="CQ263">
            <v>176.79999999999998</v>
          </cell>
          <cell r="CR263">
            <v>212.49999999999997</v>
          </cell>
          <cell r="CS263">
            <v>41.2</v>
          </cell>
          <cell r="CT263">
            <v>195.49999999999997</v>
          </cell>
          <cell r="CU263">
            <v>210.8</v>
          </cell>
          <cell r="CV263">
            <v>231.2</v>
          </cell>
          <cell r="CW263">
            <v>183.6</v>
          </cell>
          <cell r="CX263">
            <v>168.3</v>
          </cell>
          <cell r="CY263">
            <v>181.9</v>
          </cell>
          <cell r="CZ263">
            <v>181.89999999999998</v>
          </cell>
          <cell r="DA263">
            <v>170</v>
          </cell>
          <cell r="DB263">
            <v>154.69999999999999</v>
          </cell>
          <cell r="DC263">
            <v>86.7</v>
          </cell>
          <cell r="DD263"/>
          <cell r="DE263"/>
          <cell r="DF263"/>
          <cell r="DG263"/>
          <cell r="DH263"/>
          <cell r="DI263"/>
          <cell r="DJ263"/>
          <cell r="DK263"/>
          <cell r="DL263"/>
          <cell r="DM263"/>
          <cell r="DN263"/>
          <cell r="DO263">
            <v>144.5</v>
          </cell>
          <cell r="DP263">
            <v>165.8</v>
          </cell>
          <cell r="DQ263">
            <v>130.9</v>
          </cell>
          <cell r="DR263">
            <v>177</v>
          </cell>
          <cell r="DS263">
            <v>181.9</v>
          </cell>
          <cell r="DT263">
            <v>178.50000000000003</v>
          </cell>
          <cell r="DU263">
            <v>202.3</v>
          </cell>
          <cell r="DV263">
            <v>225.1</v>
          </cell>
          <cell r="DW263">
            <v>158.70000000000002</v>
          </cell>
          <cell r="DX263">
            <v>193</v>
          </cell>
          <cell r="DY263">
            <v>215</v>
          </cell>
          <cell r="DZ263">
            <v>200.59999999999997</v>
          </cell>
          <cell r="EA263">
            <v>200.6</v>
          </cell>
          <cell r="EB263">
            <v>265.39999999999998</v>
          </cell>
          <cell r="EC263">
            <v>170.89999999999998</v>
          </cell>
          <cell r="ED263">
            <v>254.2</v>
          </cell>
          <cell r="EE263">
            <v>210.8</v>
          </cell>
          <cell r="EF263">
            <v>175.60000000000002</v>
          </cell>
          <cell r="EG263">
            <v>219.29999999999995</v>
          </cell>
          <cell r="EH263">
            <v>245.3</v>
          </cell>
          <cell r="EI263">
            <v>136.9</v>
          </cell>
          <cell r="EJ263" t="str">
            <v>ACTIVO</v>
          </cell>
          <cell r="EK263" t="str">
            <v>B</v>
          </cell>
          <cell r="EL263">
            <v>540</v>
          </cell>
          <cell r="EM263">
            <v>193.16315789473686</v>
          </cell>
          <cell r="EN263">
            <v>32.193859649122807</v>
          </cell>
          <cell r="EO263">
            <v>74.630441735156964</v>
          </cell>
          <cell r="EP263">
            <v>531.1</v>
          </cell>
          <cell r="EQ263">
            <v>3175978</v>
          </cell>
          <cell r="ER263">
            <v>2.7494891147380178</v>
          </cell>
          <cell r="ES263">
            <v>96.581578947368428</v>
          </cell>
        </row>
        <row r="264">
          <cell r="F264">
            <v>107000</v>
          </cell>
          <cell r="G264" t="str">
            <v>CEREZAS AL JUGO DESCAROZADAS FRUCOL</v>
          </cell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>
            <v>32</v>
          </cell>
          <cell r="AD264">
            <v>43.199999999999996</v>
          </cell>
          <cell r="AE264"/>
          <cell r="AF264">
            <v>22.4</v>
          </cell>
          <cell r="AG264"/>
          <cell r="AH264"/>
          <cell r="AI264"/>
          <cell r="AJ264"/>
          <cell r="AK264"/>
          <cell r="AL264">
            <v>209.59999999999997</v>
          </cell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>
            <v>17</v>
          </cell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K264"/>
          <cell r="DL264"/>
          <cell r="DM264"/>
          <cell r="DN264"/>
          <cell r="DO264"/>
          <cell r="DP264"/>
          <cell r="DQ264"/>
          <cell r="DR264"/>
          <cell r="DS264"/>
          <cell r="DT264"/>
          <cell r="DU264"/>
          <cell r="DV264"/>
          <cell r="DW264"/>
          <cell r="DX264"/>
          <cell r="DY264"/>
          <cell r="DZ264"/>
          <cell r="EA264"/>
          <cell r="EB264"/>
          <cell r="EC264"/>
          <cell r="ED264"/>
          <cell r="EE264"/>
          <cell r="EF264"/>
          <cell r="EG264"/>
          <cell r="EH264"/>
          <cell r="EI264"/>
          <cell r="EJ264" t="str">
            <v>SIN USO</v>
          </cell>
          <cell r="EK264" t="str">
            <v>C</v>
          </cell>
          <cell r="EL264" t="str">
            <v/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</row>
        <row r="265">
          <cell r="F265">
            <v>403336</v>
          </cell>
          <cell r="G265" t="str">
            <v>CEREZAS AL JUGO DESCAROZADAS TRES ERRES</v>
          </cell>
          <cell r="H265">
            <v>113.60000000000001</v>
          </cell>
          <cell r="I265">
            <v>272</v>
          </cell>
          <cell r="J265">
            <v>336</v>
          </cell>
          <cell r="K265">
            <v>217.6</v>
          </cell>
          <cell r="L265">
            <v>168.00000000000003</v>
          </cell>
          <cell r="M265">
            <v>100.79999999999998</v>
          </cell>
          <cell r="N265">
            <v>273.60000000000002</v>
          </cell>
          <cell r="O265">
            <v>419.19999999999993</v>
          </cell>
          <cell r="P265">
            <v>160</v>
          </cell>
          <cell r="Q265">
            <v>168</v>
          </cell>
          <cell r="R265">
            <v>160</v>
          </cell>
          <cell r="S265">
            <v>59.2</v>
          </cell>
          <cell r="T265">
            <v>227.20000000000002</v>
          </cell>
          <cell r="U265">
            <v>174.4</v>
          </cell>
          <cell r="V265">
            <v>144</v>
          </cell>
          <cell r="W265">
            <v>160.00000000000003</v>
          </cell>
          <cell r="X265">
            <v>195.2</v>
          </cell>
          <cell r="Y265">
            <v>88</v>
          </cell>
          <cell r="Z265">
            <v>9.6</v>
          </cell>
          <cell r="AA265">
            <v>75.2</v>
          </cell>
          <cell r="AB265">
            <v>48</v>
          </cell>
          <cell r="AC265">
            <v>14.4</v>
          </cell>
          <cell r="AD265">
            <v>3.2</v>
          </cell>
          <cell r="AE265">
            <v>25.6</v>
          </cell>
          <cell r="AF265">
            <v>32</v>
          </cell>
          <cell r="AG265">
            <v>54.4</v>
          </cell>
          <cell r="AH265">
            <v>64</v>
          </cell>
          <cell r="AI265">
            <v>64</v>
          </cell>
          <cell r="AJ265">
            <v>57.599999999999994</v>
          </cell>
          <cell r="AK265">
            <v>60.800000000000004</v>
          </cell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>
            <v>16</v>
          </cell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>
            <v>17</v>
          </cell>
          <cell r="CB265">
            <v>8</v>
          </cell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>
            <v>91.800000000000011</v>
          </cell>
          <cell r="DD265">
            <v>185.3</v>
          </cell>
          <cell r="DE265">
            <v>167.99999999999997</v>
          </cell>
          <cell r="DF265">
            <v>185.3</v>
          </cell>
          <cell r="DG265">
            <v>113.9</v>
          </cell>
          <cell r="DH265">
            <v>79.599999999999994</v>
          </cell>
          <cell r="DI265">
            <v>56.1</v>
          </cell>
          <cell r="DJ265">
            <v>203.10000000000002</v>
          </cell>
          <cell r="DK265">
            <v>344.6</v>
          </cell>
          <cell r="DL265">
            <v>212.00000000000003</v>
          </cell>
          <cell r="DM265">
            <v>184.70000000000002</v>
          </cell>
          <cell r="DN265">
            <v>203.39999999999998</v>
          </cell>
          <cell r="DO265">
            <v>89</v>
          </cell>
          <cell r="DP265"/>
          <cell r="DQ265">
            <v>62.9</v>
          </cell>
          <cell r="DR265">
            <v>6.4</v>
          </cell>
          <cell r="DS265"/>
          <cell r="DT265"/>
          <cell r="DU265"/>
          <cell r="DV265"/>
          <cell r="DW265">
            <v>38.5</v>
          </cell>
          <cell r="DX265">
            <v>32.700000000000003</v>
          </cell>
          <cell r="DY265">
            <v>2.8</v>
          </cell>
          <cell r="DZ265">
            <v>51.1</v>
          </cell>
          <cell r="EA265"/>
          <cell r="EB265"/>
          <cell r="EC265">
            <v>40.799999999999997</v>
          </cell>
          <cell r="ED265"/>
          <cell r="EE265"/>
          <cell r="EF265">
            <v>34</v>
          </cell>
          <cell r="EG265"/>
          <cell r="EH265"/>
          <cell r="EI265"/>
          <cell r="EJ265" t="str">
            <v>ACTIVO</v>
          </cell>
          <cell r="EK265" t="str">
            <v>C</v>
          </cell>
          <cell r="EL265" t="str">
            <v/>
          </cell>
          <cell r="EM265">
            <v>104.14000000000001</v>
          </cell>
          <cell r="EN265">
            <v>17.356666666666669</v>
          </cell>
          <cell r="EO265">
            <v>72.564540238328505</v>
          </cell>
          <cell r="EP265">
            <v>57.9</v>
          </cell>
          <cell r="EQ265">
            <v>292752.82199999999</v>
          </cell>
          <cell r="ER265">
            <v>0.55598233147685794</v>
          </cell>
          <cell r="ES265">
            <v>34.713333333333338</v>
          </cell>
        </row>
        <row r="266">
          <cell r="F266">
            <v>107102</v>
          </cell>
          <cell r="G266" t="str">
            <v>TRUFA CHOCOLATE PURATOS</v>
          </cell>
          <cell r="H266">
            <v>1420</v>
          </cell>
          <cell r="I266">
            <v>1492</v>
          </cell>
          <cell r="J266">
            <v>1284</v>
          </cell>
          <cell r="K266">
            <v>1400</v>
          </cell>
          <cell r="L266">
            <v>1428</v>
          </cell>
          <cell r="M266">
            <v>1892</v>
          </cell>
          <cell r="N266">
            <v>1015</v>
          </cell>
          <cell r="O266">
            <v>1212</v>
          </cell>
          <cell r="P266">
            <v>1156</v>
          </cell>
          <cell r="Q266">
            <v>1252</v>
          </cell>
          <cell r="R266">
            <v>2212</v>
          </cell>
          <cell r="S266">
            <v>1092</v>
          </cell>
          <cell r="T266">
            <v>264</v>
          </cell>
          <cell r="U266">
            <v>996</v>
          </cell>
          <cell r="V266">
            <v>1688</v>
          </cell>
          <cell r="W266">
            <v>3380</v>
          </cell>
          <cell r="X266">
            <v>1156</v>
          </cell>
          <cell r="Y266">
            <v>664</v>
          </cell>
          <cell r="Z266"/>
          <cell r="AA266">
            <v>800</v>
          </cell>
          <cell r="AB266">
            <v>1153.5</v>
          </cell>
          <cell r="AC266">
            <v>1041</v>
          </cell>
          <cell r="AD266">
            <v>1844</v>
          </cell>
          <cell r="AE266">
            <v>1440</v>
          </cell>
          <cell r="AF266">
            <v>928</v>
          </cell>
          <cell r="AG266">
            <v>1128</v>
          </cell>
          <cell r="AH266">
            <v>1152</v>
          </cell>
          <cell r="AI266">
            <v>1252</v>
          </cell>
          <cell r="AJ266">
            <v>1224</v>
          </cell>
          <cell r="AK266">
            <v>1180</v>
          </cell>
          <cell r="AL266">
            <v>1616</v>
          </cell>
          <cell r="AM266">
            <v>948</v>
          </cell>
          <cell r="AN266">
            <v>988</v>
          </cell>
          <cell r="AO266">
            <v>884</v>
          </cell>
          <cell r="AP266">
            <v>972</v>
          </cell>
          <cell r="AQ266">
            <v>984</v>
          </cell>
          <cell r="AR266">
            <v>1004</v>
          </cell>
          <cell r="AS266">
            <v>1232</v>
          </cell>
          <cell r="AT266">
            <v>1036</v>
          </cell>
          <cell r="AU266">
            <v>952</v>
          </cell>
          <cell r="AV266">
            <v>820</v>
          </cell>
          <cell r="AW266">
            <v>1796</v>
          </cell>
          <cell r="AX266">
            <v>2220</v>
          </cell>
          <cell r="AY266">
            <v>732</v>
          </cell>
          <cell r="AZ266">
            <v>708</v>
          </cell>
          <cell r="BA266">
            <v>448</v>
          </cell>
          <cell r="BB266">
            <v>684</v>
          </cell>
          <cell r="BC266">
            <v>596</v>
          </cell>
          <cell r="BD266"/>
          <cell r="BE266">
            <v>120</v>
          </cell>
          <cell r="BF266">
            <v>556</v>
          </cell>
          <cell r="BG266">
            <v>884</v>
          </cell>
          <cell r="BH266">
            <v>145.5</v>
          </cell>
          <cell r="BI266">
            <v>568</v>
          </cell>
          <cell r="BJ266">
            <v>544</v>
          </cell>
          <cell r="BK266">
            <v>1140</v>
          </cell>
          <cell r="BL266">
            <v>588</v>
          </cell>
          <cell r="BM266">
            <v>412</v>
          </cell>
          <cell r="BN266">
            <v>804</v>
          </cell>
          <cell r="BO266">
            <v>784</v>
          </cell>
          <cell r="BP266">
            <v>412</v>
          </cell>
          <cell r="BQ266">
            <v>1924</v>
          </cell>
          <cell r="BR266">
            <v>552</v>
          </cell>
          <cell r="BS266">
            <v>32</v>
          </cell>
          <cell r="BT266">
            <v>4</v>
          </cell>
          <cell r="BU266">
            <v>1480</v>
          </cell>
          <cell r="BV266">
            <v>124</v>
          </cell>
          <cell r="BW266">
            <v>1554</v>
          </cell>
          <cell r="BX266">
            <v>1068</v>
          </cell>
          <cell r="BY266">
            <v>932</v>
          </cell>
          <cell r="BZ266">
            <v>152</v>
          </cell>
          <cell r="CA266">
            <v>2048</v>
          </cell>
          <cell r="CB266"/>
          <cell r="CC266"/>
          <cell r="CD266"/>
          <cell r="CE266"/>
          <cell r="CF266">
            <v>1852</v>
          </cell>
          <cell r="CG266"/>
          <cell r="CH266">
            <v>2068</v>
          </cell>
          <cell r="CI266"/>
          <cell r="CJ266"/>
          <cell r="CK266">
            <v>620</v>
          </cell>
          <cell r="CL266"/>
          <cell r="CM266">
            <v>744</v>
          </cell>
          <cell r="CN266">
            <v>1556</v>
          </cell>
          <cell r="CO266">
            <v>424</v>
          </cell>
          <cell r="CP266">
            <v>992</v>
          </cell>
          <cell r="CQ266"/>
          <cell r="CR266">
            <v>372</v>
          </cell>
          <cell r="CS266">
            <v>492</v>
          </cell>
          <cell r="CT266">
            <v>392</v>
          </cell>
          <cell r="CU266">
            <v>1408</v>
          </cell>
          <cell r="CV266">
            <v>1276</v>
          </cell>
          <cell r="CW266">
            <v>620</v>
          </cell>
          <cell r="CX266"/>
          <cell r="CY266">
            <v>984</v>
          </cell>
          <cell r="CZ266"/>
          <cell r="DA266"/>
          <cell r="DB266">
            <v>1476</v>
          </cell>
          <cell r="DC266"/>
          <cell r="DD266"/>
          <cell r="DE266">
            <v>984</v>
          </cell>
          <cell r="DF266">
            <v>492</v>
          </cell>
          <cell r="DG266"/>
          <cell r="DH266"/>
          <cell r="DI266"/>
          <cell r="DJ266">
            <v>184</v>
          </cell>
          <cell r="DK266">
            <v>404</v>
          </cell>
          <cell r="DL266">
            <v>328</v>
          </cell>
          <cell r="DM266">
            <v>1552</v>
          </cell>
          <cell r="DN266">
            <v>372</v>
          </cell>
          <cell r="DO266">
            <v>1244</v>
          </cell>
          <cell r="DP266"/>
          <cell r="DQ266"/>
          <cell r="DR266">
            <v>1404</v>
          </cell>
          <cell r="DS266">
            <v>1008</v>
          </cell>
          <cell r="DT266"/>
          <cell r="DU266">
            <v>616</v>
          </cell>
          <cell r="DV266">
            <v>660</v>
          </cell>
          <cell r="DW266">
            <v>620</v>
          </cell>
          <cell r="DX266">
            <v>1292</v>
          </cell>
          <cell r="DY266">
            <v>1940</v>
          </cell>
          <cell r="DZ266"/>
          <cell r="EA266"/>
          <cell r="EB266">
            <v>732</v>
          </cell>
          <cell r="EC266">
            <v>1264</v>
          </cell>
          <cell r="ED266"/>
          <cell r="EE266">
            <v>668</v>
          </cell>
          <cell r="EF266">
            <v>1876</v>
          </cell>
          <cell r="EG266"/>
          <cell r="EH266">
            <v>732</v>
          </cell>
          <cell r="EI266">
            <v>836</v>
          </cell>
          <cell r="EJ266" t="str">
            <v>ACTIVO</v>
          </cell>
          <cell r="EK266" t="str">
            <v>A</v>
          </cell>
          <cell r="EL266">
            <v>480</v>
          </cell>
          <cell r="EM266">
            <v>950.82352941176475</v>
          </cell>
          <cell r="EN266">
            <v>158.47058823529412</v>
          </cell>
          <cell r="EO266">
            <v>580.87172440239351</v>
          </cell>
          <cell r="EP266">
            <v>1200</v>
          </cell>
          <cell r="EQ266">
            <v>3744000</v>
          </cell>
          <cell r="ER266">
            <v>1.2620638455827764</v>
          </cell>
          <cell r="ES266">
            <v>475.41176470588232</v>
          </cell>
        </row>
        <row r="267">
          <cell r="F267">
            <v>107124</v>
          </cell>
          <cell r="G267" t="str">
            <v>DURAZNO EN MITADES ALTO LA CRUZ</v>
          </cell>
          <cell r="H267">
            <v>228.60000000000002</v>
          </cell>
          <cell r="I267">
            <v>284.40000000000003</v>
          </cell>
          <cell r="J267">
            <v>307.79999999999995</v>
          </cell>
          <cell r="K267">
            <v>315.00000000000006</v>
          </cell>
          <cell r="L267">
            <v>298.8</v>
          </cell>
          <cell r="M267">
            <v>309.59999999999997</v>
          </cell>
          <cell r="N267">
            <v>306</v>
          </cell>
          <cell r="O267">
            <v>331.20000000000005</v>
          </cell>
          <cell r="P267">
            <v>368.99999999999994</v>
          </cell>
          <cell r="Q267">
            <v>318.59999999999997</v>
          </cell>
          <cell r="R267">
            <v>334.8</v>
          </cell>
          <cell r="S267">
            <v>140.4</v>
          </cell>
          <cell r="T267">
            <v>84.6</v>
          </cell>
          <cell r="U267">
            <v>345.79999999999995</v>
          </cell>
          <cell r="V267">
            <v>338.40000000000003</v>
          </cell>
          <cell r="W267">
            <v>367.2</v>
          </cell>
          <cell r="X267">
            <v>313.19999999999993</v>
          </cell>
          <cell r="Y267">
            <v>239.4</v>
          </cell>
          <cell r="Z267">
            <v>84.6</v>
          </cell>
          <cell r="AA267">
            <v>397.8</v>
          </cell>
          <cell r="AB267">
            <v>394.19999999999993</v>
          </cell>
          <cell r="AC267">
            <v>392.4</v>
          </cell>
          <cell r="AD267">
            <v>322.2</v>
          </cell>
          <cell r="AE267">
            <v>97.199999999999989</v>
          </cell>
          <cell r="AF267">
            <v>387</v>
          </cell>
          <cell r="AG267">
            <v>435.59999999999997</v>
          </cell>
          <cell r="AH267">
            <v>489.6</v>
          </cell>
          <cell r="AI267">
            <v>529.20000000000005</v>
          </cell>
          <cell r="AJ267">
            <v>419.4</v>
          </cell>
          <cell r="AK267">
            <v>441</v>
          </cell>
          <cell r="AL267">
            <v>411</v>
          </cell>
          <cell r="AM267">
            <v>394.2</v>
          </cell>
          <cell r="AN267">
            <v>392.40000000000003</v>
          </cell>
          <cell r="AO267">
            <v>333</v>
          </cell>
          <cell r="AP267">
            <v>424.79999999999995</v>
          </cell>
          <cell r="AQ267">
            <v>593.99999999999989</v>
          </cell>
          <cell r="AR267">
            <v>572.39999999999986</v>
          </cell>
          <cell r="AS267">
            <v>187.2</v>
          </cell>
          <cell r="AT267">
            <v>628.20000000000005</v>
          </cell>
          <cell r="AU267">
            <v>649.80000000000007</v>
          </cell>
          <cell r="AV267">
            <v>459</v>
          </cell>
          <cell r="AW267">
            <v>486</v>
          </cell>
          <cell r="AX267">
            <v>563.4</v>
          </cell>
          <cell r="AY267">
            <v>507.59999999999997</v>
          </cell>
          <cell r="AZ267">
            <v>577.80000000000007</v>
          </cell>
          <cell r="BA267">
            <v>675</v>
          </cell>
          <cell r="BB267">
            <v>610.19999999999993</v>
          </cell>
          <cell r="BC267">
            <v>606.59999999999991</v>
          </cell>
          <cell r="BD267">
            <v>549</v>
          </cell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>
            <v>540</v>
          </cell>
          <cell r="BP267"/>
          <cell r="BQ267"/>
          <cell r="BR267">
            <v>88.2</v>
          </cell>
          <cell r="BS267">
            <v>129.60000000000002</v>
          </cell>
          <cell r="BT267">
            <v>423</v>
          </cell>
          <cell r="BU267"/>
          <cell r="BV267"/>
          <cell r="BW267">
            <v>174.6</v>
          </cell>
          <cell r="BX267">
            <v>532.79999999999995</v>
          </cell>
          <cell r="BY267">
            <v>349.8</v>
          </cell>
          <cell r="BZ267">
            <v>25.5</v>
          </cell>
          <cell r="CA267">
            <v>286.2</v>
          </cell>
          <cell r="CB267">
            <v>334.79999999999995</v>
          </cell>
          <cell r="CC267">
            <v>379.8</v>
          </cell>
          <cell r="CD267">
            <v>300.91999999999996</v>
          </cell>
          <cell r="CE267">
            <v>452.8</v>
          </cell>
          <cell r="CF267">
            <v>221.4</v>
          </cell>
          <cell r="CG267">
            <v>295.20000000000005</v>
          </cell>
          <cell r="CH267">
            <v>329.4</v>
          </cell>
          <cell r="CI267">
            <v>675</v>
          </cell>
          <cell r="CJ267">
            <v>415.79999999999995</v>
          </cell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K267"/>
          <cell r="DL267"/>
          <cell r="DM267"/>
          <cell r="DN267"/>
          <cell r="DO267"/>
          <cell r="DP267"/>
          <cell r="DQ267"/>
          <cell r="DR267"/>
          <cell r="DS267"/>
          <cell r="DT267"/>
          <cell r="DU267"/>
          <cell r="DV267"/>
          <cell r="DW267"/>
          <cell r="DX267"/>
          <cell r="DY267"/>
          <cell r="DZ267"/>
          <cell r="EA267"/>
          <cell r="EB267"/>
          <cell r="EC267"/>
          <cell r="ED267"/>
          <cell r="EE267"/>
          <cell r="EF267"/>
          <cell r="EG267"/>
          <cell r="EH267"/>
          <cell r="EI267"/>
          <cell r="EJ267" t="str">
            <v>ACTIVO</v>
          </cell>
          <cell r="EK267" t="str">
            <v>C</v>
          </cell>
          <cell r="EL267">
            <v>540</v>
          </cell>
          <cell r="EM267">
            <v>0</v>
          </cell>
          <cell r="EN267">
            <v>0</v>
          </cell>
          <cell r="EO267">
            <v>166.18425185530029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</row>
        <row r="268">
          <cell r="F268">
            <v>107125</v>
          </cell>
          <cell r="G268" t="str">
            <v>DURAZNO EN CUBOS ALTO LA CRUZ</v>
          </cell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>
            <v>0</v>
          </cell>
          <cell r="DG268"/>
          <cell r="DH268"/>
          <cell r="DI268"/>
          <cell r="DJ268"/>
          <cell r="DK268"/>
          <cell r="DL268"/>
          <cell r="DM268"/>
          <cell r="DN268"/>
          <cell r="DO268"/>
          <cell r="DP268"/>
          <cell r="DQ268"/>
          <cell r="DR268"/>
          <cell r="DS268"/>
          <cell r="DT268"/>
          <cell r="DU268"/>
          <cell r="DV268"/>
          <cell r="DW268"/>
          <cell r="DX268">
            <v>36.799999999999997</v>
          </cell>
          <cell r="DY268"/>
          <cell r="DZ268"/>
          <cell r="EA268"/>
          <cell r="EB268"/>
          <cell r="EC268"/>
          <cell r="ED268"/>
          <cell r="EE268"/>
          <cell r="EF268">
            <v>1319.4</v>
          </cell>
          <cell r="EG268">
            <v>601.20000000000005</v>
          </cell>
          <cell r="EH268"/>
          <cell r="EI268">
            <v>401.4</v>
          </cell>
          <cell r="EJ268" t="str">
            <v>ACTIVO</v>
          </cell>
          <cell r="EK268" t="str">
            <v>C</v>
          </cell>
          <cell r="EL268" t="str">
            <v/>
          </cell>
          <cell r="EM268">
            <v>652.4666666666667</v>
          </cell>
          <cell r="EN268">
            <v>108.74444444444445</v>
          </cell>
          <cell r="EO268">
            <v>0</v>
          </cell>
          <cell r="EP268">
            <v>543.6</v>
          </cell>
          <cell r="EQ268">
            <v>1404118.8</v>
          </cell>
          <cell r="ER268">
            <v>0.83314601001328292</v>
          </cell>
          <cell r="ES268">
            <v>326.23333333333335</v>
          </cell>
        </row>
        <row r="269">
          <cell r="F269">
            <v>107401</v>
          </cell>
          <cell r="G269" t="str">
            <v>DURAZNO EN SLICE LAS PERDICES</v>
          </cell>
          <cell r="H269">
            <v>104.4</v>
          </cell>
          <cell r="I269"/>
          <cell r="J269"/>
          <cell r="K269"/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>
            <v>1004.4</v>
          </cell>
          <cell r="BF269">
            <v>577.79999999999995</v>
          </cell>
          <cell r="BG269">
            <v>414</v>
          </cell>
          <cell r="BH269">
            <v>293.39999999999998</v>
          </cell>
          <cell r="BI269">
            <v>1364.4</v>
          </cell>
          <cell r="BJ269">
            <v>369</v>
          </cell>
          <cell r="BK269">
            <v>621</v>
          </cell>
          <cell r="BL269">
            <v>536.4</v>
          </cell>
          <cell r="BM269">
            <v>176.39999999999998</v>
          </cell>
          <cell r="BN269">
            <v>565.20000000000005</v>
          </cell>
          <cell r="BO269">
            <v>509.40000000000003</v>
          </cell>
          <cell r="BP269">
            <v>635.4</v>
          </cell>
          <cell r="BQ269">
            <v>572.4</v>
          </cell>
          <cell r="BR269">
            <v>676.8</v>
          </cell>
          <cell r="BS269">
            <v>54.2</v>
          </cell>
          <cell r="BT269">
            <v>160.19999999999999</v>
          </cell>
          <cell r="BU269">
            <v>624.60000000000014</v>
          </cell>
          <cell r="BV269">
            <v>519.6</v>
          </cell>
          <cell r="BW269">
            <v>142.19999999999999</v>
          </cell>
          <cell r="BX269">
            <v>30.6</v>
          </cell>
          <cell r="BY269">
            <v>87.6</v>
          </cell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>
            <v>93.6</v>
          </cell>
          <cell r="CK269">
            <v>577.80000000000007</v>
          </cell>
          <cell r="CL269">
            <v>394.20000000000005</v>
          </cell>
          <cell r="CM269">
            <v>1501.2</v>
          </cell>
          <cell r="CN269">
            <v>617.4</v>
          </cell>
          <cell r="CO269">
            <v>693</v>
          </cell>
          <cell r="CP269">
            <v>604.80000000000007</v>
          </cell>
          <cell r="CQ269">
            <v>514.79999999999995</v>
          </cell>
          <cell r="CR269">
            <v>590.4</v>
          </cell>
          <cell r="CS269">
            <v>124.2</v>
          </cell>
          <cell r="CT269">
            <v>599.40000000000009</v>
          </cell>
          <cell r="CU269">
            <v>630</v>
          </cell>
          <cell r="CV269">
            <v>610.19999999999993</v>
          </cell>
          <cell r="CW269">
            <v>527.40000000000009</v>
          </cell>
          <cell r="CX269">
            <v>538.20000000000005</v>
          </cell>
          <cell r="CY269">
            <v>583.20000000000005</v>
          </cell>
          <cell r="CZ269">
            <v>549</v>
          </cell>
          <cell r="DA269">
            <v>532.79999999999995</v>
          </cell>
          <cell r="DB269">
            <v>451.8</v>
          </cell>
          <cell r="DC269">
            <v>505.8</v>
          </cell>
          <cell r="DD269">
            <v>523.79999999999995</v>
          </cell>
          <cell r="DE269">
            <v>444.6</v>
          </cell>
          <cell r="DF269">
            <v>567</v>
          </cell>
          <cell r="DG269">
            <v>399.59999999999997</v>
          </cell>
          <cell r="DH269">
            <v>266.39999999999998</v>
          </cell>
          <cell r="DI269">
            <v>165.60000000000002</v>
          </cell>
          <cell r="DJ269">
            <v>541.79999999999995</v>
          </cell>
          <cell r="DK269">
            <v>520.19999999999993</v>
          </cell>
          <cell r="DL269">
            <v>496.8</v>
          </cell>
          <cell r="DM269">
            <v>523.80000000000007</v>
          </cell>
          <cell r="DN269">
            <v>484.20000000000005</v>
          </cell>
          <cell r="DO269">
            <v>511.2</v>
          </cell>
          <cell r="DP269">
            <v>476.99999999999994</v>
          </cell>
          <cell r="DQ269">
            <v>534.6</v>
          </cell>
          <cell r="DR269">
            <v>538.19999999999993</v>
          </cell>
          <cell r="DS269">
            <v>576</v>
          </cell>
          <cell r="DT269">
            <v>540</v>
          </cell>
          <cell r="DU269">
            <v>653.40000000000009</v>
          </cell>
          <cell r="DV269">
            <v>640.80000000000007</v>
          </cell>
          <cell r="DW269">
            <v>624.6</v>
          </cell>
          <cell r="DX269">
            <v>615.6</v>
          </cell>
          <cell r="DY269">
            <v>601.20000000000005</v>
          </cell>
          <cell r="DZ269">
            <v>648</v>
          </cell>
          <cell r="EA269">
            <v>572.40000000000009</v>
          </cell>
          <cell r="EB269">
            <v>700.19999999999993</v>
          </cell>
          <cell r="EC269">
            <v>586.79999999999995</v>
          </cell>
          <cell r="ED269">
            <v>667.80000000000007</v>
          </cell>
          <cell r="EE269">
            <v>621</v>
          </cell>
          <cell r="EF269">
            <v>563.35</v>
          </cell>
          <cell r="EG269">
            <v>556.20000000000005</v>
          </cell>
          <cell r="EH269">
            <v>566.99999999999989</v>
          </cell>
          <cell r="EI269">
            <v>401.4</v>
          </cell>
          <cell r="EJ269" t="str">
            <v>ACTIVO</v>
          </cell>
          <cell r="EK269" t="str">
            <v>A</v>
          </cell>
          <cell r="EL269" t="str">
            <v/>
          </cell>
          <cell r="EM269">
            <v>558.42999999999995</v>
          </cell>
          <cell r="EN269">
            <v>93.071666666666658</v>
          </cell>
          <cell r="EO269">
            <v>282.76676065307367</v>
          </cell>
          <cell r="EP269">
            <v>599.4</v>
          </cell>
          <cell r="EQ269">
            <v>1454210.334</v>
          </cell>
          <cell r="ER269">
            <v>1.073366402234837</v>
          </cell>
          <cell r="ES269">
            <v>186.14333333333332</v>
          </cell>
        </row>
        <row r="270">
          <cell r="F270">
            <v>107240</v>
          </cell>
          <cell r="G270" t="str">
            <v>CRUSHED DE FRAMBUESA ALTO LA CRUZ</v>
          </cell>
          <cell r="H270">
            <v>18.600000000000001</v>
          </cell>
          <cell r="I270">
            <v>21.700000000000003</v>
          </cell>
          <cell r="J270">
            <v>21.700000000000003</v>
          </cell>
          <cell r="K270">
            <v>747.1</v>
          </cell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>
            <v>514.6</v>
          </cell>
          <cell r="AU270"/>
          <cell r="AV270"/>
          <cell r="AW270"/>
          <cell r="AX270"/>
          <cell r="AY270"/>
          <cell r="AZ270"/>
          <cell r="BA270"/>
          <cell r="BB270"/>
          <cell r="BC270">
            <v>489.8</v>
          </cell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K270"/>
          <cell r="DL270"/>
          <cell r="DM270"/>
          <cell r="DN270"/>
          <cell r="DO270"/>
          <cell r="DP270"/>
          <cell r="DQ270"/>
          <cell r="DR270"/>
          <cell r="DS270"/>
          <cell r="DT270"/>
          <cell r="DU270"/>
          <cell r="DV270"/>
          <cell r="DW270"/>
          <cell r="DX270"/>
          <cell r="DY270"/>
          <cell r="DZ270"/>
          <cell r="EA270"/>
          <cell r="EB270"/>
          <cell r="EC270"/>
          <cell r="ED270"/>
          <cell r="EE270"/>
          <cell r="EF270"/>
          <cell r="EG270"/>
          <cell r="EH270"/>
          <cell r="EI270"/>
          <cell r="EJ270" t="str">
            <v>SIN USO</v>
          </cell>
          <cell r="EK270" t="str">
            <v/>
          </cell>
          <cell r="EL270">
            <v>930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</row>
        <row r="271">
          <cell r="F271">
            <v>107324</v>
          </cell>
          <cell r="G271" t="str">
            <v>MARRASQUINO FRUCOL</v>
          </cell>
          <cell r="H271">
            <v>151.80000000000001</v>
          </cell>
          <cell r="I271">
            <v>140.80000000000001</v>
          </cell>
          <cell r="J271">
            <v>132</v>
          </cell>
          <cell r="K271">
            <v>195.8</v>
          </cell>
          <cell r="L271">
            <v>253.00000000000006</v>
          </cell>
          <cell r="M271">
            <v>116.60000000000001</v>
          </cell>
          <cell r="N271">
            <v>734.8</v>
          </cell>
          <cell r="O271">
            <v>114.4</v>
          </cell>
          <cell r="P271">
            <v>129.80000000000001</v>
          </cell>
          <cell r="Q271">
            <v>228.8</v>
          </cell>
          <cell r="R271">
            <v>216.6</v>
          </cell>
          <cell r="S271">
            <v>70.400000000000006</v>
          </cell>
          <cell r="T271">
            <v>74.800000000000011</v>
          </cell>
          <cell r="U271">
            <v>211.2</v>
          </cell>
          <cell r="V271">
            <v>299.19999999999987</v>
          </cell>
          <cell r="W271">
            <v>186.99999999999997</v>
          </cell>
          <cell r="X271">
            <v>165</v>
          </cell>
          <cell r="Y271">
            <v>127.6</v>
          </cell>
          <cell r="Z271">
            <v>193.60000000000002</v>
          </cell>
          <cell r="AA271">
            <v>129.80000000000001</v>
          </cell>
          <cell r="AB271">
            <v>283.8</v>
          </cell>
          <cell r="AC271">
            <v>189.2</v>
          </cell>
          <cell r="AD271">
            <v>277.2</v>
          </cell>
          <cell r="AE271">
            <v>272.79999999999995</v>
          </cell>
          <cell r="AF271">
            <v>231</v>
          </cell>
          <cell r="AG271">
            <v>283.8</v>
          </cell>
          <cell r="AH271">
            <v>180.39999999999998</v>
          </cell>
          <cell r="AI271">
            <v>222.20000000000002</v>
          </cell>
          <cell r="AJ271">
            <v>220.29999999999998</v>
          </cell>
          <cell r="AK271">
            <v>191.4</v>
          </cell>
          <cell r="AL271">
            <v>342</v>
          </cell>
          <cell r="AM271">
            <v>222.2</v>
          </cell>
          <cell r="AN271">
            <v>237.6</v>
          </cell>
          <cell r="AO271">
            <v>156.19999999999999</v>
          </cell>
          <cell r="AP271">
            <v>182.6</v>
          </cell>
          <cell r="AQ271">
            <v>195.8</v>
          </cell>
          <cell r="AR271">
            <v>254.19999999999996</v>
          </cell>
          <cell r="AS271">
            <v>228.8</v>
          </cell>
          <cell r="AT271">
            <v>178.00000000000003</v>
          </cell>
          <cell r="AU271">
            <v>171.8</v>
          </cell>
          <cell r="AV271">
            <v>344.4</v>
          </cell>
          <cell r="AW271">
            <v>158.4</v>
          </cell>
          <cell r="AX271">
            <v>147.4</v>
          </cell>
          <cell r="AY271">
            <v>125.00000000000001</v>
          </cell>
          <cell r="AZ271">
            <v>342</v>
          </cell>
          <cell r="BA271">
            <v>111.8</v>
          </cell>
          <cell r="BB271">
            <v>202.99999999999997</v>
          </cell>
          <cell r="BC271">
            <v>271.19999999999993</v>
          </cell>
          <cell r="BD271">
            <v>117.39999999999999</v>
          </cell>
          <cell r="BE271">
            <v>136.4</v>
          </cell>
          <cell r="BF271">
            <v>250.6</v>
          </cell>
          <cell r="BG271">
            <v>123</v>
          </cell>
          <cell r="BH271">
            <v>91</v>
          </cell>
          <cell r="BI271">
            <v>264.60000000000002</v>
          </cell>
          <cell r="BJ271">
            <v>140.79999999999998</v>
          </cell>
          <cell r="BK271">
            <v>256.99999999999994</v>
          </cell>
          <cell r="BL271">
            <v>263.2</v>
          </cell>
          <cell r="BM271">
            <v>147.19999999999999</v>
          </cell>
          <cell r="BN271">
            <v>207.99999999999997</v>
          </cell>
          <cell r="BO271">
            <v>232.40000000000009</v>
          </cell>
          <cell r="BP271">
            <v>188.59999999999997</v>
          </cell>
          <cell r="BQ271">
            <v>230.39999999999998</v>
          </cell>
          <cell r="BR271">
            <v>147.4</v>
          </cell>
          <cell r="BS271">
            <v>273.01999999999992</v>
          </cell>
          <cell r="BT271">
            <v>214.16</v>
          </cell>
          <cell r="BU271">
            <v>241.60000000000002</v>
          </cell>
          <cell r="BV271">
            <v>183.6</v>
          </cell>
          <cell r="BW271">
            <v>138.4</v>
          </cell>
          <cell r="BX271">
            <v>157.6</v>
          </cell>
          <cell r="BY271">
            <v>181.79999999999998</v>
          </cell>
          <cell r="BZ271">
            <v>110.318</v>
          </cell>
          <cell r="CA271">
            <v>284.8</v>
          </cell>
          <cell r="CB271">
            <v>122.8</v>
          </cell>
          <cell r="CC271">
            <v>168.6</v>
          </cell>
          <cell r="CD271">
            <v>214.39999999999998</v>
          </cell>
          <cell r="CE271">
            <v>110.60000000000001</v>
          </cell>
          <cell r="CF271">
            <v>188.19999999999996</v>
          </cell>
          <cell r="CG271">
            <v>316.39999999999998</v>
          </cell>
          <cell r="CH271">
            <v>143.6</v>
          </cell>
          <cell r="CI271">
            <v>66.600000000000009</v>
          </cell>
          <cell r="CJ271">
            <v>357.99999999999989</v>
          </cell>
          <cell r="CK271">
            <v>249.2</v>
          </cell>
          <cell r="CL271">
            <v>333.8</v>
          </cell>
          <cell r="CM271">
            <v>182.2</v>
          </cell>
          <cell r="CN271">
            <v>268.79999999999995</v>
          </cell>
          <cell r="CO271">
            <v>202.40000000000003</v>
          </cell>
          <cell r="CP271">
            <v>305.00000000000011</v>
          </cell>
          <cell r="CQ271">
            <v>262.59999999999997</v>
          </cell>
          <cell r="CR271">
            <v>126.99999999999999</v>
          </cell>
          <cell r="CS271">
            <v>102.6</v>
          </cell>
          <cell r="CT271">
            <v>143.70000000000002</v>
          </cell>
          <cell r="CU271">
            <v>250.19999999999996</v>
          </cell>
          <cell r="CV271">
            <v>232.79999999999998</v>
          </cell>
          <cell r="CW271">
            <v>255.4</v>
          </cell>
          <cell r="CX271">
            <v>266.40000000000003</v>
          </cell>
          <cell r="CY271">
            <v>91.4</v>
          </cell>
          <cell r="CZ271">
            <v>307.20000000000005</v>
          </cell>
          <cell r="DA271">
            <v>123.39999999999998</v>
          </cell>
          <cell r="DB271">
            <v>226.29999999999995</v>
          </cell>
          <cell r="DC271">
            <v>141.79999999999998</v>
          </cell>
          <cell r="DD271">
            <v>169.59999999999997</v>
          </cell>
          <cell r="DE271">
            <v>164.79999999999998</v>
          </cell>
          <cell r="DF271">
            <v>112.00000000000003</v>
          </cell>
          <cell r="DG271">
            <v>129.20000000000002</v>
          </cell>
          <cell r="DH271">
            <v>39.4</v>
          </cell>
          <cell r="DI271">
            <v>32.6</v>
          </cell>
          <cell r="DJ271">
            <v>174.2</v>
          </cell>
          <cell r="DK271">
            <v>158.19999999999999</v>
          </cell>
          <cell r="DL271">
            <v>225.79999999999993</v>
          </cell>
          <cell r="DM271">
            <v>244.39999999999998</v>
          </cell>
          <cell r="DN271">
            <v>202.59999999999997</v>
          </cell>
          <cell r="DO271">
            <v>242.99999999999997</v>
          </cell>
          <cell r="DP271">
            <v>203.4</v>
          </cell>
          <cell r="DQ271">
            <v>179.59999999999997</v>
          </cell>
          <cell r="DR271">
            <v>130.6</v>
          </cell>
          <cell r="DS271">
            <v>18.600000000000001</v>
          </cell>
          <cell r="DT271"/>
          <cell r="DU271"/>
          <cell r="DV271">
            <v>14.600000000000001</v>
          </cell>
          <cell r="DW271">
            <v>180.99999999999997</v>
          </cell>
          <cell r="DX271">
            <v>166.59999999999991</v>
          </cell>
          <cell r="DY271">
            <v>218.39999999999995</v>
          </cell>
          <cell r="DZ271">
            <v>292.7999999999999</v>
          </cell>
          <cell r="EA271">
            <v>28.599999999999998</v>
          </cell>
          <cell r="EB271">
            <v>229.20000000000002</v>
          </cell>
          <cell r="EC271">
            <v>170.2</v>
          </cell>
          <cell r="ED271">
            <v>148.91199999999998</v>
          </cell>
          <cell r="EE271"/>
          <cell r="EF271">
            <v>87.600000000000009</v>
          </cell>
          <cell r="EG271">
            <v>207.79999999999998</v>
          </cell>
          <cell r="EH271">
            <v>195.79999999999995</v>
          </cell>
          <cell r="EI271">
            <v>167.2</v>
          </cell>
          <cell r="EJ271" t="str">
            <v>ACTIVO</v>
          </cell>
          <cell r="EK271" t="str">
            <v>B</v>
          </cell>
          <cell r="EL271">
            <v>660</v>
          </cell>
          <cell r="EM271">
            <v>161.75963636363633</v>
          </cell>
          <cell r="EN271">
            <v>26.95993939393939</v>
          </cell>
          <cell r="EO271">
            <v>73.375067733290976</v>
          </cell>
          <cell r="EP271">
            <v>402.51400000000001</v>
          </cell>
          <cell r="EQ271">
            <v>2084076.6121</v>
          </cell>
          <cell r="ER271">
            <v>2.4883463455317547</v>
          </cell>
          <cell r="ES271">
            <v>134.79969696969695</v>
          </cell>
        </row>
        <row r="272">
          <cell r="F272">
            <v>107001</v>
          </cell>
          <cell r="G272" t="str">
            <v>MARRASQUINO ALTO LA CRUZ</v>
          </cell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>
            <v>34.799999999999997</v>
          </cell>
          <cell r="BY272">
            <v>37.6</v>
          </cell>
          <cell r="BZ272">
            <v>40.682000000000002</v>
          </cell>
          <cell r="CA272"/>
          <cell r="CB272">
            <v>1.8</v>
          </cell>
          <cell r="CC272">
            <v>10.8</v>
          </cell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K272"/>
          <cell r="DL272"/>
          <cell r="DM272"/>
          <cell r="DN272"/>
          <cell r="DO272"/>
          <cell r="DP272"/>
          <cell r="DQ272"/>
          <cell r="DR272"/>
          <cell r="DS272">
            <v>92.399999999999991</v>
          </cell>
          <cell r="DT272">
            <v>305.79999999999995</v>
          </cell>
          <cell r="DU272">
            <v>296.59999999999997</v>
          </cell>
          <cell r="DV272">
            <v>139.19999999999996</v>
          </cell>
          <cell r="DW272">
            <v>10.8</v>
          </cell>
          <cell r="DX272"/>
          <cell r="DY272"/>
          <cell r="DZ272"/>
          <cell r="EA272"/>
          <cell r="EB272"/>
          <cell r="EC272"/>
          <cell r="ED272">
            <v>66.924000000000007</v>
          </cell>
          <cell r="EE272">
            <v>235</v>
          </cell>
          <cell r="EF272">
            <v>184.79999999999995</v>
          </cell>
          <cell r="EG272"/>
          <cell r="EH272"/>
          <cell r="EI272"/>
          <cell r="EJ272" t="str">
            <v>ACTIVO</v>
          </cell>
          <cell r="EK272" t="str">
            <v>C</v>
          </cell>
          <cell r="EL272" t="str">
            <v/>
          </cell>
          <cell r="EM272">
            <v>166.44049999999996</v>
          </cell>
          <cell r="EN272">
            <v>27.740083333333327</v>
          </cell>
          <cell r="EO272">
            <v>17.610452146381714</v>
          </cell>
          <cell r="EP272">
            <v>342.88600000000002</v>
          </cell>
          <cell r="EQ272">
            <v>1921385.703</v>
          </cell>
          <cell r="ER272">
            <v>2.0601115714023939</v>
          </cell>
          <cell r="ES272">
            <v>55.480166666666655</v>
          </cell>
        </row>
        <row r="273">
          <cell r="F273">
            <v>107282</v>
          </cell>
          <cell r="G273" t="str">
            <v>PIÑA EN CUBOS</v>
          </cell>
          <cell r="H273">
            <v>399.28</v>
          </cell>
          <cell r="I273">
            <v>1131.6000000000001</v>
          </cell>
          <cell r="J273">
            <v>2498.7200000000007</v>
          </cell>
          <cell r="K273">
            <v>2941.7600000000007</v>
          </cell>
          <cell r="L273">
            <v>1963.2799999999997</v>
          </cell>
          <cell r="M273">
            <v>899.75999999999988</v>
          </cell>
          <cell r="N273">
            <v>1681.7600000000002</v>
          </cell>
          <cell r="O273">
            <v>1760.8800000000006</v>
          </cell>
          <cell r="P273">
            <v>1346.88</v>
          </cell>
          <cell r="Q273">
            <v>1155.52</v>
          </cell>
          <cell r="R273">
            <v>1667.04</v>
          </cell>
          <cell r="S273">
            <v>660.56000000000006</v>
          </cell>
          <cell r="T273">
            <v>664.2399999999999</v>
          </cell>
          <cell r="U273">
            <v>2318.4</v>
          </cell>
          <cell r="V273">
            <v>894.24000000000012</v>
          </cell>
          <cell r="W273">
            <v>1418.64</v>
          </cell>
          <cell r="X273">
            <v>1597.12</v>
          </cell>
          <cell r="Y273">
            <v>1700.16</v>
          </cell>
          <cell r="Z273">
            <v>1157.3599999999999</v>
          </cell>
          <cell r="AA273">
            <v>1948.96</v>
          </cell>
          <cell r="AB273">
            <v>1889.6800000000003</v>
          </cell>
          <cell r="AC273">
            <v>1801.36</v>
          </cell>
          <cell r="AD273">
            <v>1385.52</v>
          </cell>
          <cell r="AE273">
            <v>1391.0399999999997</v>
          </cell>
          <cell r="AF273">
            <v>1267.76</v>
          </cell>
          <cell r="AG273">
            <v>1514.3199999999997</v>
          </cell>
          <cell r="AH273">
            <v>1674.4000000000003</v>
          </cell>
          <cell r="AI273">
            <v>1124.24</v>
          </cell>
          <cell r="AJ273">
            <v>1672.56</v>
          </cell>
          <cell r="AK273">
            <v>2084.7200000000003</v>
          </cell>
          <cell r="AL273">
            <v>1979.8600000000001</v>
          </cell>
          <cell r="AM273">
            <v>815.12</v>
          </cell>
          <cell r="AN273">
            <v>1512.48</v>
          </cell>
          <cell r="AO273">
            <v>1330.32</v>
          </cell>
          <cell r="AP273">
            <v>1181.2000000000003</v>
          </cell>
          <cell r="AQ273">
            <v>1793.6</v>
          </cell>
          <cell r="AR273">
            <v>1197.8399999999999</v>
          </cell>
          <cell r="AS273">
            <v>412.16</v>
          </cell>
          <cell r="AT273">
            <v>1407.6</v>
          </cell>
          <cell r="AU273">
            <v>1992.7199999999996</v>
          </cell>
          <cell r="AV273">
            <v>2277.9200000000005</v>
          </cell>
          <cell r="AW273">
            <v>307.27999999999997</v>
          </cell>
          <cell r="AX273">
            <v>629.28</v>
          </cell>
          <cell r="AY273">
            <v>2645.7599999999998</v>
          </cell>
          <cell r="AZ273">
            <v>414</v>
          </cell>
          <cell r="BA273">
            <v>923.68000000000006</v>
          </cell>
          <cell r="BB273">
            <v>1992.6800000000003</v>
          </cell>
          <cell r="BC273">
            <v>754.92000000000007</v>
          </cell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K273"/>
          <cell r="DL273"/>
          <cell r="DM273"/>
          <cell r="DN273"/>
          <cell r="DO273"/>
          <cell r="DP273"/>
          <cell r="DQ273"/>
          <cell r="DR273"/>
          <cell r="DS273"/>
          <cell r="DT273"/>
          <cell r="DU273"/>
          <cell r="DV273"/>
          <cell r="DW273"/>
          <cell r="DX273"/>
          <cell r="DY273"/>
          <cell r="DZ273"/>
          <cell r="EA273"/>
          <cell r="EB273"/>
          <cell r="EC273"/>
          <cell r="ED273"/>
          <cell r="EE273"/>
          <cell r="EF273"/>
          <cell r="EG273"/>
          <cell r="EH273"/>
          <cell r="EI273"/>
          <cell r="EJ273" t="str">
            <v>SIN USO</v>
          </cell>
          <cell r="EK273" t="str">
            <v/>
          </cell>
          <cell r="EL273">
            <v>552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0</v>
          </cell>
          <cell r="ER273">
            <v>0</v>
          </cell>
          <cell r="ES273">
            <v>0</v>
          </cell>
        </row>
        <row r="274">
          <cell r="F274">
            <v>107123</v>
          </cell>
          <cell r="G274" t="str">
            <v>PIÑA EN CUBOS ALTO LA CRUZ</v>
          </cell>
          <cell r="H274">
            <v>130.63999999999999</v>
          </cell>
          <cell r="I274"/>
          <cell r="J274"/>
          <cell r="K274"/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>
            <v>31.28</v>
          </cell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>
            <v>754.33999999999992</v>
          </cell>
          <cell r="BH274">
            <v>298.08000000000004</v>
          </cell>
          <cell r="BI274">
            <v>1470.1399999999999</v>
          </cell>
          <cell r="BJ274">
            <v>441.6</v>
          </cell>
          <cell r="BK274">
            <v>2352.96</v>
          </cell>
          <cell r="BL274">
            <v>618.24</v>
          </cell>
          <cell r="BM274">
            <v>516.80000000000007</v>
          </cell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>
            <v>570.4</v>
          </cell>
          <cell r="CC274">
            <v>53.36</v>
          </cell>
          <cell r="CD274">
            <v>404.76</v>
          </cell>
          <cell r="CE274">
            <v>978.92</v>
          </cell>
          <cell r="CF274"/>
          <cell r="CG274">
            <v>379.04</v>
          </cell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>
            <v>220.8</v>
          </cell>
          <cell r="CV274">
            <v>1275.1200000000001</v>
          </cell>
          <cell r="CW274">
            <v>513.3599999999999</v>
          </cell>
          <cell r="CX274">
            <v>1214.3999999999999</v>
          </cell>
          <cell r="CY274">
            <v>1280.6400000000001</v>
          </cell>
          <cell r="CZ274">
            <v>500.48</v>
          </cell>
          <cell r="DA274">
            <v>497.4</v>
          </cell>
          <cell r="DB274">
            <v>463.68000000000006</v>
          </cell>
          <cell r="DC274">
            <v>124.52000000000001</v>
          </cell>
          <cell r="DD274"/>
          <cell r="DE274"/>
          <cell r="DF274"/>
          <cell r="DG274"/>
          <cell r="DH274"/>
          <cell r="DI274"/>
          <cell r="DJ274"/>
          <cell r="DK274"/>
          <cell r="DL274"/>
          <cell r="DM274"/>
          <cell r="DN274"/>
          <cell r="DO274"/>
          <cell r="DP274"/>
          <cell r="DQ274"/>
          <cell r="DR274"/>
          <cell r="DS274"/>
          <cell r="DT274"/>
          <cell r="DU274"/>
          <cell r="DV274"/>
          <cell r="DW274"/>
          <cell r="DX274"/>
          <cell r="DY274"/>
          <cell r="DZ274"/>
          <cell r="EA274"/>
          <cell r="EB274"/>
          <cell r="EC274"/>
          <cell r="ED274"/>
          <cell r="EE274"/>
          <cell r="EF274"/>
          <cell r="EG274"/>
          <cell r="EH274"/>
          <cell r="EI274"/>
          <cell r="EJ274" t="str">
            <v>ACTIVO</v>
          </cell>
          <cell r="EK274" t="str">
            <v>B</v>
          </cell>
          <cell r="EL274" t="str">
            <v/>
          </cell>
          <cell r="EM274">
            <v>0</v>
          </cell>
          <cell r="EN274">
            <v>0</v>
          </cell>
          <cell r="EO274">
            <v>560.08462860065788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</row>
        <row r="275">
          <cell r="F275">
            <v>107329</v>
          </cell>
          <cell r="G275" t="str">
            <v>PIÑA EN CUBOS</v>
          </cell>
          <cell r="H275"/>
          <cell r="I275"/>
          <cell r="J275"/>
          <cell r="K275"/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>
            <v>84.64</v>
          </cell>
          <cell r="AX275"/>
          <cell r="AY275"/>
          <cell r="AZ275"/>
          <cell r="BA275"/>
          <cell r="BB275">
            <v>3.68</v>
          </cell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K275"/>
          <cell r="DL275"/>
          <cell r="DM275"/>
          <cell r="DN275"/>
          <cell r="DO275"/>
          <cell r="DP275"/>
          <cell r="DQ275"/>
          <cell r="DR275"/>
          <cell r="DS275"/>
          <cell r="DT275"/>
          <cell r="DU275"/>
          <cell r="DV275"/>
          <cell r="DW275"/>
          <cell r="DX275"/>
          <cell r="DY275"/>
          <cell r="DZ275"/>
          <cell r="EA275"/>
          <cell r="EB275"/>
          <cell r="EC275"/>
          <cell r="ED275"/>
          <cell r="EE275"/>
          <cell r="EF275"/>
          <cell r="EG275"/>
          <cell r="EH275"/>
          <cell r="EI275"/>
          <cell r="EJ275" t="str">
            <v>SIN USO</v>
          </cell>
          <cell r="EK275" t="str">
            <v/>
          </cell>
          <cell r="EL275">
            <v>540.96</v>
          </cell>
          <cell r="EM275">
            <v>0</v>
          </cell>
          <cell r="EN275">
            <v>0</v>
          </cell>
          <cell r="EO275">
            <v>0</v>
          </cell>
          <cell r="EP275">
            <v>0</v>
          </cell>
          <cell r="EQ275">
            <v>0</v>
          </cell>
          <cell r="ER275">
            <v>0</v>
          </cell>
          <cell r="ES275">
            <v>0</v>
          </cell>
        </row>
        <row r="276">
          <cell r="F276">
            <v>107346</v>
          </cell>
          <cell r="G276" t="str">
            <v>PIÑA EN CUBOS LAS PERDICES</v>
          </cell>
          <cell r="H276"/>
          <cell r="I276"/>
          <cell r="J276"/>
          <cell r="K276"/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>
            <v>342.24</v>
          </cell>
          <cell r="BB276"/>
          <cell r="BC276">
            <v>1178.92</v>
          </cell>
          <cell r="BD276">
            <v>1624.64</v>
          </cell>
          <cell r="BE276">
            <v>978.88</v>
          </cell>
          <cell r="BF276">
            <v>1166.5200000000002</v>
          </cell>
          <cell r="BG276">
            <v>1713.6200000000001</v>
          </cell>
          <cell r="BH276"/>
          <cell r="BI276"/>
          <cell r="BJ276"/>
          <cell r="BK276"/>
          <cell r="BL276"/>
          <cell r="BM276">
            <v>0.24</v>
          </cell>
          <cell r="BN276">
            <v>1871.2800000000002</v>
          </cell>
          <cell r="BO276">
            <v>245.65000000000003</v>
          </cell>
          <cell r="BP276">
            <v>962.31999999999994</v>
          </cell>
          <cell r="BQ276">
            <v>2472.96</v>
          </cell>
          <cell r="BR276">
            <v>1372.6399999999999</v>
          </cell>
          <cell r="BS276">
            <v>502.32000000000005</v>
          </cell>
          <cell r="BT276">
            <v>2460.08</v>
          </cell>
          <cell r="BU276">
            <v>1065.3599999999999</v>
          </cell>
          <cell r="BV276">
            <v>110.4</v>
          </cell>
          <cell r="BW276"/>
          <cell r="BX276"/>
          <cell r="BY276">
            <v>1547.44</v>
          </cell>
          <cell r="BZ276">
            <v>1236.48</v>
          </cell>
          <cell r="CA276">
            <v>1869.44</v>
          </cell>
          <cell r="CB276">
            <v>1705.6799999999996</v>
          </cell>
          <cell r="CC276">
            <v>1102.1200000000001</v>
          </cell>
          <cell r="CD276">
            <v>57.080000000000005</v>
          </cell>
          <cell r="CE276">
            <v>666.04000000000008</v>
          </cell>
          <cell r="CF276">
            <v>505.99999999999994</v>
          </cell>
          <cell r="CG276">
            <v>3179.52</v>
          </cell>
          <cell r="CH276">
            <v>579.6</v>
          </cell>
          <cell r="CI276">
            <v>618.24</v>
          </cell>
          <cell r="CJ276">
            <v>577.76</v>
          </cell>
          <cell r="CK276">
            <v>2719.9</v>
          </cell>
          <cell r="CL276">
            <v>574.07999999999993</v>
          </cell>
          <cell r="CM276">
            <v>2612.8000000000006</v>
          </cell>
          <cell r="CN276">
            <v>1247.5200000000004</v>
          </cell>
          <cell r="CO276">
            <v>566.72</v>
          </cell>
          <cell r="CP276">
            <v>572.24</v>
          </cell>
          <cell r="CQ276">
            <v>1633.4200000000005</v>
          </cell>
          <cell r="CR276">
            <v>2147.73</v>
          </cell>
          <cell r="CS276">
            <v>235.52</v>
          </cell>
          <cell r="CT276">
            <v>1913.5999999999995</v>
          </cell>
          <cell r="CU276">
            <v>439.76</v>
          </cell>
          <cell r="CV276"/>
          <cell r="CW276"/>
          <cell r="CX276"/>
          <cell r="CY276"/>
          <cell r="CZ276"/>
          <cell r="DA276"/>
          <cell r="DB276"/>
          <cell r="DC276">
            <v>1943.6399999999999</v>
          </cell>
          <cell r="DD276">
            <v>842.72</v>
          </cell>
          <cell r="DE276">
            <v>1494.08</v>
          </cell>
          <cell r="DF276">
            <v>719.43999999999994</v>
          </cell>
          <cell r="DG276">
            <v>931.04</v>
          </cell>
          <cell r="DH276">
            <v>1302.72</v>
          </cell>
          <cell r="DI276">
            <v>833.5200000000001</v>
          </cell>
          <cell r="DJ276">
            <v>537.28000000000009</v>
          </cell>
          <cell r="DK276">
            <v>2436.12</v>
          </cell>
          <cell r="DL276">
            <v>1098.44</v>
          </cell>
          <cell r="DM276">
            <v>1718.5600000000002</v>
          </cell>
          <cell r="DN276">
            <v>2130.7200000000003</v>
          </cell>
          <cell r="DO276">
            <v>1192.32</v>
          </cell>
          <cell r="DP276">
            <v>1072.7199999999998</v>
          </cell>
          <cell r="DQ276">
            <v>1078.2400000000002</v>
          </cell>
          <cell r="DR276">
            <v>1045.1200000000001</v>
          </cell>
          <cell r="DS276">
            <v>1690.9599999999998</v>
          </cell>
          <cell r="DT276">
            <v>450.8</v>
          </cell>
          <cell r="DU276">
            <v>513.36</v>
          </cell>
          <cell r="DV276">
            <v>1718.56</v>
          </cell>
          <cell r="DW276">
            <v>1519.8400000000001</v>
          </cell>
          <cell r="DX276">
            <v>2012.96</v>
          </cell>
          <cell r="DY276">
            <v>1638.48</v>
          </cell>
          <cell r="DZ276">
            <v>1227.2800000000002</v>
          </cell>
          <cell r="EA276">
            <v>2235.6000000000004</v>
          </cell>
          <cell r="EB276">
            <v>507.84000000000003</v>
          </cell>
          <cell r="EC276">
            <v>1065.3800000000001</v>
          </cell>
          <cell r="ED276">
            <v>1380</v>
          </cell>
          <cell r="EE276">
            <v>2112.3200000000002</v>
          </cell>
          <cell r="EF276">
            <v>1048.8</v>
          </cell>
          <cell r="EG276">
            <v>1644.9600000000003</v>
          </cell>
          <cell r="EH276">
            <v>1190.4800000000002</v>
          </cell>
          <cell r="EI276">
            <v>877.7</v>
          </cell>
          <cell r="EJ276" t="str">
            <v>ACTIVO</v>
          </cell>
          <cell r="EK276" t="str">
            <v>A</v>
          </cell>
          <cell r="EL276">
            <v>540.96</v>
          </cell>
          <cell r="EM276">
            <v>1356.4072000000001</v>
          </cell>
          <cell r="EN276">
            <v>226.06786666666667</v>
          </cell>
          <cell r="EO276">
            <v>817.62973182715484</v>
          </cell>
          <cell r="EP276">
            <v>1201.5</v>
          </cell>
          <cell r="EQ276">
            <v>3658855.86</v>
          </cell>
          <cell r="ER276">
            <v>0.8857959468218688</v>
          </cell>
          <cell r="ES276">
            <v>452.13573333333335</v>
          </cell>
        </row>
        <row r="277">
          <cell r="F277">
            <v>107348</v>
          </cell>
          <cell r="G277" t="str">
            <v>PIÑA EN RODAJA LAS PERDICES</v>
          </cell>
          <cell r="H277">
            <v>100.24000000000001</v>
          </cell>
          <cell r="I277"/>
          <cell r="J277"/>
          <cell r="K277"/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>
            <v>400.91999999999996</v>
          </cell>
          <cell r="AS277">
            <v>213.01</v>
          </cell>
          <cell r="AT277">
            <v>676.40000000000009</v>
          </cell>
          <cell r="AU277">
            <v>1228.67</v>
          </cell>
          <cell r="AV277">
            <v>540.57999999999993</v>
          </cell>
          <cell r="AW277">
            <v>395.59</v>
          </cell>
          <cell r="AX277">
            <v>637.24</v>
          </cell>
          <cell r="AY277">
            <v>494.04</v>
          </cell>
          <cell r="AZ277">
            <v>562.06000000000006</v>
          </cell>
          <cell r="BA277">
            <v>492.25</v>
          </cell>
          <cell r="BB277">
            <v>449.31999999999994</v>
          </cell>
          <cell r="BC277">
            <v>977.33999999999992</v>
          </cell>
          <cell r="BD277">
            <v>499.34999999999997</v>
          </cell>
          <cell r="BE277">
            <v>372.32</v>
          </cell>
          <cell r="BF277">
            <v>433.18000000000006</v>
          </cell>
          <cell r="BG277">
            <v>308.19000000000005</v>
          </cell>
          <cell r="BH277">
            <v>198.69</v>
          </cell>
          <cell r="BI277">
            <v>454.65999999999997</v>
          </cell>
          <cell r="BJ277">
            <v>322.2</v>
          </cell>
          <cell r="BK277">
            <v>451.08</v>
          </cell>
          <cell r="BL277">
            <v>506.56999999999994</v>
          </cell>
          <cell r="BM277">
            <v>4.47</v>
          </cell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>
            <v>35.799999999999997</v>
          </cell>
          <cell r="CO277"/>
          <cell r="CP277"/>
          <cell r="CQ277"/>
          <cell r="CR277"/>
          <cell r="CS277"/>
          <cell r="CT277">
            <v>25.5</v>
          </cell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K277"/>
          <cell r="DL277"/>
          <cell r="DM277"/>
          <cell r="DN277"/>
          <cell r="DO277">
            <v>3.58</v>
          </cell>
          <cell r="DP277">
            <v>325.77999999999997</v>
          </cell>
          <cell r="DQ277">
            <v>370.53</v>
          </cell>
          <cell r="DR277">
            <v>1483.8999999999999</v>
          </cell>
          <cell r="DS277">
            <v>978.71</v>
          </cell>
          <cell r="DT277">
            <v>415.28</v>
          </cell>
          <cell r="DU277">
            <v>481.50999999999993</v>
          </cell>
          <cell r="DV277">
            <v>549.53</v>
          </cell>
          <cell r="DW277">
            <v>424.23</v>
          </cell>
          <cell r="DX277">
            <v>1005.9800000000001</v>
          </cell>
          <cell r="DY277">
            <v>850.03000000000009</v>
          </cell>
          <cell r="DZ277">
            <v>460.03</v>
          </cell>
          <cell r="EA277">
            <v>1557.3</v>
          </cell>
          <cell r="EB277">
            <v>567.42999999999995</v>
          </cell>
          <cell r="EC277">
            <v>467.17</v>
          </cell>
          <cell r="ED277">
            <v>486.87999999999994</v>
          </cell>
          <cell r="EE277">
            <v>386.64</v>
          </cell>
          <cell r="EF277"/>
          <cell r="EG277">
            <v>10.74</v>
          </cell>
          <cell r="EH277"/>
          <cell r="EI277"/>
          <cell r="EJ277" t="str">
            <v>ACTIVO</v>
          </cell>
          <cell r="EK277" t="str">
            <v>C</v>
          </cell>
          <cell r="EL277">
            <v>540</v>
          </cell>
          <cell r="EM277">
            <v>601.40277777777771</v>
          </cell>
          <cell r="EN277">
            <v>100.23379629629629</v>
          </cell>
          <cell r="EO277">
            <v>211.30862374650698</v>
          </cell>
          <cell r="EP277">
            <v>0</v>
          </cell>
          <cell r="EQ277">
            <v>0</v>
          </cell>
          <cell r="ER277">
            <v>0</v>
          </cell>
          <cell r="ES277">
            <v>200.46759259259258</v>
          </cell>
        </row>
        <row r="278">
          <cell r="F278">
            <v>107117</v>
          </cell>
          <cell r="G278" t="str">
            <v>PIÑA EN RODAJAS ALTO LA CRUZ</v>
          </cell>
          <cell r="H278">
            <v>207.64000000000001</v>
          </cell>
          <cell r="I278">
            <v>230.91</v>
          </cell>
          <cell r="J278">
            <v>227.33000000000004</v>
          </cell>
          <cell r="K278">
            <v>775.06999999999994</v>
          </cell>
          <cell r="L278">
            <v>248.81</v>
          </cell>
          <cell r="M278">
            <v>279.24</v>
          </cell>
          <cell r="N278">
            <v>254.18</v>
          </cell>
          <cell r="O278">
            <v>315.89</v>
          </cell>
          <cell r="P278">
            <v>275.66000000000003</v>
          </cell>
          <cell r="Q278">
            <v>268.5</v>
          </cell>
          <cell r="R278">
            <v>277.45</v>
          </cell>
          <cell r="S278">
            <v>175.42</v>
          </cell>
          <cell r="T278">
            <v>191.53</v>
          </cell>
          <cell r="U278">
            <v>273.87</v>
          </cell>
          <cell r="V278">
            <v>298.93</v>
          </cell>
          <cell r="W278">
            <v>307.88</v>
          </cell>
          <cell r="X278">
            <v>339.77000000000004</v>
          </cell>
          <cell r="Y278">
            <v>300.72000000000003</v>
          </cell>
          <cell r="Z278">
            <v>307.88</v>
          </cell>
          <cell r="AA278">
            <v>289.98</v>
          </cell>
          <cell r="AB278">
            <v>315.04000000000002</v>
          </cell>
          <cell r="AC278">
            <v>291.77</v>
          </cell>
          <cell r="AD278">
            <v>284.60999999999996</v>
          </cell>
          <cell r="AE278">
            <v>286.39999999999998</v>
          </cell>
          <cell r="AF278">
            <v>316.83</v>
          </cell>
          <cell r="AG278">
            <v>318.62</v>
          </cell>
          <cell r="AH278">
            <v>350.84000000000003</v>
          </cell>
          <cell r="AI278">
            <v>366.95</v>
          </cell>
          <cell r="AJ278">
            <v>334.72999999999996</v>
          </cell>
          <cell r="AK278">
            <v>347.26</v>
          </cell>
          <cell r="AL278">
            <v>384.43</v>
          </cell>
          <cell r="AM278">
            <v>329.36</v>
          </cell>
          <cell r="AN278">
            <v>293.56</v>
          </cell>
          <cell r="AO278">
            <v>248.81</v>
          </cell>
          <cell r="AP278">
            <v>306.05</v>
          </cell>
          <cell r="AQ278">
            <v>486.88</v>
          </cell>
          <cell r="AR278">
            <v>96.699999999999989</v>
          </cell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>
            <v>537</v>
          </cell>
          <cell r="BL278"/>
          <cell r="BM278">
            <v>473.46000000000004</v>
          </cell>
          <cell r="BN278">
            <v>492.25000000000006</v>
          </cell>
          <cell r="BO278">
            <v>420.65000000000003</v>
          </cell>
          <cell r="BP278">
            <v>442.13</v>
          </cell>
          <cell r="BQ278">
            <v>390.22</v>
          </cell>
          <cell r="BR278">
            <v>546.21</v>
          </cell>
          <cell r="BS278">
            <v>426.02</v>
          </cell>
          <cell r="BT278">
            <v>442.13</v>
          </cell>
          <cell r="BU278">
            <v>692.73</v>
          </cell>
          <cell r="BV278">
            <v>472.56</v>
          </cell>
          <cell r="BW278">
            <v>479.72</v>
          </cell>
          <cell r="BX278">
            <v>452.86999999999989</v>
          </cell>
          <cell r="BY278">
            <v>307.88</v>
          </cell>
          <cell r="BZ278">
            <v>12.53</v>
          </cell>
          <cell r="CA278">
            <v>116.35000000000001</v>
          </cell>
          <cell r="CB278">
            <v>128.88</v>
          </cell>
          <cell r="CC278">
            <v>155.72999999999999</v>
          </cell>
          <cell r="CD278">
            <v>141.41000000000003</v>
          </cell>
          <cell r="CE278">
            <v>211.22</v>
          </cell>
          <cell r="CF278">
            <v>116.35</v>
          </cell>
          <cell r="CG278">
            <v>121.72</v>
          </cell>
          <cell r="CH278">
            <v>182.58000000000004</v>
          </cell>
          <cell r="CI278">
            <v>399.16999999999996</v>
          </cell>
          <cell r="CJ278">
            <v>406.33</v>
          </cell>
          <cell r="CK278">
            <v>347.21999999999997</v>
          </cell>
          <cell r="CL278">
            <v>279.24</v>
          </cell>
          <cell r="CM278">
            <v>306.08999999999997</v>
          </cell>
          <cell r="CN278">
            <v>203.96999999999997</v>
          </cell>
          <cell r="CO278"/>
          <cell r="CP278"/>
          <cell r="CQ278"/>
          <cell r="CR278">
            <v>139.62</v>
          </cell>
          <cell r="CS278">
            <v>78.760000000000005</v>
          </cell>
          <cell r="CT278">
            <v>387.99</v>
          </cell>
          <cell r="CU278">
            <v>431.39</v>
          </cell>
          <cell r="CV278">
            <v>426.02000000000004</v>
          </cell>
          <cell r="CW278">
            <v>418.86</v>
          </cell>
          <cell r="CX278">
            <v>263.13</v>
          </cell>
          <cell r="CY278">
            <v>130.85999999999999</v>
          </cell>
          <cell r="CZ278">
            <v>392.01</v>
          </cell>
          <cell r="DA278">
            <v>148.57</v>
          </cell>
          <cell r="DB278">
            <v>345.47</v>
          </cell>
          <cell r="DC278">
            <v>370.53000000000003</v>
          </cell>
          <cell r="DD278">
            <v>365.15999999999997</v>
          </cell>
          <cell r="DE278">
            <v>322.2</v>
          </cell>
          <cell r="DF278">
            <v>402.75</v>
          </cell>
          <cell r="DG278">
            <v>255.97000000000003</v>
          </cell>
          <cell r="DH278">
            <v>173.63</v>
          </cell>
          <cell r="DI278">
            <v>116.35</v>
          </cell>
          <cell r="DJ278">
            <v>374.11</v>
          </cell>
          <cell r="DK278">
            <v>354.41999999999996</v>
          </cell>
          <cell r="DL278">
            <v>340.09999999999997</v>
          </cell>
          <cell r="DM278">
            <v>236.27999999999997</v>
          </cell>
          <cell r="DN278">
            <v>322.3</v>
          </cell>
          <cell r="DO278">
            <v>325.78000000000003</v>
          </cell>
          <cell r="DP278"/>
          <cell r="DQ278"/>
          <cell r="DR278"/>
          <cell r="DS278"/>
          <cell r="DT278"/>
          <cell r="DU278"/>
          <cell r="DV278"/>
          <cell r="DW278"/>
          <cell r="DX278"/>
          <cell r="DY278"/>
          <cell r="DZ278"/>
          <cell r="EA278"/>
          <cell r="EB278"/>
          <cell r="EC278"/>
          <cell r="ED278"/>
          <cell r="EE278">
            <v>57.28</v>
          </cell>
          <cell r="EF278">
            <v>903.95</v>
          </cell>
          <cell r="EG278">
            <v>411.69999999999993</v>
          </cell>
          <cell r="EH278">
            <v>384.84999999999997</v>
          </cell>
          <cell r="EI278">
            <v>279.23</v>
          </cell>
          <cell r="EJ278" t="str">
            <v>ACTIVO</v>
          </cell>
          <cell r="EK278" t="str">
            <v>B</v>
          </cell>
          <cell r="EL278" t="str">
            <v/>
          </cell>
          <cell r="EM278">
            <v>344.22700000000003</v>
          </cell>
          <cell r="EN278">
            <v>57.371166666666674</v>
          </cell>
          <cell r="EO278">
            <v>150.98018739009373</v>
          </cell>
          <cell r="EP278">
            <v>1195.73</v>
          </cell>
          <cell r="EQ278">
            <v>3072822.8259000001</v>
          </cell>
          <cell r="ER278">
            <v>3.4736670859636227</v>
          </cell>
          <cell r="ES278">
            <v>172.11350000000002</v>
          </cell>
        </row>
        <row r="279">
          <cell r="F279">
            <v>405574</v>
          </cell>
          <cell r="G279" t="str">
            <v>PIÑA EN RODAJAS CAMPOS</v>
          </cell>
          <cell r="H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>
            <v>168.35</v>
          </cell>
          <cell r="CO279">
            <v>456.45000000000005</v>
          </cell>
          <cell r="CP279">
            <v>492.25</v>
          </cell>
          <cell r="CQ279">
            <v>377.69</v>
          </cell>
          <cell r="CR279">
            <v>300.22000000000003</v>
          </cell>
          <cell r="CS279"/>
          <cell r="CT279"/>
          <cell r="CU279"/>
          <cell r="CV279"/>
          <cell r="CW279"/>
          <cell r="CX279">
            <v>114.56</v>
          </cell>
          <cell r="CY279">
            <v>279.05</v>
          </cell>
          <cell r="CZ279"/>
          <cell r="DA279">
            <v>238.07</v>
          </cell>
          <cell r="DB279"/>
          <cell r="DC279"/>
          <cell r="DD279"/>
          <cell r="DE279"/>
          <cell r="DF279"/>
          <cell r="DG279"/>
          <cell r="DH279"/>
          <cell r="DI279"/>
          <cell r="DJ279"/>
          <cell r="DK279"/>
          <cell r="DL279"/>
          <cell r="DM279">
            <v>119.93</v>
          </cell>
          <cell r="DN279">
            <v>17.8</v>
          </cell>
          <cell r="DO279"/>
          <cell r="DP279"/>
          <cell r="DQ279"/>
          <cell r="DR279"/>
          <cell r="DS279"/>
          <cell r="DT279"/>
          <cell r="DU279"/>
          <cell r="DV279"/>
          <cell r="DW279"/>
          <cell r="DX279"/>
          <cell r="DY279"/>
          <cell r="DZ279"/>
          <cell r="EA279"/>
          <cell r="EB279"/>
          <cell r="EC279"/>
          <cell r="ED279"/>
          <cell r="EE279"/>
          <cell r="EF279"/>
          <cell r="EG279"/>
          <cell r="EH279"/>
          <cell r="EI279"/>
          <cell r="EJ279" t="str">
            <v>ACTIVO</v>
          </cell>
          <cell r="EK279" t="str">
            <v>C</v>
          </cell>
          <cell r="EL279" t="str">
            <v/>
          </cell>
          <cell r="EM279">
            <v>68.865000000000009</v>
          </cell>
          <cell r="EN279">
            <v>11.477500000000001</v>
          </cell>
          <cell r="EO279">
            <v>132.76062335755162</v>
          </cell>
          <cell r="EP279">
            <v>0</v>
          </cell>
          <cell r="EQ279">
            <v>0</v>
          </cell>
          <cell r="ER279">
            <v>0</v>
          </cell>
          <cell r="ES279">
            <v>22.955000000000002</v>
          </cell>
        </row>
        <row r="280">
          <cell r="F280">
            <v>107144</v>
          </cell>
          <cell r="G280" t="str">
            <v>MANZANAS SLICE MEL</v>
          </cell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>
            <v>32.299999999999997</v>
          </cell>
          <cell r="BD280"/>
          <cell r="BE280"/>
          <cell r="BF280">
            <v>15.2</v>
          </cell>
          <cell r="BG280">
            <v>3.8</v>
          </cell>
          <cell r="BH280"/>
          <cell r="BI280"/>
          <cell r="BJ280"/>
          <cell r="BK280">
            <v>13.3</v>
          </cell>
          <cell r="BL280"/>
          <cell r="BM280"/>
          <cell r="BN280">
            <v>13.3</v>
          </cell>
          <cell r="BO280">
            <v>17.100000000000001</v>
          </cell>
          <cell r="BP280"/>
          <cell r="BQ280"/>
          <cell r="BR280">
            <v>176.7</v>
          </cell>
          <cell r="BS280"/>
          <cell r="BT280">
            <v>7.6</v>
          </cell>
          <cell r="BU280">
            <v>3.8</v>
          </cell>
          <cell r="BV280">
            <v>15.2</v>
          </cell>
          <cell r="BW280"/>
          <cell r="BX280"/>
          <cell r="BY280"/>
          <cell r="BZ280"/>
          <cell r="CA280"/>
          <cell r="CB280"/>
          <cell r="CC280"/>
          <cell r="CD280"/>
          <cell r="CE280"/>
          <cell r="CF280">
            <v>1081.0999999999999</v>
          </cell>
          <cell r="CG280">
            <v>3.8</v>
          </cell>
          <cell r="CH280"/>
          <cell r="CI280">
            <v>9.5</v>
          </cell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K280"/>
          <cell r="DL280"/>
          <cell r="DM280"/>
          <cell r="DN280"/>
          <cell r="DO280"/>
          <cell r="DP280"/>
          <cell r="DQ280"/>
          <cell r="DR280"/>
          <cell r="DS280"/>
          <cell r="DT280"/>
          <cell r="DU280"/>
          <cell r="DV280"/>
          <cell r="DW280"/>
          <cell r="DX280"/>
          <cell r="DY280"/>
          <cell r="DZ280"/>
          <cell r="EA280"/>
          <cell r="EB280"/>
          <cell r="EC280"/>
          <cell r="ED280"/>
          <cell r="EE280"/>
          <cell r="EF280"/>
          <cell r="EG280"/>
          <cell r="EH280"/>
          <cell r="EI280">
            <v>188.1</v>
          </cell>
          <cell r="EJ280" t="str">
            <v>ACTIVO</v>
          </cell>
          <cell r="EK280" t="str">
            <v>C</v>
          </cell>
          <cell r="EL280" t="str">
            <v/>
          </cell>
          <cell r="EM280">
            <v>0</v>
          </cell>
          <cell r="EN280">
            <v>0</v>
          </cell>
          <cell r="EO280">
            <v>336.83474748177491</v>
          </cell>
          <cell r="EP280">
            <v>0</v>
          </cell>
          <cell r="EQ280">
            <v>0</v>
          </cell>
          <cell r="ER280">
            <v>0</v>
          </cell>
          <cell r="ES280">
            <v>0</v>
          </cell>
        </row>
        <row r="281">
          <cell r="F281">
            <v>107415</v>
          </cell>
          <cell r="G281" t="str">
            <v>FILLING DE FRAMBUESA MEL</v>
          </cell>
          <cell r="H281"/>
          <cell r="I281"/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>
            <v>387</v>
          </cell>
          <cell r="BD281">
            <v>2799</v>
          </cell>
          <cell r="BE281">
            <v>544.5</v>
          </cell>
          <cell r="BF281">
            <v>1152</v>
          </cell>
          <cell r="BG281"/>
          <cell r="BH281"/>
          <cell r="BI281">
            <v>657</v>
          </cell>
          <cell r="BJ281">
            <v>310.5</v>
          </cell>
          <cell r="BK281">
            <v>576</v>
          </cell>
          <cell r="BL281">
            <v>229.5</v>
          </cell>
          <cell r="BM281">
            <v>607.5</v>
          </cell>
          <cell r="BN281">
            <v>54</v>
          </cell>
          <cell r="BO281">
            <v>504</v>
          </cell>
          <cell r="BP281">
            <v>55.5</v>
          </cell>
          <cell r="BQ281">
            <v>444</v>
          </cell>
          <cell r="BR281">
            <v>364.5</v>
          </cell>
          <cell r="BS281">
            <v>612</v>
          </cell>
          <cell r="BT281">
            <v>337.5</v>
          </cell>
          <cell r="BU281">
            <v>496.5</v>
          </cell>
          <cell r="BV281">
            <v>1039.77</v>
          </cell>
          <cell r="BW281">
            <v>580.5</v>
          </cell>
          <cell r="BX281">
            <v>40.5</v>
          </cell>
          <cell r="BY281">
            <v>526.5</v>
          </cell>
          <cell r="BZ281">
            <v>18</v>
          </cell>
          <cell r="CA281">
            <v>922.5</v>
          </cell>
          <cell r="CB281">
            <v>931.5</v>
          </cell>
          <cell r="CC281">
            <v>162</v>
          </cell>
          <cell r="CD281">
            <v>517.5</v>
          </cell>
          <cell r="CE281">
            <v>135</v>
          </cell>
          <cell r="CF281">
            <v>148.5</v>
          </cell>
          <cell r="CG281">
            <v>391.5</v>
          </cell>
          <cell r="CH281">
            <v>342</v>
          </cell>
          <cell r="CI281">
            <v>247.5</v>
          </cell>
          <cell r="CJ281">
            <v>270</v>
          </cell>
          <cell r="CK281">
            <v>360</v>
          </cell>
          <cell r="CL281">
            <v>130.5</v>
          </cell>
          <cell r="CM281">
            <v>117</v>
          </cell>
          <cell r="CN281">
            <v>139.5</v>
          </cell>
          <cell r="CO281">
            <v>126</v>
          </cell>
          <cell r="CP281">
            <v>139.5</v>
          </cell>
          <cell r="CQ281">
            <v>157.5</v>
          </cell>
          <cell r="CR281">
            <v>139.5</v>
          </cell>
          <cell r="CS281">
            <v>67.5</v>
          </cell>
          <cell r="CT281">
            <v>112.5</v>
          </cell>
          <cell r="CU281">
            <v>139.5</v>
          </cell>
          <cell r="CV281">
            <v>207</v>
          </cell>
          <cell r="CW281">
            <v>121.5</v>
          </cell>
          <cell r="CX281">
            <v>76.5</v>
          </cell>
          <cell r="CY281">
            <v>135</v>
          </cell>
          <cell r="CZ281">
            <v>117</v>
          </cell>
          <cell r="DA281">
            <v>121.5</v>
          </cell>
          <cell r="DB281">
            <v>108</v>
          </cell>
          <cell r="DC281">
            <v>139.5</v>
          </cell>
          <cell r="DD281">
            <v>144</v>
          </cell>
          <cell r="DE281">
            <v>85.5</v>
          </cell>
          <cell r="DF281">
            <v>76.5</v>
          </cell>
          <cell r="DG281">
            <v>58.5</v>
          </cell>
          <cell r="DH281">
            <v>31.5</v>
          </cell>
          <cell r="DI281">
            <v>27</v>
          </cell>
          <cell r="DJ281">
            <v>72</v>
          </cell>
          <cell r="DK281">
            <v>99</v>
          </cell>
          <cell r="DL281">
            <v>67.5</v>
          </cell>
          <cell r="DM281">
            <v>94.5</v>
          </cell>
          <cell r="DN281">
            <v>76.5</v>
          </cell>
          <cell r="DO281">
            <v>76.5</v>
          </cell>
          <cell r="DP281">
            <v>72</v>
          </cell>
          <cell r="DQ281">
            <v>67.5</v>
          </cell>
          <cell r="DR281">
            <v>67.5</v>
          </cell>
          <cell r="DS281">
            <v>63</v>
          </cell>
          <cell r="DT281">
            <v>63</v>
          </cell>
          <cell r="DU281">
            <v>72</v>
          </cell>
          <cell r="DV281">
            <v>63</v>
          </cell>
          <cell r="DW281">
            <v>63</v>
          </cell>
          <cell r="DX281">
            <v>72</v>
          </cell>
          <cell r="DY281">
            <v>67.5</v>
          </cell>
          <cell r="DZ281">
            <v>76.5</v>
          </cell>
          <cell r="EA281">
            <v>40.5</v>
          </cell>
          <cell r="EB281">
            <v>72</v>
          </cell>
          <cell r="EC281">
            <v>63</v>
          </cell>
          <cell r="ED281">
            <v>76.5</v>
          </cell>
          <cell r="EE281">
            <v>76.5</v>
          </cell>
          <cell r="EF281">
            <v>67.5</v>
          </cell>
          <cell r="EG281">
            <v>81</v>
          </cell>
          <cell r="EH281">
            <v>63</v>
          </cell>
          <cell r="EI281">
            <v>45</v>
          </cell>
          <cell r="EJ281" t="str">
            <v>ACTIVO</v>
          </cell>
          <cell r="EK281" t="str">
            <v>B</v>
          </cell>
          <cell r="EL281" t="str">
            <v/>
          </cell>
          <cell r="EM281">
            <v>69.48</v>
          </cell>
          <cell r="EN281">
            <v>11.58</v>
          </cell>
          <cell r="EO281">
            <v>248.63932918447898</v>
          </cell>
          <cell r="EP281">
            <v>234</v>
          </cell>
          <cell r="EQ281">
            <v>1237717.26</v>
          </cell>
          <cell r="ER281">
            <v>3.3678756476683938</v>
          </cell>
          <cell r="ES281">
            <v>23.16</v>
          </cell>
        </row>
        <row r="282">
          <cell r="F282">
            <v>405647</v>
          </cell>
          <cell r="G282" t="str">
            <v>COCTEL DE FRUTA WATTS</v>
          </cell>
          <cell r="H282"/>
          <cell r="I282"/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K282"/>
          <cell r="DL282"/>
          <cell r="DM282"/>
          <cell r="DN282"/>
          <cell r="DO282"/>
          <cell r="DP282"/>
          <cell r="DQ282"/>
          <cell r="DR282"/>
          <cell r="DS282">
            <v>129.60000000000002</v>
          </cell>
          <cell r="DT282"/>
          <cell r="DU282"/>
          <cell r="DV282"/>
          <cell r="DW282"/>
          <cell r="DX282"/>
          <cell r="DY282"/>
          <cell r="DZ282"/>
          <cell r="EA282"/>
          <cell r="EB282"/>
          <cell r="EC282"/>
          <cell r="ED282"/>
          <cell r="EE282"/>
          <cell r="EF282"/>
          <cell r="EG282"/>
          <cell r="EH282"/>
          <cell r="EI282"/>
          <cell r="EJ282" t="str">
            <v>ACTIVO</v>
          </cell>
          <cell r="EK282" t="str">
            <v/>
          </cell>
          <cell r="EL282" t="str">
            <v/>
          </cell>
          <cell r="EM282">
            <v>129.60000000000002</v>
          </cell>
          <cell r="EN282">
            <v>21.600000000000005</v>
          </cell>
          <cell r="EO282">
            <v>0</v>
          </cell>
          <cell r="EP282">
            <v>0</v>
          </cell>
          <cell r="EQ282">
            <v>0</v>
          </cell>
          <cell r="ER282">
            <v>0</v>
          </cell>
          <cell r="ES282">
            <v>64.800000000000011</v>
          </cell>
        </row>
        <row r="283">
          <cell r="F283">
            <v>405747</v>
          </cell>
          <cell r="G283" t="str">
            <v>COCTEL DE FRUTA CAMPOS</v>
          </cell>
          <cell r="H283"/>
          <cell r="I283"/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K283"/>
          <cell r="DL283"/>
          <cell r="DM283"/>
          <cell r="DN283"/>
          <cell r="DO283"/>
          <cell r="DP283"/>
          <cell r="DQ283"/>
          <cell r="DR283"/>
          <cell r="DS283"/>
          <cell r="DT283"/>
          <cell r="DU283"/>
          <cell r="DV283"/>
          <cell r="DW283"/>
          <cell r="DX283"/>
          <cell r="DY283">
            <v>171</v>
          </cell>
          <cell r="DZ283">
            <v>140.39999999999998</v>
          </cell>
          <cell r="EA283">
            <v>77.400000000000006</v>
          </cell>
          <cell r="EB283">
            <v>309.60000000000002</v>
          </cell>
          <cell r="EC283">
            <v>241.19999999999996</v>
          </cell>
          <cell r="ED283">
            <v>212.39999999999998</v>
          </cell>
          <cell r="EE283">
            <v>172.8</v>
          </cell>
          <cell r="EF283">
            <v>128.4</v>
          </cell>
          <cell r="EG283">
            <v>115.2</v>
          </cell>
          <cell r="EH283">
            <v>138.60000000000002</v>
          </cell>
          <cell r="EI283">
            <v>93.6</v>
          </cell>
          <cell r="EJ283" t="str">
            <v>ACTIVO</v>
          </cell>
          <cell r="EK283" t="str">
            <v/>
          </cell>
          <cell r="EL283" t="str">
            <v/>
          </cell>
          <cell r="EM283">
            <v>174.26666666666668</v>
          </cell>
          <cell r="EN283">
            <v>29.044444444444448</v>
          </cell>
          <cell r="EO283">
            <v>0</v>
          </cell>
          <cell r="EP283">
            <v>379.8</v>
          </cell>
          <cell r="EQ283">
            <v>1406399.4</v>
          </cell>
          <cell r="ER283">
            <v>2.1794185156847741</v>
          </cell>
          <cell r="ES283">
            <v>58.088888888888896</v>
          </cell>
        </row>
        <row r="284">
          <cell r="F284">
            <v>405775</v>
          </cell>
          <cell r="G284" t="str">
            <v>ZANAHORIA BABY 454 GR</v>
          </cell>
          <cell r="H284"/>
          <cell r="I284"/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K284"/>
          <cell r="DL284"/>
          <cell r="DM284"/>
          <cell r="DN284"/>
          <cell r="DO284"/>
          <cell r="DP284"/>
          <cell r="DQ284"/>
          <cell r="DR284"/>
          <cell r="DS284"/>
          <cell r="DT284"/>
          <cell r="DU284"/>
          <cell r="DV284"/>
          <cell r="DW284"/>
          <cell r="DX284"/>
          <cell r="DY284"/>
          <cell r="DZ284"/>
          <cell r="EA284"/>
          <cell r="EB284">
            <v>13</v>
          </cell>
          <cell r="EC284"/>
          <cell r="ED284"/>
          <cell r="EE284"/>
          <cell r="EF284"/>
          <cell r="EG284"/>
          <cell r="EH284"/>
          <cell r="EI284"/>
          <cell r="EJ284" t="str">
            <v>ACTIVO</v>
          </cell>
          <cell r="EK284" t="str">
            <v/>
          </cell>
          <cell r="EL284" t="str">
            <v/>
          </cell>
          <cell r="EM284">
            <v>13</v>
          </cell>
          <cell r="EN284">
            <v>2.1666666666666665</v>
          </cell>
          <cell r="EO284">
            <v>0</v>
          </cell>
          <cell r="EP284">
            <v>0</v>
          </cell>
          <cell r="EQ284">
            <v>0</v>
          </cell>
          <cell r="ER284">
            <v>0</v>
          </cell>
          <cell r="ES284">
            <v>6.5</v>
          </cell>
        </row>
        <row r="285">
          <cell r="F285">
            <v>405797</v>
          </cell>
          <cell r="G285" t="str">
            <v>ZANAHORIA BABY 454 GR AGROSANO</v>
          </cell>
          <cell r="H285"/>
          <cell r="I285"/>
          <cell r="J285"/>
          <cell r="K285"/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K285"/>
          <cell r="DL285"/>
          <cell r="DM285"/>
          <cell r="DN285"/>
          <cell r="DO285"/>
          <cell r="DP285"/>
          <cell r="DQ285"/>
          <cell r="DR285"/>
          <cell r="DS285"/>
          <cell r="DT285"/>
          <cell r="DU285"/>
          <cell r="DV285"/>
          <cell r="DW285"/>
          <cell r="DX285"/>
          <cell r="DY285"/>
          <cell r="DZ285"/>
          <cell r="EA285"/>
          <cell r="EB285"/>
          <cell r="EC285"/>
          <cell r="ED285"/>
          <cell r="EE285">
            <v>1.82</v>
          </cell>
          <cell r="EF285">
            <v>7.0980000000000008</v>
          </cell>
          <cell r="EG285">
            <v>9.0639999999999983</v>
          </cell>
          <cell r="EH285">
            <v>9.0679999999999996</v>
          </cell>
          <cell r="EI285">
            <v>6.3680000000000003</v>
          </cell>
          <cell r="EJ285" t="str">
            <v>ACTIVO</v>
          </cell>
          <cell r="EK285" t="str">
            <v/>
          </cell>
          <cell r="EL285" t="str">
            <v/>
          </cell>
          <cell r="EM285">
            <v>5.9939999999999998</v>
          </cell>
          <cell r="EN285">
            <v>0.999</v>
          </cell>
          <cell r="EO285">
            <v>0</v>
          </cell>
          <cell r="EP285">
            <v>2722.2000000000003</v>
          </cell>
          <cell r="EQ285">
            <v>209863.109</v>
          </cell>
          <cell r="ER285">
            <v>454.15415415415424</v>
          </cell>
          <cell r="ES285">
            <v>3.996</v>
          </cell>
        </row>
        <row r="286">
          <cell r="F286"/>
          <cell r="G286"/>
          <cell r="H286">
            <v>3552.2000000000003</v>
          </cell>
          <cell r="I286">
            <v>3987.71</v>
          </cell>
          <cell r="J286">
            <v>5212.8500000000004</v>
          </cell>
          <cell r="K286">
            <v>7073.83</v>
          </cell>
          <cell r="L286">
            <v>5394.89</v>
          </cell>
          <cell r="M286">
            <v>3872.5</v>
          </cell>
          <cell r="N286">
            <v>4634.34</v>
          </cell>
          <cell r="O286">
            <v>4828.5700000000006</v>
          </cell>
          <cell r="P286">
            <v>3878.34</v>
          </cell>
          <cell r="Q286">
            <v>4642.42</v>
          </cell>
          <cell r="R286">
            <v>5457.39</v>
          </cell>
          <cell r="S286">
            <v>2508.4800000000005</v>
          </cell>
          <cell r="T286">
            <v>1650.3700000000001</v>
          </cell>
          <cell r="U286">
            <v>5687.6699999999992</v>
          </cell>
          <cell r="V286">
            <v>4815.2700000000004</v>
          </cell>
          <cell r="W286">
            <v>6468.72</v>
          </cell>
          <cell r="X286">
            <v>4607.79</v>
          </cell>
          <cell r="Y286">
            <v>3497.88</v>
          </cell>
          <cell r="Z286">
            <v>2122.04</v>
          </cell>
          <cell r="AA286">
            <v>4190.74</v>
          </cell>
          <cell r="AB286">
            <v>4741.22</v>
          </cell>
          <cell r="AC286">
            <v>4336.8899999999994</v>
          </cell>
          <cell r="AD286">
            <v>4794.4299999999994</v>
          </cell>
          <cell r="AE286">
            <v>4305.0399999999991</v>
          </cell>
          <cell r="AF286">
            <v>3837.49</v>
          </cell>
          <cell r="AG286">
            <v>4337.74</v>
          </cell>
          <cell r="AH286">
            <v>4478.2400000000007</v>
          </cell>
          <cell r="AI286">
            <v>4134.5899999999992</v>
          </cell>
          <cell r="AJ286">
            <v>4500.09</v>
          </cell>
          <cell r="AK286">
            <v>4984.68</v>
          </cell>
          <cell r="AL286">
            <v>5436.89</v>
          </cell>
          <cell r="AM286">
            <v>3451.3799999999997</v>
          </cell>
          <cell r="AN286">
            <v>3937.04</v>
          </cell>
          <cell r="AO286">
            <v>3518.83</v>
          </cell>
          <cell r="AP286">
            <v>3669.8500000000004</v>
          </cell>
          <cell r="AQ286">
            <v>4803.18</v>
          </cell>
          <cell r="AR286">
            <v>4246.66</v>
          </cell>
          <cell r="AS286">
            <v>2871.67</v>
          </cell>
          <cell r="AT286">
            <v>5057.4799999999996</v>
          </cell>
          <cell r="AU286">
            <v>5763.79</v>
          </cell>
          <cell r="AV286">
            <v>5067.3000000000011</v>
          </cell>
          <cell r="AW286">
            <v>3786.7100000000005</v>
          </cell>
          <cell r="AX286">
            <v>4901.72</v>
          </cell>
          <cell r="AY286">
            <v>5278.0999999999995</v>
          </cell>
          <cell r="AZ286">
            <v>3360.66</v>
          </cell>
          <cell r="BA286">
            <v>3800.9700000000003</v>
          </cell>
          <cell r="BB286">
            <v>4475.68</v>
          </cell>
          <cell r="BC286">
            <v>6028.38</v>
          </cell>
          <cell r="BD286">
            <v>6184.6900000000005</v>
          </cell>
          <cell r="BE286">
            <v>3766.4</v>
          </cell>
          <cell r="BF286">
            <v>4862.5</v>
          </cell>
          <cell r="BG286">
            <v>4774.95</v>
          </cell>
          <cell r="BH286">
            <v>1364.27</v>
          </cell>
          <cell r="BI286">
            <v>5439.5</v>
          </cell>
          <cell r="BJ286">
            <v>2694.2</v>
          </cell>
          <cell r="BK286">
            <v>6621.7610000000004</v>
          </cell>
          <cell r="BL286">
            <v>3486.41</v>
          </cell>
          <cell r="BM286">
            <v>2965.57</v>
          </cell>
          <cell r="BN286">
            <v>4608.5300000000007</v>
          </cell>
          <cell r="BO286">
            <v>4353.8</v>
          </cell>
          <cell r="BP286">
            <v>3393.8500000000004</v>
          </cell>
          <cell r="BQ286">
            <v>6458.9800000000005</v>
          </cell>
          <cell r="BR286">
            <v>4757.8499999999995</v>
          </cell>
          <cell r="BS286">
            <v>3425.66</v>
          </cell>
          <cell r="BT286">
            <v>4708.2700000000004</v>
          </cell>
          <cell r="BU286">
            <v>5288.9900000000007</v>
          </cell>
          <cell r="BV286">
            <v>3507.0299999999997</v>
          </cell>
          <cell r="BW286">
            <v>3740.0199999999995</v>
          </cell>
          <cell r="BX286">
            <v>3465.4700000000003</v>
          </cell>
          <cell r="BY286">
            <v>5103.12</v>
          </cell>
          <cell r="BZ286">
            <v>2133.31</v>
          </cell>
          <cell r="CA286">
            <v>6574.89</v>
          </cell>
          <cell r="CB286">
            <v>3829.8599999999997</v>
          </cell>
          <cell r="CC286">
            <v>2436.0100000000002</v>
          </cell>
          <cell r="CD286">
            <v>2154.37</v>
          </cell>
          <cell r="CE286">
            <v>2917.68</v>
          </cell>
          <cell r="CF286">
            <v>4734.75</v>
          </cell>
          <cell r="CG286">
            <v>5281.380000000001</v>
          </cell>
          <cell r="CH286">
            <v>4126.58</v>
          </cell>
          <cell r="CI286">
            <v>2366.1099999999997</v>
          </cell>
          <cell r="CJ286">
            <v>3121.29</v>
          </cell>
          <cell r="CK286">
            <v>5642.42</v>
          </cell>
          <cell r="CL286">
            <v>2894.0199999999995</v>
          </cell>
          <cell r="CM286">
            <v>5658.8900000000012</v>
          </cell>
          <cell r="CN286">
            <v>4906.1200000000008</v>
          </cell>
          <cell r="CO286">
            <v>3152.9700000000003</v>
          </cell>
          <cell r="CP286">
            <v>4526.3900000000003</v>
          </cell>
          <cell r="CQ286">
            <v>3365.8100000000004</v>
          </cell>
          <cell r="CR286">
            <v>4492.47</v>
          </cell>
          <cell r="CS286">
            <v>1627.78</v>
          </cell>
          <cell r="CT286">
            <v>4305.6899999999996</v>
          </cell>
          <cell r="CU286">
            <v>4459.4500000000007</v>
          </cell>
          <cell r="CV286">
            <v>5099.84</v>
          </cell>
          <cell r="CW286">
            <v>3477.1200000000003</v>
          </cell>
          <cell r="CX286">
            <v>2722.4900000000002</v>
          </cell>
          <cell r="CY286">
            <v>4026.0500000000006</v>
          </cell>
          <cell r="CZ286">
            <v>3163.59</v>
          </cell>
          <cell r="DA286">
            <v>2196.2399999999998</v>
          </cell>
          <cell r="DB286">
            <v>3225.9500000000007</v>
          </cell>
          <cell r="DC286">
            <v>3921.79</v>
          </cell>
          <cell r="DD286">
            <v>2590.58</v>
          </cell>
          <cell r="DE286">
            <v>3915.1799999999994</v>
          </cell>
          <cell r="DF286">
            <v>2986.99</v>
          </cell>
          <cell r="DG286">
            <v>2032.21</v>
          </cell>
          <cell r="DH286">
            <v>2127.25</v>
          </cell>
          <cell r="DI286">
            <v>1348.17</v>
          </cell>
          <cell r="DJ286">
            <v>2878.4900000000002</v>
          </cell>
          <cell r="DK286">
            <v>4568.54</v>
          </cell>
          <cell r="DL286">
            <v>3403.14</v>
          </cell>
          <cell r="DM286">
            <v>5466.17</v>
          </cell>
          <cell r="DN286">
            <v>4120.0200000000004</v>
          </cell>
          <cell r="DO286">
            <v>4950.3799999999992</v>
          </cell>
          <cell r="DP286">
            <v>3036.7</v>
          </cell>
          <cell r="DQ286">
            <v>2667.2700000000004</v>
          </cell>
          <cell r="DR286">
            <v>4974.2199999999993</v>
          </cell>
          <cell r="DS286">
            <v>4991.17</v>
          </cell>
          <cell r="DT286">
            <v>2560.88</v>
          </cell>
          <cell r="DU286">
            <v>3564.1699999999996</v>
          </cell>
          <cell r="DV286">
            <v>4240.29</v>
          </cell>
          <cell r="DW286">
            <v>4005.1700000000005</v>
          </cell>
          <cell r="DX286">
            <v>6282.64</v>
          </cell>
          <cell r="DY286">
            <v>6190.41</v>
          </cell>
          <cell r="DZ286">
            <v>4355.7099999999991</v>
          </cell>
          <cell r="EA286">
            <v>4712.4000000000005</v>
          </cell>
          <cell r="EB286">
            <v>3905.1699999999996</v>
          </cell>
          <cell r="EC286">
            <v>4487.95</v>
          </cell>
          <cell r="ED286">
            <v>3892.1160000000004</v>
          </cell>
          <cell r="EE286">
            <v>5361.1600000000008</v>
          </cell>
          <cell r="EF286">
            <v>7093.9980000000005</v>
          </cell>
          <cell r="EG286">
            <v>4284.6639999999998</v>
          </cell>
          <cell r="EH286">
            <v>4016.598</v>
          </cell>
          <cell r="EI286">
            <v>3666.8980000000001</v>
          </cell>
          <cell r="EJ286" t="str">
            <v>ACTIVO</v>
          </cell>
          <cell r="EK286" t="str">
            <v/>
          </cell>
          <cell r="EL286" t="str">
            <v/>
          </cell>
          <cell r="EM286">
            <v>4293.6399200000005</v>
          </cell>
          <cell r="EN286">
            <v>715.60665333333338</v>
          </cell>
          <cell r="EO286">
            <v>1275.6387427265327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</row>
        <row r="287">
          <cell r="F287">
            <v>104013</v>
          </cell>
          <cell r="G287" t="str">
            <v>GELATINA S/SABOR ALFA GROUP</v>
          </cell>
          <cell r="H287">
            <v>50</v>
          </cell>
          <cell r="I287">
            <v>50</v>
          </cell>
          <cell r="J287">
            <v>100</v>
          </cell>
          <cell r="K287">
            <v>50</v>
          </cell>
          <cell r="L287">
            <v>50</v>
          </cell>
          <cell r="M287">
            <v>50</v>
          </cell>
          <cell r="N287">
            <v>75</v>
          </cell>
          <cell r="O287">
            <v>75</v>
          </cell>
          <cell r="P287">
            <v>25</v>
          </cell>
          <cell r="Q287">
            <v>25</v>
          </cell>
          <cell r="R287">
            <v>125</v>
          </cell>
          <cell r="S287">
            <v>100</v>
          </cell>
          <cell r="T287">
            <v>50</v>
          </cell>
          <cell r="U287">
            <v>50</v>
          </cell>
          <cell r="V287">
            <v>50</v>
          </cell>
          <cell r="W287">
            <v>75</v>
          </cell>
          <cell r="X287">
            <v>25</v>
          </cell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>
            <v>75</v>
          </cell>
          <cell r="AZ287">
            <v>75</v>
          </cell>
          <cell r="BA287">
            <v>75</v>
          </cell>
          <cell r="BB287">
            <v>25</v>
          </cell>
          <cell r="BC287">
            <v>50</v>
          </cell>
          <cell r="BD287">
            <v>50</v>
          </cell>
          <cell r="BE287">
            <v>50</v>
          </cell>
          <cell r="BF287">
            <v>25</v>
          </cell>
          <cell r="BG287">
            <v>50</v>
          </cell>
          <cell r="BH287">
            <v>50</v>
          </cell>
          <cell r="BI287">
            <v>159</v>
          </cell>
          <cell r="BJ287">
            <v>50</v>
          </cell>
          <cell r="BK287">
            <v>60</v>
          </cell>
          <cell r="BL287">
            <v>75</v>
          </cell>
          <cell r="BM287">
            <v>50</v>
          </cell>
          <cell r="BN287">
            <v>50</v>
          </cell>
          <cell r="BO287"/>
          <cell r="BP287">
            <v>7</v>
          </cell>
          <cell r="BQ287">
            <v>25</v>
          </cell>
          <cell r="BR287">
            <v>50</v>
          </cell>
          <cell r="BS287">
            <v>25</v>
          </cell>
          <cell r="BT287"/>
          <cell r="BU287"/>
          <cell r="BV287">
            <v>29</v>
          </cell>
          <cell r="BW287">
            <v>35</v>
          </cell>
          <cell r="BX287">
            <v>123</v>
          </cell>
          <cell r="BY287">
            <v>66</v>
          </cell>
          <cell r="BZ287">
            <v>150</v>
          </cell>
          <cell r="CA287">
            <v>70</v>
          </cell>
          <cell r="CB287">
            <v>50</v>
          </cell>
          <cell r="CC287">
            <v>50</v>
          </cell>
          <cell r="CD287">
            <v>25</v>
          </cell>
          <cell r="CE287">
            <v>75</v>
          </cell>
          <cell r="CF287">
            <v>50</v>
          </cell>
          <cell r="CG287">
            <v>25</v>
          </cell>
          <cell r="CH287">
            <v>75</v>
          </cell>
          <cell r="CI287">
            <v>50</v>
          </cell>
          <cell r="CJ287">
            <v>50</v>
          </cell>
          <cell r="CK287">
            <v>50</v>
          </cell>
          <cell r="CL287">
            <v>50</v>
          </cell>
          <cell r="CM287">
            <v>25</v>
          </cell>
          <cell r="CN287">
            <v>75</v>
          </cell>
          <cell r="CO287">
            <v>50</v>
          </cell>
          <cell r="CP287">
            <v>50</v>
          </cell>
          <cell r="CQ287">
            <v>75</v>
          </cell>
          <cell r="CR287">
            <v>25</v>
          </cell>
          <cell r="CS287">
            <v>25</v>
          </cell>
          <cell r="CT287">
            <v>50</v>
          </cell>
          <cell r="CU287">
            <v>100</v>
          </cell>
          <cell r="CV287">
            <v>75</v>
          </cell>
          <cell r="CW287">
            <v>75</v>
          </cell>
          <cell r="CX287">
            <v>25</v>
          </cell>
          <cell r="CY287"/>
          <cell r="CZ287">
            <v>50</v>
          </cell>
          <cell r="DA287">
            <v>35</v>
          </cell>
          <cell r="DB287">
            <v>75</v>
          </cell>
          <cell r="DC287">
            <v>50</v>
          </cell>
          <cell r="DD287">
            <v>50</v>
          </cell>
          <cell r="DE287">
            <v>25</v>
          </cell>
          <cell r="DF287">
            <v>75</v>
          </cell>
          <cell r="DG287">
            <v>50</v>
          </cell>
          <cell r="DH287"/>
          <cell r="DI287">
            <v>25</v>
          </cell>
          <cell r="DJ287">
            <v>75</v>
          </cell>
          <cell r="DK287">
            <v>25</v>
          </cell>
          <cell r="DL287">
            <v>50</v>
          </cell>
          <cell r="DM287">
            <v>50</v>
          </cell>
          <cell r="DN287">
            <v>50</v>
          </cell>
          <cell r="DO287">
            <v>50</v>
          </cell>
          <cell r="DP287">
            <v>100</v>
          </cell>
          <cell r="DQ287"/>
          <cell r="DR287">
            <v>25</v>
          </cell>
          <cell r="DS287"/>
          <cell r="DT287"/>
          <cell r="DU287">
            <v>98</v>
          </cell>
          <cell r="DV287">
            <v>50</v>
          </cell>
          <cell r="DW287">
            <v>25</v>
          </cell>
          <cell r="DX287">
            <v>75</v>
          </cell>
          <cell r="DY287">
            <v>50</v>
          </cell>
          <cell r="DZ287"/>
          <cell r="EA287"/>
          <cell r="EB287"/>
          <cell r="EC287"/>
          <cell r="ED287"/>
          <cell r="EE287"/>
          <cell r="EF287"/>
          <cell r="EG287"/>
          <cell r="EH287"/>
          <cell r="EI287"/>
          <cell r="EJ287" t="str">
            <v>ACTIVO</v>
          </cell>
          <cell r="EK287" t="str">
            <v>B</v>
          </cell>
          <cell r="EL287">
            <v>0</v>
          </cell>
          <cell r="EM287">
            <v>53.428571428571431</v>
          </cell>
          <cell r="EN287">
            <v>8.9047619047619051</v>
          </cell>
          <cell r="EO287">
            <v>30.168204576604925</v>
          </cell>
          <cell r="EP287">
            <v>25</v>
          </cell>
          <cell r="EQ287">
            <v>190000</v>
          </cell>
          <cell r="ER287">
            <v>0.46791443850267378</v>
          </cell>
          <cell r="ES287">
            <v>17.80952380952381</v>
          </cell>
        </row>
        <row r="288">
          <cell r="F288">
            <v>107159</v>
          </cell>
          <cell r="G288" t="str">
            <v>GELATINA S/SABOR ALTO LA CRUZ</v>
          </cell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>
            <v>30</v>
          </cell>
          <cell r="Y288">
            <v>40</v>
          </cell>
          <cell r="Z288">
            <v>80</v>
          </cell>
          <cell r="AA288">
            <v>50</v>
          </cell>
          <cell r="AB288">
            <v>70</v>
          </cell>
          <cell r="AC288">
            <v>50</v>
          </cell>
          <cell r="AD288">
            <v>50</v>
          </cell>
          <cell r="AE288">
            <v>100</v>
          </cell>
          <cell r="AF288">
            <v>20</v>
          </cell>
          <cell r="AG288">
            <v>65</v>
          </cell>
          <cell r="AH288">
            <v>60</v>
          </cell>
          <cell r="AI288">
            <v>65</v>
          </cell>
          <cell r="AJ288">
            <v>70</v>
          </cell>
          <cell r="AK288">
            <v>50</v>
          </cell>
          <cell r="AL288">
            <v>41</v>
          </cell>
          <cell r="AM288">
            <v>80</v>
          </cell>
          <cell r="AN288">
            <v>90</v>
          </cell>
          <cell r="AO288">
            <v>70</v>
          </cell>
          <cell r="AP288">
            <v>40</v>
          </cell>
          <cell r="AQ288">
            <v>40</v>
          </cell>
          <cell r="AR288">
            <v>30</v>
          </cell>
          <cell r="AS288">
            <v>10</v>
          </cell>
          <cell r="AT288">
            <v>40</v>
          </cell>
          <cell r="AU288">
            <v>59</v>
          </cell>
          <cell r="AV288">
            <v>37</v>
          </cell>
          <cell r="AW288">
            <v>44</v>
          </cell>
          <cell r="AX288">
            <v>46</v>
          </cell>
          <cell r="AY288">
            <v>19</v>
          </cell>
          <cell r="AZ288">
            <v>6</v>
          </cell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>
            <v>31</v>
          </cell>
          <cell r="BS288">
            <v>39</v>
          </cell>
          <cell r="BT288">
            <v>70</v>
          </cell>
          <cell r="BU288">
            <v>50</v>
          </cell>
          <cell r="BV288">
            <v>16</v>
          </cell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>
            <v>23</v>
          </cell>
          <cell r="CY288">
            <v>68</v>
          </cell>
          <cell r="CZ288">
            <v>62</v>
          </cell>
          <cell r="DA288">
            <v>7</v>
          </cell>
          <cell r="DB288"/>
          <cell r="DC288"/>
          <cell r="DD288"/>
          <cell r="DE288"/>
          <cell r="DF288"/>
          <cell r="DG288"/>
          <cell r="DH288"/>
          <cell r="DI288"/>
          <cell r="DJ288"/>
          <cell r="DK288"/>
          <cell r="DL288"/>
          <cell r="DM288"/>
          <cell r="DN288"/>
          <cell r="DO288"/>
          <cell r="DP288"/>
          <cell r="DQ288">
            <v>47</v>
          </cell>
          <cell r="DR288">
            <v>60</v>
          </cell>
          <cell r="DS288">
            <v>66</v>
          </cell>
          <cell r="DT288">
            <v>61</v>
          </cell>
          <cell r="DU288">
            <v>13</v>
          </cell>
          <cell r="DV288"/>
          <cell r="DW288"/>
          <cell r="DX288"/>
          <cell r="DY288"/>
          <cell r="DZ288">
            <v>81</v>
          </cell>
          <cell r="EA288">
            <v>83</v>
          </cell>
          <cell r="EB288">
            <v>69</v>
          </cell>
          <cell r="EC288">
            <v>55</v>
          </cell>
          <cell r="ED288">
            <v>68.814897999999999</v>
          </cell>
          <cell r="EE288">
            <v>65</v>
          </cell>
          <cell r="EF288">
            <v>66.789999999999992</v>
          </cell>
          <cell r="EG288">
            <v>99</v>
          </cell>
          <cell r="EH288">
            <v>79.167653999999999</v>
          </cell>
          <cell r="EI288">
            <v>46</v>
          </cell>
          <cell r="EJ288" t="str">
            <v>ACTIVO</v>
          </cell>
          <cell r="EK288" t="str">
            <v>C</v>
          </cell>
          <cell r="EL288" t="str">
            <v/>
          </cell>
          <cell r="EM288">
            <v>64.200376769230758</v>
          </cell>
          <cell r="EN288">
            <v>10.700062794871792</v>
          </cell>
          <cell r="EO288">
            <v>23.18404623873926</v>
          </cell>
          <cell r="EP288">
            <v>175</v>
          </cell>
          <cell r="EQ288">
            <v>1715000</v>
          </cell>
          <cell r="ER288">
            <v>2.725840700733583</v>
          </cell>
          <cell r="ES288">
            <v>21.400125589743585</v>
          </cell>
        </row>
        <row r="289">
          <cell r="F289">
            <v>107160</v>
          </cell>
          <cell r="G289" t="str">
            <v>GELATINA FRAMBUESA ALTO LA CRUZ</v>
          </cell>
          <cell r="H289">
            <v>86</v>
          </cell>
          <cell r="I289">
            <v>63</v>
          </cell>
          <cell r="J289">
            <v>61</v>
          </cell>
          <cell r="K289">
            <v>64</v>
          </cell>
          <cell r="L289">
            <v>67</v>
          </cell>
          <cell r="M289">
            <v>77</v>
          </cell>
          <cell r="N289">
            <v>71</v>
          </cell>
          <cell r="O289">
            <v>66</v>
          </cell>
          <cell r="P289">
            <v>67</v>
          </cell>
          <cell r="Q289">
            <v>76</v>
          </cell>
          <cell r="R289">
            <v>66</v>
          </cell>
          <cell r="S289">
            <v>85</v>
          </cell>
          <cell r="T289">
            <v>64</v>
          </cell>
          <cell r="U289">
            <v>73</v>
          </cell>
          <cell r="V289">
            <v>71</v>
          </cell>
          <cell r="W289">
            <v>57</v>
          </cell>
          <cell r="X289">
            <v>71</v>
          </cell>
          <cell r="Y289">
            <v>78</v>
          </cell>
          <cell r="Z289">
            <v>92</v>
          </cell>
          <cell r="AA289">
            <v>57</v>
          </cell>
          <cell r="AB289">
            <v>69</v>
          </cell>
          <cell r="AC289">
            <v>65</v>
          </cell>
          <cell r="AD289">
            <v>71</v>
          </cell>
          <cell r="AE289">
            <v>63</v>
          </cell>
          <cell r="AF289">
            <v>70</v>
          </cell>
          <cell r="AG289">
            <v>74</v>
          </cell>
          <cell r="AH289">
            <v>69</v>
          </cell>
          <cell r="AI289">
            <v>68</v>
          </cell>
          <cell r="AJ289">
            <v>71</v>
          </cell>
          <cell r="AK289">
            <v>65</v>
          </cell>
          <cell r="AL289">
            <v>136</v>
          </cell>
          <cell r="AM289">
            <v>93</v>
          </cell>
          <cell r="AN289">
            <v>88</v>
          </cell>
          <cell r="AO289">
            <v>59</v>
          </cell>
          <cell r="AP289">
            <v>55</v>
          </cell>
          <cell r="AQ289">
            <v>56</v>
          </cell>
          <cell r="AR289">
            <v>53</v>
          </cell>
          <cell r="AS289">
            <v>18</v>
          </cell>
          <cell r="AT289">
            <v>57</v>
          </cell>
          <cell r="AU289">
            <v>51</v>
          </cell>
          <cell r="AV289">
            <v>46</v>
          </cell>
          <cell r="AW289">
            <v>58</v>
          </cell>
          <cell r="AX289">
            <v>59</v>
          </cell>
          <cell r="AY289">
            <v>41</v>
          </cell>
          <cell r="AZ289">
            <v>64</v>
          </cell>
          <cell r="BA289">
            <v>52</v>
          </cell>
          <cell r="BB289">
            <v>50</v>
          </cell>
          <cell r="BC289">
            <v>65</v>
          </cell>
          <cell r="BD289">
            <v>53</v>
          </cell>
          <cell r="BE289">
            <v>55</v>
          </cell>
          <cell r="BF289">
            <v>56</v>
          </cell>
          <cell r="BG289">
            <v>52</v>
          </cell>
          <cell r="BH289">
            <v>31</v>
          </cell>
          <cell r="BI289">
            <v>48</v>
          </cell>
          <cell r="BJ289">
            <v>36</v>
          </cell>
          <cell r="BK289">
            <v>55</v>
          </cell>
          <cell r="BL289">
            <v>52</v>
          </cell>
          <cell r="BM289">
            <v>65</v>
          </cell>
          <cell r="BN289">
            <v>69</v>
          </cell>
          <cell r="BO289">
            <v>46</v>
          </cell>
          <cell r="BP289">
            <v>45</v>
          </cell>
          <cell r="BQ289">
            <v>41</v>
          </cell>
          <cell r="BR289">
            <v>49</v>
          </cell>
          <cell r="BS289">
            <v>51</v>
          </cell>
          <cell r="BT289">
            <v>60</v>
          </cell>
          <cell r="BU289">
            <v>51</v>
          </cell>
          <cell r="BV289">
            <v>46</v>
          </cell>
          <cell r="BW289">
            <v>51</v>
          </cell>
          <cell r="BX289">
            <v>63</v>
          </cell>
          <cell r="BY289">
            <v>78</v>
          </cell>
          <cell r="BZ289">
            <v>105</v>
          </cell>
          <cell r="CA289">
            <v>52</v>
          </cell>
          <cell r="CB289">
            <v>48</v>
          </cell>
          <cell r="CC289">
            <v>51</v>
          </cell>
          <cell r="CD289">
            <v>54</v>
          </cell>
          <cell r="CE289">
            <v>94</v>
          </cell>
          <cell r="CF289">
            <v>46</v>
          </cell>
          <cell r="CG289">
            <v>54</v>
          </cell>
          <cell r="CH289">
            <v>54</v>
          </cell>
          <cell r="CI289">
            <v>60</v>
          </cell>
          <cell r="CJ289">
            <v>52</v>
          </cell>
          <cell r="CK289">
            <v>58</v>
          </cell>
          <cell r="CL289">
            <v>52</v>
          </cell>
          <cell r="CM289">
            <v>64</v>
          </cell>
          <cell r="CN289">
            <v>72</v>
          </cell>
          <cell r="CO289">
            <v>59</v>
          </cell>
          <cell r="CP289">
            <v>64</v>
          </cell>
          <cell r="CQ289">
            <v>39</v>
          </cell>
          <cell r="CR289">
            <v>53</v>
          </cell>
          <cell r="CS289">
            <v>13</v>
          </cell>
          <cell r="CT289">
            <v>76</v>
          </cell>
          <cell r="CU289">
            <v>94</v>
          </cell>
          <cell r="CV289">
            <v>84</v>
          </cell>
          <cell r="CW289">
            <v>85</v>
          </cell>
          <cell r="CX289">
            <v>75</v>
          </cell>
          <cell r="CY289">
            <v>71</v>
          </cell>
          <cell r="CZ289">
            <v>61</v>
          </cell>
          <cell r="DA289">
            <v>71</v>
          </cell>
          <cell r="DB289">
            <v>59</v>
          </cell>
          <cell r="DC289">
            <v>63</v>
          </cell>
          <cell r="DD289">
            <v>65</v>
          </cell>
          <cell r="DE289">
            <v>52</v>
          </cell>
          <cell r="DF289">
            <v>69</v>
          </cell>
          <cell r="DG289">
            <v>49</v>
          </cell>
          <cell r="DH289">
            <v>28</v>
          </cell>
          <cell r="DI289">
            <v>16</v>
          </cell>
          <cell r="DJ289">
            <v>57</v>
          </cell>
          <cell r="DK289">
            <v>55</v>
          </cell>
          <cell r="DL289">
            <v>57</v>
          </cell>
          <cell r="DM289">
            <v>61</v>
          </cell>
          <cell r="DN289">
            <v>53</v>
          </cell>
          <cell r="DO289">
            <v>65</v>
          </cell>
          <cell r="DP289">
            <v>55</v>
          </cell>
          <cell r="DQ289">
            <v>58</v>
          </cell>
          <cell r="DR289">
            <v>58</v>
          </cell>
          <cell r="DS289">
            <v>60</v>
          </cell>
          <cell r="DT289">
            <v>58</v>
          </cell>
          <cell r="DU289">
            <v>65</v>
          </cell>
          <cell r="DV289">
            <v>64</v>
          </cell>
          <cell r="DW289">
            <v>55</v>
          </cell>
          <cell r="DX289">
            <v>56</v>
          </cell>
          <cell r="DY289">
            <v>57</v>
          </cell>
          <cell r="DZ289">
            <v>78</v>
          </cell>
          <cell r="EA289">
            <v>71</v>
          </cell>
          <cell r="EB289">
            <v>70</v>
          </cell>
          <cell r="EC289">
            <v>51</v>
          </cell>
          <cell r="ED289">
            <v>55</v>
          </cell>
          <cell r="EE289">
            <v>58</v>
          </cell>
          <cell r="EF289">
            <v>51</v>
          </cell>
          <cell r="EG289">
            <v>95</v>
          </cell>
          <cell r="EH289">
            <v>59.583826999999999</v>
          </cell>
          <cell r="EI289">
            <v>37</v>
          </cell>
          <cell r="EJ289" t="str">
            <v>ACTIVO</v>
          </cell>
          <cell r="EK289" t="str">
            <v>C</v>
          </cell>
          <cell r="EL289">
            <v>200</v>
          </cell>
          <cell r="EM289">
            <v>59.16</v>
          </cell>
          <cell r="EN289">
            <v>9.86</v>
          </cell>
          <cell r="EO289">
            <v>16.664951532455767</v>
          </cell>
          <cell r="EP289">
            <v>118</v>
          </cell>
          <cell r="EQ289">
            <v>631301.18000000005</v>
          </cell>
          <cell r="ER289">
            <v>1.9945909398242057</v>
          </cell>
          <cell r="ES289">
            <v>19.72</v>
          </cell>
        </row>
        <row r="290">
          <cell r="F290"/>
          <cell r="G290"/>
          <cell r="H290">
            <v>136</v>
          </cell>
          <cell r="I290">
            <v>113</v>
          </cell>
          <cell r="J290">
            <v>161</v>
          </cell>
          <cell r="K290">
            <v>114</v>
          </cell>
          <cell r="L290">
            <v>117</v>
          </cell>
          <cell r="M290">
            <v>127</v>
          </cell>
          <cell r="N290">
            <v>146</v>
          </cell>
          <cell r="O290">
            <v>141</v>
          </cell>
          <cell r="P290">
            <v>92</v>
          </cell>
          <cell r="Q290">
            <v>101</v>
          </cell>
          <cell r="R290">
            <v>191</v>
          </cell>
          <cell r="S290">
            <v>185</v>
          </cell>
          <cell r="T290">
            <v>114</v>
          </cell>
          <cell r="U290">
            <v>123</v>
          </cell>
          <cell r="V290">
            <v>121</v>
          </cell>
          <cell r="W290">
            <v>132</v>
          </cell>
          <cell r="X290">
            <v>126</v>
          </cell>
          <cell r="Y290">
            <v>118</v>
          </cell>
          <cell r="Z290">
            <v>172</v>
          </cell>
          <cell r="AA290">
            <v>107</v>
          </cell>
          <cell r="AB290">
            <v>139</v>
          </cell>
          <cell r="AC290">
            <v>115</v>
          </cell>
          <cell r="AD290">
            <v>121</v>
          </cell>
          <cell r="AE290">
            <v>163</v>
          </cell>
          <cell r="AF290">
            <v>90</v>
          </cell>
          <cell r="AG290">
            <v>139</v>
          </cell>
          <cell r="AH290">
            <v>129</v>
          </cell>
          <cell r="AI290">
            <v>133</v>
          </cell>
          <cell r="AJ290">
            <v>141</v>
          </cell>
          <cell r="AK290">
            <v>115</v>
          </cell>
          <cell r="AL290">
            <v>177</v>
          </cell>
          <cell r="AM290">
            <v>173</v>
          </cell>
          <cell r="AN290">
            <v>178</v>
          </cell>
          <cell r="AO290">
            <v>129</v>
          </cell>
          <cell r="AP290">
            <v>95</v>
          </cell>
          <cell r="AQ290">
            <v>96</v>
          </cell>
          <cell r="AR290">
            <v>83</v>
          </cell>
          <cell r="AS290">
            <v>28</v>
          </cell>
          <cell r="AT290">
            <v>97</v>
          </cell>
          <cell r="AU290">
            <v>110</v>
          </cell>
          <cell r="AV290">
            <v>83</v>
          </cell>
          <cell r="AW290">
            <v>102</v>
          </cell>
          <cell r="AX290">
            <v>105</v>
          </cell>
          <cell r="AY290">
            <v>135</v>
          </cell>
          <cell r="AZ290">
            <v>145</v>
          </cell>
          <cell r="BA290">
            <v>127</v>
          </cell>
          <cell r="BB290">
            <v>75</v>
          </cell>
          <cell r="BC290">
            <v>115</v>
          </cell>
          <cell r="BD290">
            <v>103</v>
          </cell>
          <cell r="BE290">
            <v>105</v>
          </cell>
          <cell r="BF290">
            <v>81</v>
          </cell>
          <cell r="BG290">
            <v>102</v>
          </cell>
          <cell r="BH290">
            <v>81</v>
          </cell>
          <cell r="BI290">
            <v>207</v>
          </cell>
          <cell r="BJ290">
            <v>86</v>
          </cell>
          <cell r="BK290">
            <v>115</v>
          </cell>
          <cell r="BL290">
            <v>127</v>
          </cell>
          <cell r="BM290">
            <v>115</v>
          </cell>
          <cell r="BN290">
            <v>119</v>
          </cell>
          <cell r="BO290">
            <v>46</v>
          </cell>
          <cell r="BP290">
            <v>52</v>
          </cell>
          <cell r="BQ290">
            <v>66</v>
          </cell>
          <cell r="BR290">
            <v>130</v>
          </cell>
          <cell r="BS290">
            <v>115</v>
          </cell>
          <cell r="BT290">
            <v>130</v>
          </cell>
          <cell r="BU290">
            <v>101</v>
          </cell>
          <cell r="BV290">
            <v>91</v>
          </cell>
          <cell r="BW290">
            <v>86</v>
          </cell>
          <cell r="BX290">
            <v>186</v>
          </cell>
          <cell r="BY290">
            <v>144</v>
          </cell>
          <cell r="BZ290">
            <v>255</v>
          </cell>
          <cell r="CA290">
            <v>122</v>
          </cell>
          <cell r="CB290">
            <v>98</v>
          </cell>
          <cell r="CC290">
            <v>101</v>
          </cell>
          <cell r="CD290">
            <v>79</v>
          </cell>
          <cell r="CE290">
            <v>169</v>
          </cell>
          <cell r="CF290">
            <v>96</v>
          </cell>
          <cell r="CG290">
            <v>79</v>
          </cell>
          <cell r="CH290">
            <v>129</v>
          </cell>
          <cell r="CI290">
            <v>110</v>
          </cell>
          <cell r="CJ290">
            <v>102</v>
          </cell>
          <cell r="CK290">
            <v>108</v>
          </cell>
          <cell r="CL290">
            <v>102</v>
          </cell>
          <cell r="CM290">
            <v>89</v>
          </cell>
          <cell r="CN290">
            <v>147</v>
          </cell>
          <cell r="CO290">
            <v>109</v>
          </cell>
          <cell r="CP290">
            <v>114</v>
          </cell>
          <cell r="CQ290">
            <v>114</v>
          </cell>
          <cell r="CR290">
            <v>78</v>
          </cell>
          <cell r="CS290">
            <v>38</v>
          </cell>
          <cell r="CT290">
            <v>126</v>
          </cell>
          <cell r="CU290">
            <v>194</v>
          </cell>
          <cell r="CV290">
            <v>159</v>
          </cell>
          <cell r="CW290">
            <v>160</v>
          </cell>
          <cell r="CX290">
            <v>123</v>
          </cell>
          <cell r="CY290">
            <v>139</v>
          </cell>
          <cell r="CZ290">
            <v>173</v>
          </cell>
          <cell r="DA290">
            <v>113</v>
          </cell>
          <cell r="DB290">
            <v>134</v>
          </cell>
          <cell r="DC290">
            <v>113</v>
          </cell>
          <cell r="DD290">
            <v>115</v>
          </cell>
          <cell r="DE290">
            <v>77</v>
          </cell>
          <cell r="DF290">
            <v>144</v>
          </cell>
          <cell r="DG290">
            <v>99</v>
          </cell>
          <cell r="DH290">
            <v>28</v>
          </cell>
          <cell r="DI290">
            <v>41</v>
          </cell>
          <cell r="DJ290">
            <v>132</v>
          </cell>
          <cell r="DK290">
            <v>80</v>
          </cell>
          <cell r="DL290">
            <v>107</v>
          </cell>
          <cell r="DM290">
            <v>111</v>
          </cell>
          <cell r="DN290">
            <v>103</v>
          </cell>
          <cell r="DO290">
            <v>115</v>
          </cell>
          <cell r="DP290">
            <v>155</v>
          </cell>
          <cell r="DQ290">
            <v>105</v>
          </cell>
          <cell r="DR290">
            <v>143</v>
          </cell>
          <cell r="DS290">
            <v>126</v>
          </cell>
          <cell r="DT290">
            <v>119</v>
          </cell>
          <cell r="DU290">
            <v>176</v>
          </cell>
          <cell r="DV290">
            <v>114</v>
          </cell>
          <cell r="DW290">
            <v>80</v>
          </cell>
          <cell r="DX290">
            <v>131</v>
          </cell>
          <cell r="DY290">
            <v>107</v>
          </cell>
          <cell r="DZ290">
            <v>159</v>
          </cell>
          <cell r="EA290">
            <v>154</v>
          </cell>
          <cell r="EB290">
            <v>139</v>
          </cell>
          <cell r="EC290">
            <v>106</v>
          </cell>
          <cell r="ED290">
            <v>123.814898</v>
          </cell>
          <cell r="EE290">
            <v>123</v>
          </cell>
          <cell r="EF290">
            <v>117.78999999999999</v>
          </cell>
          <cell r="EG290">
            <v>194</v>
          </cell>
          <cell r="EH290">
            <v>138.75148100000001</v>
          </cell>
          <cell r="EI290">
            <v>83</v>
          </cell>
          <cell r="EJ290" t="str">
            <v>ACTIVO</v>
          </cell>
          <cell r="EK290" t="str">
            <v/>
          </cell>
          <cell r="EL290" t="str">
            <v/>
          </cell>
          <cell r="EM290">
            <v>122.46419592000001</v>
          </cell>
          <cell r="EN290">
            <v>20.410699320000003</v>
          </cell>
          <cell r="EO290">
            <v>41.630876743151617</v>
          </cell>
          <cell r="EP290">
            <v>0</v>
          </cell>
          <cell r="EQ290">
            <v>0</v>
          </cell>
          <cell r="ER290">
            <v>0</v>
          </cell>
          <cell r="ES290">
            <v>0</v>
          </cell>
        </row>
        <row r="291">
          <cell r="F291">
            <v>404316</v>
          </cell>
          <cell r="G291" t="str">
            <v>BASE DE TARTALETA SOFT BLANCA PAVESI</v>
          </cell>
          <cell r="H291">
            <v>54</v>
          </cell>
          <cell r="I291"/>
          <cell r="J291"/>
          <cell r="K291"/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>
            <v>141</v>
          </cell>
          <cell r="AV291">
            <v>552</v>
          </cell>
          <cell r="AW291">
            <v>411</v>
          </cell>
          <cell r="AX291">
            <v>504</v>
          </cell>
          <cell r="AY291">
            <v>414</v>
          </cell>
          <cell r="AZ291">
            <v>432</v>
          </cell>
          <cell r="BA291">
            <v>492</v>
          </cell>
          <cell r="BB291">
            <v>330</v>
          </cell>
          <cell r="BC291">
            <v>279</v>
          </cell>
          <cell r="BD291">
            <v>351</v>
          </cell>
          <cell r="BE291">
            <v>318</v>
          </cell>
          <cell r="BF291">
            <v>405</v>
          </cell>
          <cell r="BG291">
            <v>165</v>
          </cell>
          <cell r="BH291">
            <v>147</v>
          </cell>
          <cell r="BI291">
            <v>363</v>
          </cell>
          <cell r="BJ291">
            <v>222</v>
          </cell>
          <cell r="BK291">
            <v>357</v>
          </cell>
          <cell r="BL291">
            <v>318</v>
          </cell>
          <cell r="BM291">
            <v>321</v>
          </cell>
          <cell r="BN291">
            <v>387</v>
          </cell>
          <cell r="BO291">
            <v>273</v>
          </cell>
          <cell r="BP291">
            <v>342</v>
          </cell>
          <cell r="BQ291">
            <v>273</v>
          </cell>
          <cell r="BR291">
            <v>387</v>
          </cell>
          <cell r="BS291">
            <v>309</v>
          </cell>
          <cell r="BT291">
            <v>285</v>
          </cell>
          <cell r="BU291">
            <v>330</v>
          </cell>
          <cell r="BV291">
            <v>312</v>
          </cell>
          <cell r="BW291">
            <v>294</v>
          </cell>
          <cell r="BX291">
            <v>414</v>
          </cell>
          <cell r="BY291">
            <v>225</v>
          </cell>
          <cell r="BZ291">
            <v>45</v>
          </cell>
          <cell r="CA291">
            <v>273</v>
          </cell>
          <cell r="CB291">
            <v>501</v>
          </cell>
          <cell r="CC291">
            <v>384</v>
          </cell>
          <cell r="CD291">
            <v>303</v>
          </cell>
          <cell r="CE291">
            <v>438</v>
          </cell>
          <cell r="CF291">
            <v>390</v>
          </cell>
          <cell r="CG291">
            <v>441</v>
          </cell>
          <cell r="CH291">
            <v>372</v>
          </cell>
          <cell r="CI291">
            <v>444</v>
          </cell>
          <cell r="CJ291">
            <v>417</v>
          </cell>
          <cell r="CK291">
            <v>408</v>
          </cell>
          <cell r="CL291">
            <v>327</v>
          </cell>
          <cell r="CM291">
            <v>327</v>
          </cell>
          <cell r="CN291">
            <v>492</v>
          </cell>
          <cell r="CO291">
            <v>450</v>
          </cell>
          <cell r="CP291">
            <v>432</v>
          </cell>
          <cell r="CQ291">
            <v>363</v>
          </cell>
          <cell r="CR291">
            <v>432</v>
          </cell>
          <cell r="CS291">
            <v>72</v>
          </cell>
          <cell r="CT291">
            <v>384</v>
          </cell>
          <cell r="CU291">
            <v>444</v>
          </cell>
          <cell r="CV291">
            <v>369</v>
          </cell>
          <cell r="CW291">
            <v>309</v>
          </cell>
          <cell r="CX291">
            <v>285</v>
          </cell>
          <cell r="CY291">
            <v>300</v>
          </cell>
          <cell r="CZ291">
            <v>336</v>
          </cell>
          <cell r="DA291">
            <v>339</v>
          </cell>
          <cell r="DB291">
            <v>232</v>
          </cell>
          <cell r="DC291">
            <v>395</v>
          </cell>
          <cell r="DD291">
            <v>255</v>
          </cell>
          <cell r="DE291">
            <v>252</v>
          </cell>
          <cell r="DF291">
            <v>309</v>
          </cell>
          <cell r="DG291">
            <v>225</v>
          </cell>
          <cell r="DH291">
            <v>120</v>
          </cell>
          <cell r="DI291">
            <v>99</v>
          </cell>
          <cell r="DJ291">
            <v>348</v>
          </cell>
          <cell r="DK291">
            <v>324</v>
          </cell>
          <cell r="DL291">
            <v>270</v>
          </cell>
          <cell r="DM291">
            <v>321</v>
          </cell>
          <cell r="DN291">
            <v>300</v>
          </cell>
          <cell r="DO291">
            <v>300</v>
          </cell>
          <cell r="DP291">
            <v>318</v>
          </cell>
          <cell r="DQ291">
            <v>297</v>
          </cell>
          <cell r="DR291">
            <v>270</v>
          </cell>
          <cell r="DS291">
            <v>480</v>
          </cell>
          <cell r="DT291">
            <v>257</v>
          </cell>
          <cell r="DU291">
            <v>477</v>
          </cell>
          <cell r="DV291">
            <v>336</v>
          </cell>
          <cell r="DW291">
            <v>375</v>
          </cell>
          <cell r="DX291">
            <v>453</v>
          </cell>
          <cell r="DY291">
            <v>417</v>
          </cell>
          <cell r="DZ291">
            <v>489</v>
          </cell>
          <cell r="EA291">
            <v>171</v>
          </cell>
          <cell r="EB291">
            <v>507</v>
          </cell>
          <cell r="EC291">
            <v>537</v>
          </cell>
          <cell r="ED291">
            <v>504</v>
          </cell>
          <cell r="EE291">
            <v>480</v>
          </cell>
          <cell r="EF291">
            <v>402</v>
          </cell>
          <cell r="EG291">
            <v>394</v>
          </cell>
          <cell r="EH291">
            <v>404</v>
          </cell>
          <cell r="EI291">
            <v>255</v>
          </cell>
          <cell r="EJ291" t="str">
            <v>ACTIVO</v>
          </cell>
          <cell r="EK291" t="str">
            <v>B</v>
          </cell>
          <cell r="EL291">
            <v>3600</v>
          </cell>
          <cell r="EM291">
            <v>365.04</v>
          </cell>
          <cell r="EN291">
            <v>60.84</v>
          </cell>
          <cell r="EO291">
            <v>96.767148283586366</v>
          </cell>
          <cell r="EP291">
            <v>288</v>
          </cell>
          <cell r="EQ291">
            <v>474048</v>
          </cell>
          <cell r="ER291">
            <v>0.78895463510848118</v>
          </cell>
          <cell r="ES291">
            <v>182.52</v>
          </cell>
        </row>
        <row r="292">
          <cell r="F292">
            <v>353003</v>
          </cell>
          <cell r="G292" t="str">
            <v>Porción vainilla  Semi-Elab UND</v>
          </cell>
          <cell r="H292">
            <v>93</v>
          </cell>
          <cell r="I292">
            <v>111</v>
          </cell>
          <cell r="J292">
            <v>120</v>
          </cell>
          <cell r="K292">
            <v>114</v>
          </cell>
          <cell r="L292">
            <v>60</v>
          </cell>
          <cell r="M292">
            <v>102</v>
          </cell>
          <cell r="N292">
            <v>132</v>
          </cell>
          <cell r="O292">
            <v>78</v>
          </cell>
          <cell r="P292">
            <v>27</v>
          </cell>
          <cell r="Q292">
            <v>27</v>
          </cell>
          <cell r="R292">
            <v>33</v>
          </cell>
          <cell r="S292">
            <v>99</v>
          </cell>
          <cell r="T292"/>
          <cell r="U292">
            <v>36</v>
          </cell>
          <cell r="V292">
            <v>30</v>
          </cell>
          <cell r="W292">
            <v>27</v>
          </cell>
          <cell r="X292">
            <v>30</v>
          </cell>
          <cell r="Y292">
            <v>45</v>
          </cell>
          <cell r="Z292">
            <v>30</v>
          </cell>
          <cell r="AA292">
            <v>30</v>
          </cell>
          <cell r="AB292">
            <v>31</v>
          </cell>
          <cell r="AC292">
            <v>39</v>
          </cell>
          <cell r="AD292">
            <v>21</v>
          </cell>
          <cell r="AE292">
            <v>9</v>
          </cell>
          <cell r="AF292">
            <v>39</v>
          </cell>
          <cell r="AG292">
            <v>39</v>
          </cell>
          <cell r="AH292">
            <v>51</v>
          </cell>
          <cell r="AI292">
            <v>24</v>
          </cell>
          <cell r="AJ292">
            <v>24</v>
          </cell>
          <cell r="AK292">
            <v>33</v>
          </cell>
          <cell r="AL292">
            <v>18</v>
          </cell>
          <cell r="AM292">
            <v>3</v>
          </cell>
          <cell r="AN292">
            <v>36</v>
          </cell>
          <cell r="AO292">
            <v>27</v>
          </cell>
          <cell r="AP292">
            <v>30</v>
          </cell>
          <cell r="AQ292">
            <v>27</v>
          </cell>
          <cell r="AR292">
            <v>27</v>
          </cell>
          <cell r="AS292">
            <v>9</v>
          </cell>
          <cell r="AT292">
            <v>29</v>
          </cell>
          <cell r="AU292">
            <v>36</v>
          </cell>
          <cell r="AV292">
            <v>21</v>
          </cell>
          <cell r="AW292">
            <v>24</v>
          </cell>
          <cell r="AX292">
            <v>21</v>
          </cell>
          <cell r="AY292">
            <v>24</v>
          </cell>
          <cell r="AZ292">
            <v>27</v>
          </cell>
          <cell r="BA292">
            <v>33</v>
          </cell>
          <cell r="BB292">
            <v>30</v>
          </cell>
          <cell r="BC292">
            <v>24</v>
          </cell>
          <cell r="BD292">
            <v>27</v>
          </cell>
          <cell r="BE292">
            <v>30</v>
          </cell>
          <cell r="BF292">
            <v>24</v>
          </cell>
          <cell r="BG292">
            <v>24</v>
          </cell>
          <cell r="BH292">
            <v>15</v>
          </cell>
          <cell r="BI292">
            <v>24</v>
          </cell>
          <cell r="BJ292">
            <v>18</v>
          </cell>
          <cell r="BK292">
            <v>39</v>
          </cell>
          <cell r="BL292">
            <v>30</v>
          </cell>
          <cell r="BM292">
            <v>24</v>
          </cell>
          <cell r="BN292">
            <v>27</v>
          </cell>
          <cell r="BO292">
            <v>15</v>
          </cell>
          <cell r="BP292">
            <v>30</v>
          </cell>
          <cell r="BQ292">
            <v>24</v>
          </cell>
          <cell r="BR292">
            <v>33</v>
          </cell>
          <cell r="BS292">
            <v>30</v>
          </cell>
          <cell r="BT292">
            <v>30</v>
          </cell>
          <cell r="BU292">
            <v>33</v>
          </cell>
          <cell r="BV292">
            <v>27</v>
          </cell>
          <cell r="BW292">
            <v>27</v>
          </cell>
          <cell r="BX292">
            <v>31</v>
          </cell>
          <cell r="BY292">
            <v>39</v>
          </cell>
          <cell r="BZ292">
            <v>30</v>
          </cell>
          <cell r="CA292">
            <v>30</v>
          </cell>
          <cell r="CB292">
            <v>30</v>
          </cell>
          <cell r="CC292">
            <v>33</v>
          </cell>
          <cell r="CD292">
            <v>27</v>
          </cell>
          <cell r="CE292">
            <v>21</v>
          </cell>
          <cell r="CF292">
            <v>24</v>
          </cell>
          <cell r="CG292">
            <v>24</v>
          </cell>
          <cell r="CH292">
            <v>15</v>
          </cell>
          <cell r="CI292">
            <v>33</v>
          </cell>
          <cell r="CJ292">
            <v>54</v>
          </cell>
          <cell r="CK292">
            <v>36</v>
          </cell>
          <cell r="CL292">
            <v>35</v>
          </cell>
          <cell r="CM292">
            <v>21</v>
          </cell>
          <cell r="CN292">
            <v>24</v>
          </cell>
          <cell r="CO292">
            <v>42</v>
          </cell>
          <cell r="CP292">
            <v>15</v>
          </cell>
          <cell r="CQ292">
            <v>18</v>
          </cell>
          <cell r="CR292">
            <v>21</v>
          </cell>
          <cell r="CS292">
            <v>6</v>
          </cell>
          <cell r="CT292">
            <v>24</v>
          </cell>
          <cell r="CU292">
            <v>75</v>
          </cell>
          <cell r="CV292">
            <v>30</v>
          </cell>
          <cell r="CW292">
            <v>31</v>
          </cell>
          <cell r="CX292">
            <v>39</v>
          </cell>
          <cell r="CY292">
            <v>30</v>
          </cell>
          <cell r="CZ292">
            <v>21</v>
          </cell>
          <cell r="DA292">
            <v>27</v>
          </cell>
          <cell r="DB292">
            <v>21</v>
          </cell>
          <cell r="DC292">
            <v>39</v>
          </cell>
          <cell r="DD292">
            <v>24</v>
          </cell>
          <cell r="DE292">
            <v>12</v>
          </cell>
          <cell r="DF292">
            <v>18</v>
          </cell>
          <cell r="DG292">
            <v>24</v>
          </cell>
          <cell r="DH292">
            <v>15</v>
          </cell>
          <cell r="DI292">
            <v>2</v>
          </cell>
          <cell r="DJ292">
            <v>27</v>
          </cell>
          <cell r="DK292">
            <v>24</v>
          </cell>
          <cell r="DL292">
            <v>24</v>
          </cell>
          <cell r="DM292">
            <v>21</v>
          </cell>
          <cell r="DN292">
            <v>30</v>
          </cell>
          <cell r="DO292">
            <v>15</v>
          </cell>
          <cell r="DP292">
            <v>25</v>
          </cell>
          <cell r="DQ292">
            <v>21</v>
          </cell>
          <cell r="DR292">
            <v>30</v>
          </cell>
          <cell r="DS292">
            <v>10</v>
          </cell>
          <cell r="DT292">
            <v>24</v>
          </cell>
          <cell r="DU292">
            <v>22</v>
          </cell>
          <cell r="DV292">
            <v>33</v>
          </cell>
          <cell r="DW292">
            <v>33</v>
          </cell>
          <cell r="DX292">
            <v>30</v>
          </cell>
          <cell r="DY292">
            <v>14</v>
          </cell>
          <cell r="DZ292">
            <v>27</v>
          </cell>
          <cell r="EA292">
            <v>21</v>
          </cell>
          <cell r="EB292">
            <v>33</v>
          </cell>
          <cell r="EC292">
            <v>30</v>
          </cell>
          <cell r="ED292">
            <v>30</v>
          </cell>
          <cell r="EE292">
            <v>42</v>
          </cell>
          <cell r="EF292">
            <v>34</v>
          </cell>
          <cell r="EG292">
            <v>30</v>
          </cell>
          <cell r="EH292">
            <v>25</v>
          </cell>
          <cell r="EI292">
            <v>21</v>
          </cell>
          <cell r="EJ292" t="str">
            <v>ACTIVO</v>
          </cell>
          <cell r="EK292" t="str">
            <v>C</v>
          </cell>
          <cell r="EL292"/>
          <cell r="EM292">
            <v>25.28</v>
          </cell>
          <cell r="EN292">
            <v>4.2133333333333338</v>
          </cell>
          <cell r="EO292">
            <v>10.834585540372096</v>
          </cell>
          <cell r="EP292">
            <v>9</v>
          </cell>
          <cell r="EQ292">
            <v>56782.98</v>
          </cell>
          <cell r="ER292">
            <v>0.35601265822784811</v>
          </cell>
          <cell r="ES292">
            <v>8.4266666666666676</v>
          </cell>
        </row>
        <row r="293">
          <cell r="F293">
            <v>107211</v>
          </cell>
          <cell r="G293" t="str">
            <v>MERENGUITOS PAVESI</v>
          </cell>
          <cell r="H293">
            <v>15</v>
          </cell>
          <cell r="I293">
            <v>92.5</v>
          </cell>
          <cell r="J293">
            <v>20</v>
          </cell>
          <cell r="K293">
            <v>25</v>
          </cell>
          <cell r="L293">
            <v>50</v>
          </cell>
          <cell r="M293">
            <v>70</v>
          </cell>
          <cell r="N293">
            <v>40</v>
          </cell>
          <cell r="O293"/>
          <cell r="P293"/>
          <cell r="Q293">
            <v>15</v>
          </cell>
          <cell r="R293">
            <v>62.5</v>
          </cell>
          <cell r="S293">
            <v>10</v>
          </cell>
          <cell r="T293">
            <v>52.000002000000002</v>
          </cell>
          <cell r="U293">
            <v>30</v>
          </cell>
          <cell r="V293">
            <v>30</v>
          </cell>
          <cell r="W293">
            <v>25</v>
          </cell>
          <cell r="X293">
            <v>55</v>
          </cell>
          <cell r="Y293">
            <v>10</v>
          </cell>
          <cell r="Z293">
            <v>10</v>
          </cell>
          <cell r="AA293">
            <v>25</v>
          </cell>
          <cell r="AB293">
            <v>45</v>
          </cell>
          <cell r="AC293">
            <v>5</v>
          </cell>
          <cell r="AD293">
            <v>35</v>
          </cell>
          <cell r="AE293">
            <v>30</v>
          </cell>
          <cell r="AF293">
            <v>45</v>
          </cell>
          <cell r="AG293">
            <v>27.5</v>
          </cell>
          <cell r="AH293">
            <v>5</v>
          </cell>
          <cell r="AI293">
            <v>5</v>
          </cell>
          <cell r="AJ293">
            <v>15</v>
          </cell>
          <cell r="AK293">
            <v>65</v>
          </cell>
          <cell r="AL293"/>
          <cell r="AM293"/>
          <cell r="AN293">
            <v>50</v>
          </cell>
          <cell r="AO293">
            <v>40</v>
          </cell>
          <cell r="AP293"/>
          <cell r="AQ293"/>
          <cell r="AR293">
            <v>10</v>
          </cell>
          <cell r="AS293">
            <v>10</v>
          </cell>
          <cell r="AT293">
            <v>60</v>
          </cell>
          <cell r="AU293">
            <v>22.5</v>
          </cell>
          <cell r="AV293">
            <v>25</v>
          </cell>
          <cell r="AW293">
            <v>70</v>
          </cell>
          <cell r="AX293">
            <v>100</v>
          </cell>
          <cell r="AY293">
            <v>15</v>
          </cell>
          <cell r="AZ293">
            <v>35</v>
          </cell>
          <cell r="BA293">
            <v>40</v>
          </cell>
          <cell r="BB293">
            <v>85</v>
          </cell>
          <cell r="BC293">
            <v>30</v>
          </cell>
          <cell r="BD293">
            <v>22.5</v>
          </cell>
          <cell r="BE293">
            <v>35</v>
          </cell>
          <cell r="BF293">
            <v>25</v>
          </cell>
          <cell r="BG293">
            <v>20</v>
          </cell>
          <cell r="BH293"/>
          <cell r="BI293">
            <v>40</v>
          </cell>
          <cell r="BJ293">
            <v>37.5</v>
          </cell>
          <cell r="BK293">
            <v>50</v>
          </cell>
          <cell r="BL293">
            <v>40</v>
          </cell>
          <cell r="BM293">
            <v>25</v>
          </cell>
          <cell r="BN293"/>
          <cell r="BO293">
            <v>40</v>
          </cell>
          <cell r="BP293"/>
          <cell r="BQ293">
            <v>35</v>
          </cell>
          <cell r="BR293">
            <v>85</v>
          </cell>
          <cell r="BS293">
            <v>32.5</v>
          </cell>
          <cell r="BT293">
            <v>40</v>
          </cell>
          <cell r="BU293">
            <v>5</v>
          </cell>
          <cell r="BV293">
            <v>40</v>
          </cell>
          <cell r="BW293">
            <v>65</v>
          </cell>
          <cell r="BX293">
            <v>17.5</v>
          </cell>
          <cell r="BY293">
            <v>67.5</v>
          </cell>
          <cell r="BZ293"/>
          <cell r="CA293"/>
          <cell r="CB293">
            <v>40</v>
          </cell>
          <cell r="CC293">
            <v>35</v>
          </cell>
          <cell r="CD293">
            <v>17.5</v>
          </cell>
          <cell r="CE293"/>
          <cell r="CF293"/>
          <cell r="CG293"/>
          <cell r="CH293"/>
          <cell r="CI293">
            <v>7.5</v>
          </cell>
          <cell r="CJ293">
            <v>35</v>
          </cell>
          <cell r="CK293">
            <v>17.5</v>
          </cell>
          <cell r="CL293">
            <v>5</v>
          </cell>
          <cell r="CM293">
            <v>30</v>
          </cell>
          <cell r="CN293">
            <v>35</v>
          </cell>
          <cell r="CO293">
            <v>5</v>
          </cell>
          <cell r="CP293">
            <v>22.5</v>
          </cell>
          <cell r="CQ293">
            <v>37.5</v>
          </cell>
          <cell r="CR293">
            <v>27.5</v>
          </cell>
          <cell r="CS293">
            <v>12.5</v>
          </cell>
          <cell r="CT293">
            <v>22.5</v>
          </cell>
          <cell r="CU293">
            <v>45</v>
          </cell>
          <cell r="CV293">
            <v>55</v>
          </cell>
          <cell r="CW293">
            <v>30</v>
          </cell>
          <cell r="CX293">
            <v>20</v>
          </cell>
          <cell r="CY293">
            <v>35</v>
          </cell>
          <cell r="CZ293">
            <v>42.5</v>
          </cell>
          <cell r="DA293">
            <v>75</v>
          </cell>
          <cell r="DB293">
            <v>15</v>
          </cell>
          <cell r="DC293">
            <v>40</v>
          </cell>
          <cell r="DD293">
            <v>10</v>
          </cell>
          <cell r="DE293">
            <v>60</v>
          </cell>
          <cell r="DF293">
            <v>32.5</v>
          </cell>
          <cell r="DG293">
            <v>15</v>
          </cell>
          <cell r="DH293">
            <v>22.5</v>
          </cell>
          <cell r="DI293"/>
          <cell r="DJ293">
            <v>65</v>
          </cell>
          <cell r="DK293">
            <v>75</v>
          </cell>
          <cell r="DL293">
            <v>75</v>
          </cell>
          <cell r="DM293"/>
          <cell r="DN293"/>
          <cell r="DO293"/>
          <cell r="DP293">
            <v>32.5</v>
          </cell>
          <cell r="DQ293"/>
          <cell r="DR293">
            <v>15</v>
          </cell>
          <cell r="DS293">
            <v>10</v>
          </cell>
          <cell r="DT293">
            <v>25</v>
          </cell>
          <cell r="DU293">
            <v>20</v>
          </cell>
          <cell r="DV293">
            <v>47.5</v>
          </cell>
          <cell r="DW293">
            <v>45</v>
          </cell>
          <cell r="DX293">
            <v>35</v>
          </cell>
          <cell r="DY293">
            <v>77.5</v>
          </cell>
          <cell r="DZ293">
            <v>22.5</v>
          </cell>
          <cell r="EA293"/>
          <cell r="EB293">
            <v>30</v>
          </cell>
          <cell r="EC293">
            <v>15</v>
          </cell>
          <cell r="ED293">
            <v>20</v>
          </cell>
          <cell r="EE293">
            <v>7.5</v>
          </cell>
          <cell r="EF293">
            <v>12.5</v>
          </cell>
          <cell r="EG293"/>
          <cell r="EH293">
            <v>20</v>
          </cell>
          <cell r="EI293">
            <v>25</v>
          </cell>
          <cell r="EJ293" t="str">
            <v>ACTIVO</v>
          </cell>
          <cell r="EK293" t="str">
            <v>B</v>
          </cell>
          <cell r="EL293">
            <v>90</v>
          </cell>
          <cell r="EM293">
            <v>35</v>
          </cell>
          <cell r="EN293">
            <v>5.833333333333333</v>
          </cell>
          <cell r="EO293">
            <v>18.52044110977474</v>
          </cell>
          <cell r="EP293">
            <v>117.5</v>
          </cell>
          <cell r="EQ293">
            <v>1528248.4750000001</v>
          </cell>
          <cell r="ER293">
            <v>3.3571428571428572</v>
          </cell>
          <cell r="ES293">
            <v>17.5</v>
          </cell>
        </row>
        <row r="294">
          <cell r="F294">
            <v>353002</v>
          </cell>
          <cell r="G294" t="str">
            <v>INSUMO SEMI-ELABORADO INTERPLANTA BIZCOCHO CHOCOLATE 19cm</v>
          </cell>
          <cell r="H294">
            <v>9316</v>
          </cell>
          <cell r="I294">
            <v>10234</v>
          </cell>
          <cell r="J294">
            <v>9018</v>
          </cell>
          <cell r="K294">
            <v>11340</v>
          </cell>
          <cell r="L294">
            <v>13230</v>
          </cell>
          <cell r="M294">
            <v>9450</v>
          </cell>
          <cell r="N294">
            <v>11682</v>
          </cell>
          <cell r="O294">
            <v>13770</v>
          </cell>
          <cell r="P294">
            <v>9774</v>
          </cell>
          <cell r="Q294">
            <v>12726</v>
          </cell>
          <cell r="R294">
            <v>12816</v>
          </cell>
          <cell r="S294">
            <v>4770</v>
          </cell>
          <cell r="T294">
            <v>5958</v>
          </cell>
          <cell r="U294">
            <v>13482</v>
          </cell>
          <cell r="V294">
            <v>14832</v>
          </cell>
          <cell r="W294">
            <v>8550</v>
          </cell>
          <cell r="X294">
            <v>11646</v>
          </cell>
          <cell r="Y294">
            <v>8802</v>
          </cell>
          <cell r="Z294">
            <v>6264</v>
          </cell>
          <cell r="AA294">
            <v>11016</v>
          </cell>
          <cell r="AB294">
            <v>13213</v>
          </cell>
          <cell r="AC294">
            <v>11160</v>
          </cell>
          <cell r="AD294">
            <v>16344</v>
          </cell>
          <cell r="AE294">
            <v>8334</v>
          </cell>
          <cell r="AF294">
            <v>11916</v>
          </cell>
          <cell r="AG294">
            <v>12006</v>
          </cell>
          <cell r="AH294">
            <v>11466</v>
          </cell>
          <cell r="AI294">
            <v>12402</v>
          </cell>
          <cell r="AJ294">
            <v>9504</v>
          </cell>
          <cell r="AK294">
            <v>12582</v>
          </cell>
          <cell r="AL294">
            <v>11664</v>
          </cell>
          <cell r="AM294">
            <v>13662</v>
          </cell>
          <cell r="AN294">
            <v>11448</v>
          </cell>
          <cell r="AO294">
            <v>8946</v>
          </cell>
          <cell r="AP294">
            <v>11430</v>
          </cell>
          <cell r="AQ294">
            <v>12529</v>
          </cell>
          <cell r="AR294">
            <v>13086</v>
          </cell>
          <cell r="AS294">
            <v>6767</v>
          </cell>
          <cell r="AT294">
            <v>9504</v>
          </cell>
          <cell r="AU294">
            <v>9972</v>
          </cell>
          <cell r="AV294">
            <v>18000</v>
          </cell>
          <cell r="AW294">
            <v>7056</v>
          </cell>
          <cell r="AX294">
            <v>8568</v>
          </cell>
          <cell r="AY294">
            <v>7002</v>
          </cell>
          <cell r="AZ294">
            <v>18580</v>
          </cell>
          <cell r="BA294">
            <v>11034</v>
          </cell>
          <cell r="BB294">
            <v>12870</v>
          </cell>
          <cell r="BC294">
            <v>14994</v>
          </cell>
          <cell r="BD294">
            <v>6300</v>
          </cell>
          <cell r="BE294">
            <v>6660</v>
          </cell>
          <cell r="BF294">
            <v>13896</v>
          </cell>
          <cell r="BG294">
            <v>12204</v>
          </cell>
          <cell r="BH294">
            <v>5814</v>
          </cell>
          <cell r="BI294">
            <v>2124</v>
          </cell>
          <cell r="BJ294">
            <v>5922</v>
          </cell>
          <cell r="BK294">
            <v>11142</v>
          </cell>
          <cell r="BL294">
            <v>14220</v>
          </cell>
          <cell r="BM294">
            <v>9288</v>
          </cell>
          <cell r="BN294">
            <v>12148</v>
          </cell>
          <cell r="BO294">
            <v>13068</v>
          </cell>
          <cell r="BP294">
            <v>11176</v>
          </cell>
          <cell r="BQ294">
            <v>16638</v>
          </cell>
          <cell r="BR294">
            <v>7182</v>
          </cell>
          <cell r="BS294">
            <v>10404</v>
          </cell>
          <cell r="BT294">
            <v>6858</v>
          </cell>
          <cell r="BU294">
            <v>10806</v>
          </cell>
          <cell r="BV294">
            <v>10860</v>
          </cell>
          <cell r="BW294">
            <v>5922</v>
          </cell>
          <cell r="BX294">
            <v>12564</v>
          </cell>
          <cell r="BY294">
            <v>15480</v>
          </cell>
          <cell r="BZ294">
            <v>10224</v>
          </cell>
          <cell r="CA294">
            <v>21096</v>
          </cell>
          <cell r="CB294">
            <v>9372</v>
          </cell>
          <cell r="CC294">
            <v>12726</v>
          </cell>
          <cell r="CD294">
            <v>19044</v>
          </cell>
          <cell r="CE294">
            <v>4068</v>
          </cell>
          <cell r="CF294">
            <v>8100</v>
          </cell>
          <cell r="CG294">
            <v>15012</v>
          </cell>
          <cell r="CH294">
            <v>20106</v>
          </cell>
          <cell r="CI294">
            <v>11952</v>
          </cell>
          <cell r="CJ294">
            <v>15948</v>
          </cell>
          <cell r="CK294">
            <v>13536</v>
          </cell>
          <cell r="CL294">
            <v>19620</v>
          </cell>
          <cell r="CM294">
            <v>14760</v>
          </cell>
          <cell r="CN294">
            <v>10800</v>
          </cell>
          <cell r="CO294">
            <v>17622</v>
          </cell>
          <cell r="CP294">
            <v>21794</v>
          </cell>
          <cell r="CQ294">
            <v>15496</v>
          </cell>
          <cell r="CR294">
            <v>7542</v>
          </cell>
          <cell r="CS294">
            <v>8172</v>
          </cell>
          <cell r="CT294">
            <v>14634</v>
          </cell>
          <cell r="CU294">
            <v>7866</v>
          </cell>
          <cell r="CV294">
            <v>14994</v>
          </cell>
          <cell r="CW294">
            <v>12654</v>
          </cell>
          <cell r="CX294">
            <v>14922</v>
          </cell>
          <cell r="CY294">
            <v>8082</v>
          </cell>
          <cell r="CZ294">
            <v>22896</v>
          </cell>
          <cell r="DA294">
            <v>3888</v>
          </cell>
          <cell r="DB294">
            <v>14040</v>
          </cell>
          <cell r="DC294">
            <v>6300</v>
          </cell>
          <cell r="DD294">
            <v>10890</v>
          </cell>
          <cell r="DE294">
            <v>8766</v>
          </cell>
          <cell r="DF294">
            <v>11628</v>
          </cell>
          <cell r="DG294">
            <v>5904</v>
          </cell>
          <cell r="DH294">
            <v>6948</v>
          </cell>
          <cell r="DI294">
            <v>1566</v>
          </cell>
          <cell r="DJ294">
            <v>6768</v>
          </cell>
          <cell r="DK294">
            <v>7236</v>
          </cell>
          <cell r="DL294">
            <v>13752</v>
          </cell>
          <cell r="DM294">
            <v>13572</v>
          </cell>
          <cell r="DN294">
            <v>14958</v>
          </cell>
          <cell r="DO294">
            <v>18378</v>
          </cell>
          <cell r="DP294">
            <v>15840</v>
          </cell>
          <cell r="DQ294">
            <v>9270</v>
          </cell>
          <cell r="DR294">
            <v>10800</v>
          </cell>
          <cell r="DS294">
            <v>6480</v>
          </cell>
          <cell r="DT294">
            <v>8874</v>
          </cell>
          <cell r="DU294">
            <v>12996</v>
          </cell>
          <cell r="DV294">
            <v>8838</v>
          </cell>
          <cell r="DW294">
            <v>13464</v>
          </cell>
          <cell r="DX294">
            <v>11088</v>
          </cell>
          <cell r="DY294">
            <v>9864</v>
          </cell>
          <cell r="DZ294">
            <v>20898</v>
          </cell>
          <cell r="EA294">
            <v>2538</v>
          </cell>
          <cell r="EB294">
            <v>13986</v>
          </cell>
          <cell r="EC294">
            <v>16920</v>
          </cell>
          <cell r="ED294">
            <v>14709</v>
          </cell>
          <cell r="EE294">
            <v>13140</v>
          </cell>
          <cell r="EF294">
            <v>14508</v>
          </cell>
          <cell r="EG294">
            <v>11412</v>
          </cell>
          <cell r="EH294">
            <v>14004</v>
          </cell>
          <cell r="EI294">
            <v>12348</v>
          </cell>
          <cell r="EJ294" t="str">
            <v>ACTIVO</v>
          </cell>
          <cell r="EK294" t="str">
            <v>A</v>
          </cell>
          <cell r="EL294">
            <v>540</v>
          </cell>
          <cell r="EM294">
            <v>11674.2</v>
          </cell>
          <cell r="EN294">
            <v>1945.7</v>
          </cell>
          <cell r="EO294">
            <v>4840.5954592984272</v>
          </cell>
          <cell r="EP294">
            <v>1314</v>
          </cell>
          <cell r="EQ294">
            <v>1172469.06</v>
          </cell>
          <cell r="ER294">
            <v>0.11255589248085521</v>
          </cell>
          <cell r="ES294">
            <v>3891.4</v>
          </cell>
        </row>
        <row r="295">
          <cell r="F295">
            <v>393216</v>
          </cell>
          <cell r="G295" t="str">
            <v>INSUMO INTERPLANTA BIZCOCHO CHOCOLATE 17 CMS</v>
          </cell>
          <cell r="H295"/>
          <cell r="I295">
            <v>3792</v>
          </cell>
          <cell r="J295">
            <v>2184</v>
          </cell>
          <cell r="K295">
            <v>4282</v>
          </cell>
          <cell r="L295">
            <v>2160</v>
          </cell>
          <cell r="M295">
            <v>2017</v>
          </cell>
          <cell r="N295">
            <v>3384</v>
          </cell>
          <cell r="O295">
            <v>4005</v>
          </cell>
          <cell r="P295">
            <v>2568</v>
          </cell>
          <cell r="Q295">
            <v>3144</v>
          </cell>
          <cell r="R295">
            <v>672</v>
          </cell>
          <cell r="S295">
            <v>1392</v>
          </cell>
          <cell r="T295">
            <v>2280</v>
          </cell>
          <cell r="U295">
            <v>1870</v>
          </cell>
          <cell r="V295"/>
          <cell r="W295">
            <v>672</v>
          </cell>
          <cell r="X295">
            <v>4464</v>
          </cell>
          <cell r="Y295">
            <v>1848</v>
          </cell>
          <cell r="Z295">
            <v>264</v>
          </cell>
          <cell r="AA295">
            <v>4056</v>
          </cell>
          <cell r="AB295">
            <v>3768</v>
          </cell>
          <cell r="AC295">
            <v>2616</v>
          </cell>
          <cell r="AD295">
            <v>3532</v>
          </cell>
          <cell r="AE295">
            <v>1800</v>
          </cell>
          <cell r="AF295">
            <v>3504</v>
          </cell>
          <cell r="AG295">
            <v>2293</v>
          </cell>
          <cell r="AH295">
            <v>3288</v>
          </cell>
          <cell r="AI295">
            <v>4248</v>
          </cell>
          <cell r="AJ295">
            <v>4056</v>
          </cell>
          <cell r="AK295">
            <v>4608</v>
          </cell>
          <cell r="AL295">
            <v>3169</v>
          </cell>
          <cell r="AM295">
            <v>767</v>
          </cell>
          <cell r="AN295">
            <v>2833</v>
          </cell>
          <cell r="AO295">
            <v>4416</v>
          </cell>
          <cell r="AP295">
            <v>1990</v>
          </cell>
          <cell r="AQ295">
            <v>3546</v>
          </cell>
          <cell r="AR295">
            <v>4368</v>
          </cell>
          <cell r="AS295">
            <v>1056</v>
          </cell>
          <cell r="AT295">
            <v>3192</v>
          </cell>
          <cell r="AU295">
            <v>6133</v>
          </cell>
          <cell r="AV295">
            <v>2915</v>
          </cell>
          <cell r="AW295">
            <v>14520</v>
          </cell>
          <cell r="AX295">
            <v>456</v>
          </cell>
          <cell r="AY295">
            <v>2640</v>
          </cell>
          <cell r="AZ295">
            <v>8640</v>
          </cell>
          <cell r="BA295">
            <v>1632</v>
          </cell>
          <cell r="BB295">
            <v>6240</v>
          </cell>
          <cell r="BC295">
            <v>6240</v>
          </cell>
          <cell r="BD295">
            <v>9360</v>
          </cell>
          <cell r="BE295">
            <v>5816</v>
          </cell>
          <cell r="BF295">
            <v>1800</v>
          </cell>
          <cell r="BG295">
            <v>3435</v>
          </cell>
          <cell r="BH295"/>
          <cell r="BI295">
            <v>1560</v>
          </cell>
          <cell r="BJ295">
            <v>1848</v>
          </cell>
          <cell r="BK295">
            <v>9052</v>
          </cell>
          <cell r="BL295">
            <v>1560</v>
          </cell>
          <cell r="BM295">
            <v>6312</v>
          </cell>
          <cell r="BN295">
            <v>3720</v>
          </cell>
          <cell r="BO295">
            <v>6604</v>
          </cell>
          <cell r="BP295"/>
          <cell r="BQ295">
            <v>2616</v>
          </cell>
          <cell r="BR295">
            <v>11832</v>
          </cell>
          <cell r="BS295">
            <v>8592</v>
          </cell>
          <cell r="BT295">
            <v>6837</v>
          </cell>
          <cell r="BU295"/>
          <cell r="BV295">
            <v>5328</v>
          </cell>
          <cell r="BW295">
            <v>1944</v>
          </cell>
          <cell r="BX295">
            <v>4536</v>
          </cell>
          <cell r="BY295">
            <v>1560</v>
          </cell>
          <cell r="BZ295">
            <v>1560</v>
          </cell>
          <cell r="CA295">
            <v>4584</v>
          </cell>
          <cell r="CB295">
            <v>72</v>
          </cell>
          <cell r="CC295">
            <v>9672</v>
          </cell>
          <cell r="CD295">
            <v>1872</v>
          </cell>
          <cell r="CE295">
            <v>7118</v>
          </cell>
          <cell r="CF295">
            <v>3600</v>
          </cell>
          <cell r="CG295">
            <v>4377</v>
          </cell>
          <cell r="CH295">
            <v>2304</v>
          </cell>
          <cell r="CI295"/>
          <cell r="CJ295">
            <v>3120</v>
          </cell>
          <cell r="CK295">
            <v>3120</v>
          </cell>
          <cell r="CL295">
            <v>1680</v>
          </cell>
          <cell r="CM295">
            <v>5184</v>
          </cell>
          <cell r="CN295">
            <v>6012</v>
          </cell>
          <cell r="CO295">
            <v>9096</v>
          </cell>
          <cell r="CP295">
            <v>7440</v>
          </cell>
          <cell r="CQ295">
            <v>3750</v>
          </cell>
          <cell r="CR295">
            <v>2304</v>
          </cell>
          <cell r="CS295">
            <v>2304</v>
          </cell>
          <cell r="CT295">
            <v>9593</v>
          </cell>
          <cell r="CU295">
            <v>6355</v>
          </cell>
          <cell r="CV295">
            <v>1600</v>
          </cell>
          <cell r="CW295">
            <v>4032</v>
          </cell>
          <cell r="CX295">
            <v>6624</v>
          </cell>
          <cell r="CY295">
            <v>4824</v>
          </cell>
          <cell r="CZ295">
            <v>408</v>
          </cell>
          <cell r="DA295">
            <v>3960</v>
          </cell>
          <cell r="DB295">
            <v>2605</v>
          </cell>
          <cell r="DC295">
            <v>5232</v>
          </cell>
          <cell r="DD295">
            <v>3000</v>
          </cell>
          <cell r="DE295"/>
          <cell r="DF295">
            <v>4032</v>
          </cell>
          <cell r="DG295">
            <v>2788</v>
          </cell>
          <cell r="DH295"/>
          <cell r="DI295"/>
          <cell r="DJ295">
            <v>7704</v>
          </cell>
          <cell r="DK295">
            <v>600</v>
          </cell>
          <cell r="DL295">
            <v>2511</v>
          </cell>
          <cell r="DM295">
            <v>2928</v>
          </cell>
          <cell r="DN295">
            <v>4032</v>
          </cell>
          <cell r="DO295">
            <v>11333</v>
          </cell>
          <cell r="DP295">
            <v>6048</v>
          </cell>
          <cell r="DQ295">
            <v>6048</v>
          </cell>
          <cell r="DR295">
            <v>2640</v>
          </cell>
          <cell r="DS295">
            <v>10128</v>
          </cell>
          <cell r="DT295">
            <v>9951</v>
          </cell>
          <cell r="DU295">
            <v>5478</v>
          </cell>
          <cell r="DV295">
            <v>2760</v>
          </cell>
          <cell r="DW295">
            <v>8132</v>
          </cell>
          <cell r="DX295">
            <v>2328</v>
          </cell>
          <cell r="DY295"/>
          <cell r="DZ295">
            <v>8136</v>
          </cell>
          <cell r="EA295"/>
          <cell r="EB295">
            <v>1809</v>
          </cell>
          <cell r="EC295">
            <v>240</v>
          </cell>
          <cell r="ED295">
            <v>3984</v>
          </cell>
          <cell r="EE295">
            <v>10483</v>
          </cell>
          <cell r="EF295">
            <v>1248</v>
          </cell>
          <cell r="EG295">
            <v>4032</v>
          </cell>
          <cell r="EH295">
            <v>7776</v>
          </cell>
          <cell r="EI295">
            <v>2304</v>
          </cell>
          <cell r="EJ295" t="str">
            <v>ACTIVO</v>
          </cell>
          <cell r="EK295" t="str">
            <v>A</v>
          </cell>
          <cell r="EL295">
            <v>720</v>
          </cell>
          <cell r="EM295">
            <v>5116.045454545455</v>
          </cell>
          <cell r="EN295">
            <v>852.67424242424249</v>
          </cell>
          <cell r="EO295">
            <v>2744.903625287855</v>
          </cell>
          <cell r="EP295">
            <v>2976</v>
          </cell>
          <cell r="EQ295">
            <v>2080610.88</v>
          </cell>
          <cell r="ER295">
            <v>0.58169928833527307</v>
          </cell>
          <cell r="ES295">
            <v>1705.348484848485</v>
          </cell>
        </row>
        <row r="296">
          <cell r="F296">
            <v>393349</v>
          </cell>
          <cell r="G296" t="str">
            <v>Tartaleta mediana semi-elab</v>
          </cell>
          <cell r="H296">
            <v>528</v>
          </cell>
          <cell r="I296">
            <v>1200</v>
          </cell>
          <cell r="J296">
            <v>1200</v>
          </cell>
          <cell r="K296">
            <v>1152</v>
          </cell>
          <cell r="L296">
            <v>1224</v>
          </cell>
          <cell r="M296">
            <v>1608</v>
          </cell>
          <cell r="N296">
            <v>1200</v>
          </cell>
          <cell r="O296">
            <v>1176</v>
          </cell>
          <cell r="P296">
            <v>1176</v>
          </cell>
          <cell r="Q296">
            <v>1176</v>
          </cell>
          <cell r="R296">
            <v>1632</v>
          </cell>
          <cell r="S296">
            <v>552</v>
          </cell>
          <cell r="T296">
            <v>336</v>
          </cell>
          <cell r="U296">
            <v>1842</v>
          </cell>
          <cell r="V296">
            <v>1416</v>
          </cell>
          <cell r="W296">
            <v>1368</v>
          </cell>
          <cell r="X296">
            <v>1200</v>
          </cell>
          <cell r="Y296">
            <v>912</v>
          </cell>
          <cell r="Z296">
            <v>408</v>
          </cell>
          <cell r="AA296">
            <v>1368</v>
          </cell>
          <cell r="AB296">
            <v>1704</v>
          </cell>
          <cell r="AC296">
            <v>1848</v>
          </cell>
          <cell r="AD296">
            <v>1200</v>
          </cell>
          <cell r="AE296">
            <v>384</v>
          </cell>
          <cell r="AF296">
            <v>1608</v>
          </cell>
          <cell r="AG296">
            <v>1896</v>
          </cell>
          <cell r="AH296">
            <v>1968</v>
          </cell>
          <cell r="AI296">
            <v>1368</v>
          </cell>
          <cell r="AJ296">
            <v>1944</v>
          </cell>
          <cell r="AK296">
            <v>1944</v>
          </cell>
          <cell r="AL296">
            <v>1728</v>
          </cell>
          <cell r="AM296">
            <v>1728</v>
          </cell>
          <cell r="AN296">
            <v>1680</v>
          </cell>
          <cell r="AO296">
            <v>1344</v>
          </cell>
          <cell r="AP296">
            <v>1800</v>
          </cell>
          <cell r="AQ296">
            <v>1632</v>
          </cell>
          <cell r="AR296">
            <v>1584</v>
          </cell>
          <cell r="AS296">
            <v>408</v>
          </cell>
          <cell r="AT296">
            <v>1656</v>
          </cell>
          <cell r="AU296">
            <v>1560</v>
          </cell>
          <cell r="AV296">
            <v>1488</v>
          </cell>
          <cell r="AW296">
            <v>1056</v>
          </cell>
          <cell r="AX296">
            <v>1512</v>
          </cell>
          <cell r="AY296">
            <v>1128</v>
          </cell>
          <cell r="AZ296">
            <v>1680</v>
          </cell>
          <cell r="BA296">
            <v>2472</v>
          </cell>
          <cell r="BB296">
            <v>2176</v>
          </cell>
          <cell r="BC296">
            <v>1897</v>
          </cell>
          <cell r="BD296">
            <v>2111</v>
          </cell>
          <cell r="BE296">
            <v>1944</v>
          </cell>
          <cell r="BF296">
            <v>2100</v>
          </cell>
          <cell r="BG296">
            <v>1224</v>
          </cell>
          <cell r="BH296">
            <v>792</v>
          </cell>
          <cell r="BI296">
            <v>803</v>
          </cell>
          <cell r="BJ296">
            <v>1320</v>
          </cell>
          <cell r="BK296">
            <v>3408</v>
          </cell>
          <cell r="BL296">
            <v>1944</v>
          </cell>
          <cell r="BM296">
            <v>3072</v>
          </cell>
          <cell r="BN296">
            <v>2064</v>
          </cell>
          <cell r="BO296">
            <v>1296</v>
          </cell>
          <cell r="BP296">
            <v>1584</v>
          </cell>
          <cell r="BQ296">
            <v>528</v>
          </cell>
          <cell r="BR296">
            <v>2376</v>
          </cell>
          <cell r="BS296">
            <v>1968</v>
          </cell>
          <cell r="BT296">
            <v>2208</v>
          </cell>
          <cell r="BU296">
            <v>2088</v>
          </cell>
          <cell r="BV296">
            <v>1440</v>
          </cell>
          <cell r="BW296">
            <v>3216</v>
          </cell>
          <cell r="BX296">
            <v>1872</v>
          </cell>
          <cell r="BY296">
            <v>1392</v>
          </cell>
          <cell r="BZ296">
            <v>192</v>
          </cell>
          <cell r="CA296">
            <v>2016</v>
          </cell>
          <cell r="CB296">
            <v>1992</v>
          </cell>
          <cell r="CC296">
            <v>2304</v>
          </cell>
          <cell r="CD296">
            <v>1848</v>
          </cell>
          <cell r="CE296">
            <v>2520</v>
          </cell>
          <cell r="CF296">
            <v>1920</v>
          </cell>
          <cell r="CG296">
            <v>2028</v>
          </cell>
          <cell r="CH296">
            <v>1968</v>
          </cell>
          <cell r="CI296">
            <v>2256</v>
          </cell>
          <cell r="CJ296">
            <v>2976</v>
          </cell>
          <cell r="CK296">
            <v>1776</v>
          </cell>
          <cell r="CL296">
            <v>984</v>
          </cell>
          <cell r="CM296">
            <v>1536</v>
          </cell>
          <cell r="CN296">
            <v>2857</v>
          </cell>
          <cell r="CO296">
            <v>2376</v>
          </cell>
          <cell r="CP296">
            <v>3408</v>
          </cell>
          <cell r="CQ296">
            <v>1944</v>
          </cell>
          <cell r="CR296">
            <v>2160</v>
          </cell>
          <cell r="CS296">
            <v>672</v>
          </cell>
          <cell r="CT296">
            <v>1775</v>
          </cell>
          <cell r="CU296">
            <v>792</v>
          </cell>
          <cell r="CV296">
            <v>1248</v>
          </cell>
          <cell r="CW296">
            <v>1104</v>
          </cell>
          <cell r="CX296">
            <v>1152</v>
          </cell>
          <cell r="CY296">
            <v>1272</v>
          </cell>
          <cell r="CZ296">
            <v>1080</v>
          </cell>
          <cell r="DA296">
            <v>1080</v>
          </cell>
          <cell r="DB296">
            <v>864</v>
          </cell>
          <cell r="DC296">
            <v>1272</v>
          </cell>
          <cell r="DD296">
            <v>1056</v>
          </cell>
          <cell r="DE296">
            <v>912</v>
          </cell>
          <cell r="DF296">
            <v>1224</v>
          </cell>
          <cell r="DG296">
            <v>960</v>
          </cell>
          <cell r="DH296">
            <v>624</v>
          </cell>
          <cell r="DI296">
            <v>240</v>
          </cell>
          <cell r="DJ296">
            <v>3000</v>
          </cell>
          <cell r="DK296">
            <v>1008</v>
          </cell>
          <cell r="DL296">
            <v>1104</v>
          </cell>
          <cell r="DM296">
            <v>1320</v>
          </cell>
          <cell r="DN296">
            <v>960</v>
          </cell>
          <cell r="DO296">
            <v>984</v>
          </cell>
          <cell r="DP296">
            <v>1032</v>
          </cell>
          <cell r="DQ296">
            <v>1056</v>
          </cell>
          <cell r="DR296">
            <v>984</v>
          </cell>
          <cell r="DS296">
            <v>1728</v>
          </cell>
          <cell r="DT296">
            <v>1008</v>
          </cell>
          <cell r="DU296">
            <v>1392</v>
          </cell>
          <cell r="DV296">
            <v>1392</v>
          </cell>
          <cell r="DW296">
            <v>1032</v>
          </cell>
          <cell r="DX296">
            <v>1296</v>
          </cell>
          <cell r="DY296">
            <v>1872</v>
          </cell>
          <cell r="DZ296">
            <v>1488</v>
          </cell>
          <cell r="EA296">
            <v>1512</v>
          </cell>
          <cell r="EB296">
            <v>2160</v>
          </cell>
          <cell r="EC296">
            <v>2184</v>
          </cell>
          <cell r="ED296">
            <v>1920</v>
          </cell>
          <cell r="EE296">
            <v>1872</v>
          </cell>
          <cell r="EF296">
            <v>1536</v>
          </cell>
          <cell r="EG296">
            <v>1584</v>
          </cell>
          <cell r="EH296">
            <v>1536</v>
          </cell>
          <cell r="EI296">
            <v>1032</v>
          </cell>
          <cell r="EJ296" t="str">
            <v>ACTIVO</v>
          </cell>
          <cell r="EK296" t="str">
            <v>B</v>
          </cell>
          <cell r="EL296">
            <v>720</v>
          </cell>
          <cell r="EM296">
            <v>1426.56</v>
          </cell>
          <cell r="EN296">
            <v>237.76</v>
          </cell>
          <cell r="EO296">
            <v>765.83189966768896</v>
          </cell>
          <cell r="EP296">
            <v>2040</v>
          </cell>
          <cell r="EQ296">
            <v>806044.8</v>
          </cell>
          <cell r="ER296">
            <v>1.430013458950202</v>
          </cell>
          <cell r="ES296">
            <v>475.52</v>
          </cell>
        </row>
        <row r="297">
          <cell r="F297">
            <v>403268</v>
          </cell>
          <cell r="G297" t="str">
            <v>INSUMO DISCO PANQUEQUE CHOCOLATE 18 CM.</v>
          </cell>
          <cell r="H297">
            <v>1584</v>
          </cell>
          <cell r="I297"/>
          <cell r="J297"/>
          <cell r="K297"/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>
            <v>4968</v>
          </cell>
          <cell r="X297">
            <v>8136</v>
          </cell>
          <cell r="Y297">
            <v>5328</v>
          </cell>
          <cell r="Z297">
            <v>1584</v>
          </cell>
          <cell r="AA297">
            <v>4320</v>
          </cell>
          <cell r="AB297">
            <v>6192</v>
          </cell>
          <cell r="AC297">
            <v>5688</v>
          </cell>
          <cell r="AD297">
            <v>4896</v>
          </cell>
          <cell r="AE297">
            <v>5616</v>
          </cell>
          <cell r="AF297">
            <v>6048</v>
          </cell>
          <cell r="AG297">
            <v>6264</v>
          </cell>
          <cell r="AH297">
            <v>7200</v>
          </cell>
          <cell r="AI297">
            <v>6912</v>
          </cell>
          <cell r="AJ297">
            <v>7128</v>
          </cell>
          <cell r="AK297">
            <v>7056</v>
          </cell>
          <cell r="AL297">
            <v>5832</v>
          </cell>
          <cell r="AM297">
            <v>5832</v>
          </cell>
          <cell r="AN297">
            <v>6768</v>
          </cell>
          <cell r="AO297">
            <v>5256</v>
          </cell>
          <cell r="AP297">
            <v>6336</v>
          </cell>
          <cell r="AQ297">
            <v>6696</v>
          </cell>
          <cell r="AR297">
            <v>5616</v>
          </cell>
          <cell r="AS297">
            <v>3816</v>
          </cell>
          <cell r="AT297">
            <v>3600</v>
          </cell>
          <cell r="AU297">
            <v>4680</v>
          </cell>
          <cell r="AV297">
            <v>5184</v>
          </cell>
          <cell r="AW297">
            <v>1800</v>
          </cell>
          <cell r="AX297">
            <v>4896</v>
          </cell>
          <cell r="AY297">
            <v>3068</v>
          </cell>
          <cell r="AZ297">
            <v>5472</v>
          </cell>
          <cell r="BA297">
            <v>3960</v>
          </cell>
          <cell r="BB297">
            <v>4536</v>
          </cell>
          <cell r="BC297">
            <v>3024</v>
          </cell>
          <cell r="BD297">
            <v>6686</v>
          </cell>
          <cell r="BE297">
            <v>7416</v>
          </cell>
          <cell r="BF297">
            <v>14832</v>
          </cell>
          <cell r="BG297">
            <v>1802</v>
          </cell>
          <cell r="BH297">
            <v>3240</v>
          </cell>
          <cell r="BI297">
            <v>7200</v>
          </cell>
          <cell r="BJ297">
            <v>2592</v>
          </cell>
          <cell r="BK297">
            <v>5976</v>
          </cell>
          <cell r="BL297">
            <v>12528</v>
          </cell>
          <cell r="BM297">
            <v>7344</v>
          </cell>
          <cell r="BN297">
            <v>7777</v>
          </cell>
          <cell r="BO297">
            <v>2691</v>
          </cell>
          <cell r="BP297">
            <v>7848</v>
          </cell>
          <cell r="BQ297">
            <v>9792</v>
          </cell>
          <cell r="BR297">
            <v>9288</v>
          </cell>
          <cell r="BS297">
            <v>7560</v>
          </cell>
          <cell r="BT297">
            <v>6192</v>
          </cell>
          <cell r="BU297">
            <v>10629</v>
          </cell>
          <cell r="BV297">
            <v>27928</v>
          </cell>
          <cell r="BW297">
            <v>6480</v>
          </cell>
          <cell r="BX297">
            <v>11448</v>
          </cell>
          <cell r="BY297">
            <v>7848</v>
          </cell>
          <cell r="BZ297">
            <v>2088</v>
          </cell>
          <cell r="CA297">
            <v>5586</v>
          </cell>
          <cell r="CB297">
            <v>5760</v>
          </cell>
          <cell r="CC297">
            <v>9504</v>
          </cell>
          <cell r="CD297">
            <v>9612</v>
          </cell>
          <cell r="CE297">
            <v>7200</v>
          </cell>
          <cell r="CF297">
            <v>7448</v>
          </cell>
          <cell r="CG297">
            <v>36000</v>
          </cell>
          <cell r="CH297">
            <v>3888</v>
          </cell>
          <cell r="CI297">
            <v>6408</v>
          </cell>
          <cell r="CJ297">
            <v>7992</v>
          </cell>
          <cell r="CK297">
            <v>7344</v>
          </cell>
          <cell r="CL297">
            <v>8784</v>
          </cell>
          <cell r="CM297">
            <v>10512</v>
          </cell>
          <cell r="CN297">
            <v>16560</v>
          </cell>
          <cell r="CO297">
            <v>19219</v>
          </cell>
          <cell r="CP297">
            <v>13712</v>
          </cell>
          <cell r="CQ297"/>
          <cell r="CR297">
            <v>2952</v>
          </cell>
          <cell r="CS297">
            <v>9432</v>
          </cell>
          <cell r="CT297">
            <v>15552</v>
          </cell>
          <cell r="CU297">
            <v>5400</v>
          </cell>
          <cell r="CV297">
            <v>9760</v>
          </cell>
          <cell r="CW297">
            <v>4392</v>
          </cell>
          <cell r="CX297">
            <v>8064</v>
          </cell>
          <cell r="CY297">
            <v>7128</v>
          </cell>
          <cell r="CZ297">
            <v>8280</v>
          </cell>
          <cell r="DA297">
            <v>10296</v>
          </cell>
          <cell r="DB297">
            <v>11088</v>
          </cell>
          <cell r="DC297">
            <v>12168</v>
          </cell>
          <cell r="DD297">
            <v>24120</v>
          </cell>
          <cell r="DE297">
            <v>6368</v>
          </cell>
          <cell r="DF297">
            <v>2664</v>
          </cell>
          <cell r="DG297">
            <v>1296</v>
          </cell>
          <cell r="DH297"/>
          <cell r="DI297"/>
          <cell r="DJ297"/>
          <cell r="DK297"/>
          <cell r="DL297">
            <v>5256</v>
          </cell>
          <cell r="DM297"/>
          <cell r="DN297"/>
          <cell r="DO297"/>
          <cell r="DP297">
            <v>1944</v>
          </cell>
          <cell r="DQ297">
            <v>4536</v>
          </cell>
          <cell r="DR297">
            <v>3888</v>
          </cell>
          <cell r="DS297">
            <v>3960</v>
          </cell>
          <cell r="DT297">
            <v>7848</v>
          </cell>
          <cell r="DU297">
            <v>7488</v>
          </cell>
          <cell r="DV297">
            <v>1944</v>
          </cell>
          <cell r="DW297">
            <v>8148</v>
          </cell>
          <cell r="DX297">
            <v>11808</v>
          </cell>
          <cell r="DY297">
            <v>8928</v>
          </cell>
          <cell r="DZ297">
            <v>5832</v>
          </cell>
          <cell r="EA297"/>
          <cell r="EB297">
            <v>7776</v>
          </cell>
          <cell r="EC297">
            <v>6336</v>
          </cell>
          <cell r="ED297">
            <v>11362</v>
          </cell>
          <cell r="EE297">
            <v>11664</v>
          </cell>
          <cell r="EF297">
            <v>15544</v>
          </cell>
          <cell r="EG297">
            <v>1872</v>
          </cell>
          <cell r="EH297">
            <v>6480</v>
          </cell>
          <cell r="EI297">
            <v>4176</v>
          </cell>
          <cell r="EJ297" t="str">
            <v>ACTIVO</v>
          </cell>
          <cell r="EK297" t="str">
            <v>B</v>
          </cell>
          <cell r="EL297">
            <v>2160</v>
          </cell>
          <cell r="EM297">
            <v>7007.4444444444443</v>
          </cell>
          <cell r="EN297">
            <v>1167.9074074074074</v>
          </cell>
          <cell r="EO297">
            <v>6364.4603285530411</v>
          </cell>
          <cell r="EP297">
            <v>19728</v>
          </cell>
          <cell r="EQ297">
            <v>3645537.12</v>
          </cell>
          <cell r="ER297">
            <v>2.8152916739340701</v>
          </cell>
          <cell r="ES297">
            <v>2335.8148148148148</v>
          </cell>
        </row>
        <row r="298">
          <cell r="F298">
            <v>393215</v>
          </cell>
          <cell r="G298" t="str">
            <v>INSUMO INTERPLANTA BIZCOCHO BLANCO 17 CM</v>
          </cell>
          <cell r="H298">
            <v>1632</v>
          </cell>
          <cell r="I298">
            <v>5424</v>
          </cell>
          <cell r="J298">
            <v>5208</v>
          </cell>
          <cell r="K298">
            <v>6288</v>
          </cell>
          <cell r="L298">
            <v>3072</v>
          </cell>
          <cell r="M298">
            <v>5736</v>
          </cell>
          <cell r="N298">
            <v>5976</v>
          </cell>
          <cell r="O298">
            <v>5208</v>
          </cell>
          <cell r="P298">
            <v>3552</v>
          </cell>
          <cell r="Q298">
            <v>3312</v>
          </cell>
          <cell r="R298">
            <v>3192</v>
          </cell>
          <cell r="S298">
            <v>2040</v>
          </cell>
          <cell r="T298">
            <v>1152</v>
          </cell>
          <cell r="U298">
            <v>4800</v>
          </cell>
          <cell r="V298">
            <v>1440</v>
          </cell>
          <cell r="W298">
            <v>4800</v>
          </cell>
          <cell r="X298">
            <v>2592</v>
          </cell>
          <cell r="Y298">
            <v>4034</v>
          </cell>
          <cell r="Z298">
            <v>1320</v>
          </cell>
          <cell r="AA298">
            <v>2376</v>
          </cell>
          <cell r="AB298">
            <v>5184</v>
          </cell>
          <cell r="AC298">
            <v>6072</v>
          </cell>
          <cell r="AD298">
            <v>5579</v>
          </cell>
          <cell r="AE298">
            <v>888</v>
          </cell>
          <cell r="AF298">
            <v>4164</v>
          </cell>
          <cell r="AG298">
            <v>4752</v>
          </cell>
          <cell r="AH298">
            <v>3552</v>
          </cell>
          <cell r="AI298">
            <v>3096</v>
          </cell>
          <cell r="AJ298">
            <v>4440</v>
          </cell>
          <cell r="AK298">
            <v>5520</v>
          </cell>
          <cell r="AL298">
            <v>6744</v>
          </cell>
          <cell r="AM298">
            <v>1704</v>
          </cell>
          <cell r="AN298">
            <v>3048</v>
          </cell>
          <cell r="AO298">
            <v>5472</v>
          </cell>
          <cell r="AP298">
            <v>4032</v>
          </cell>
          <cell r="AQ298">
            <v>5544</v>
          </cell>
          <cell r="AR298">
            <v>5592</v>
          </cell>
          <cell r="AS298">
            <v>1080</v>
          </cell>
          <cell r="AT298">
            <v>2400</v>
          </cell>
          <cell r="AU298">
            <v>2485</v>
          </cell>
          <cell r="AV298">
            <v>2819</v>
          </cell>
          <cell r="AW298">
            <v>3364</v>
          </cell>
          <cell r="AX298">
            <v>11162</v>
          </cell>
          <cell r="AY298">
            <v>3168</v>
          </cell>
          <cell r="AZ298">
            <v>936</v>
          </cell>
          <cell r="BA298">
            <v>7008</v>
          </cell>
          <cell r="BB298">
            <v>3912</v>
          </cell>
          <cell r="BC298">
            <v>864</v>
          </cell>
          <cell r="BD298">
            <v>1224</v>
          </cell>
          <cell r="BE298">
            <v>3245</v>
          </cell>
          <cell r="BF298">
            <v>3936</v>
          </cell>
          <cell r="BG298">
            <v>984</v>
          </cell>
          <cell r="BH298">
            <v>1224</v>
          </cell>
          <cell r="BI298">
            <v>1536</v>
          </cell>
          <cell r="BJ298">
            <v>5856</v>
          </cell>
          <cell r="BK298">
            <v>3528</v>
          </cell>
          <cell r="BL298">
            <v>6272</v>
          </cell>
          <cell r="BM298">
            <v>2208</v>
          </cell>
          <cell r="BN298">
            <v>4464</v>
          </cell>
          <cell r="BO298">
            <v>7680</v>
          </cell>
          <cell r="BP298">
            <v>2688</v>
          </cell>
          <cell r="BQ298">
            <v>1224</v>
          </cell>
          <cell r="BR298">
            <v>7104</v>
          </cell>
          <cell r="BS298">
            <v>3909</v>
          </cell>
          <cell r="BT298">
            <v>6432</v>
          </cell>
          <cell r="BU298">
            <v>3840</v>
          </cell>
          <cell r="BV298">
            <v>912</v>
          </cell>
          <cell r="BW298">
            <v>2400</v>
          </cell>
          <cell r="BX298">
            <v>5766</v>
          </cell>
          <cell r="BY298">
            <v>1992</v>
          </cell>
          <cell r="BZ298">
            <v>1896</v>
          </cell>
          <cell r="CA298">
            <v>1656</v>
          </cell>
          <cell r="CB298">
            <v>4920</v>
          </cell>
          <cell r="CC298">
            <v>3192</v>
          </cell>
          <cell r="CD298">
            <v>3264</v>
          </cell>
          <cell r="CE298">
            <v>4104</v>
          </cell>
          <cell r="CF298">
            <v>2976</v>
          </cell>
          <cell r="CG298">
            <v>2496</v>
          </cell>
          <cell r="CH298">
            <v>4464</v>
          </cell>
          <cell r="CI298">
            <v>7560</v>
          </cell>
          <cell r="CJ298">
            <v>2712</v>
          </cell>
          <cell r="CK298">
            <v>3696</v>
          </cell>
          <cell r="CL298">
            <v>2616</v>
          </cell>
          <cell r="CM298">
            <v>2596</v>
          </cell>
          <cell r="CN298">
            <v>5738</v>
          </cell>
          <cell r="CO298">
            <v>2064</v>
          </cell>
          <cell r="CP298">
            <v>7200</v>
          </cell>
          <cell r="CQ298"/>
          <cell r="CR298">
            <v>6288</v>
          </cell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K298"/>
          <cell r="DL298"/>
          <cell r="DM298"/>
          <cell r="DN298"/>
          <cell r="DO298"/>
          <cell r="DP298"/>
          <cell r="DQ298"/>
          <cell r="DR298"/>
          <cell r="DS298"/>
          <cell r="DT298"/>
          <cell r="DU298"/>
          <cell r="DV298"/>
          <cell r="DW298"/>
          <cell r="DX298"/>
          <cell r="DY298"/>
          <cell r="DZ298"/>
          <cell r="EA298"/>
          <cell r="EB298"/>
          <cell r="EC298"/>
          <cell r="ED298"/>
          <cell r="EE298"/>
          <cell r="EF298"/>
          <cell r="EG298"/>
          <cell r="EH298"/>
          <cell r="EI298"/>
          <cell r="EJ298" t="str">
            <v>ACTIVO</v>
          </cell>
          <cell r="EK298" t="str">
            <v>A</v>
          </cell>
          <cell r="EL298">
            <v>720</v>
          </cell>
          <cell r="EM298">
            <v>0</v>
          </cell>
          <cell r="EN298">
            <v>0</v>
          </cell>
          <cell r="EO298">
            <v>1993.1233563159265</v>
          </cell>
          <cell r="EP298">
            <v>0</v>
          </cell>
          <cell r="EQ298">
            <v>0</v>
          </cell>
          <cell r="ER298">
            <v>0</v>
          </cell>
          <cell r="ES298">
            <v>0</v>
          </cell>
        </row>
        <row r="299">
          <cell r="F299">
            <v>393427</v>
          </cell>
          <cell r="G299" t="str">
            <v>TARTALETA FAMILIAR RECETA TRADICIONAL</v>
          </cell>
          <cell r="H299">
            <v>1392</v>
          </cell>
          <cell r="I299"/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>
            <v>504</v>
          </cell>
          <cell r="AC299">
            <v>720</v>
          </cell>
          <cell r="AD299">
            <v>1584</v>
          </cell>
          <cell r="AE299">
            <v>4032</v>
          </cell>
          <cell r="AF299">
            <v>4128</v>
          </cell>
          <cell r="AG299">
            <v>3615</v>
          </cell>
          <cell r="AH299">
            <v>5088</v>
          </cell>
          <cell r="AI299">
            <v>5400</v>
          </cell>
          <cell r="AJ299">
            <v>5640</v>
          </cell>
          <cell r="AK299">
            <v>6744</v>
          </cell>
          <cell r="AL299">
            <v>5712</v>
          </cell>
          <cell r="AM299">
            <v>6984</v>
          </cell>
          <cell r="AN299">
            <v>4696</v>
          </cell>
          <cell r="AO299">
            <v>7048</v>
          </cell>
          <cell r="AP299">
            <v>5976</v>
          </cell>
          <cell r="AQ299">
            <v>6816</v>
          </cell>
          <cell r="AR299">
            <v>5112</v>
          </cell>
          <cell r="AS299">
            <v>3960</v>
          </cell>
          <cell r="AT299">
            <v>6576</v>
          </cell>
          <cell r="AU299">
            <v>3842</v>
          </cell>
          <cell r="AV299">
            <v>6456</v>
          </cell>
          <cell r="AW299">
            <v>5402</v>
          </cell>
          <cell r="AX299">
            <v>6864</v>
          </cell>
          <cell r="AY299">
            <v>7392</v>
          </cell>
          <cell r="AZ299">
            <v>7392</v>
          </cell>
          <cell r="BA299">
            <v>6816</v>
          </cell>
          <cell r="BB299">
            <v>5640</v>
          </cell>
          <cell r="BC299">
            <v>5065.0000010000003</v>
          </cell>
          <cell r="BD299">
            <v>6168</v>
          </cell>
          <cell r="BE299">
            <v>6310.9999989999997</v>
          </cell>
          <cell r="BF299">
            <v>6036</v>
          </cell>
          <cell r="BG299">
            <v>5544</v>
          </cell>
          <cell r="BH299">
            <v>216</v>
          </cell>
          <cell r="BI299">
            <v>888</v>
          </cell>
          <cell r="BJ299">
            <v>2232</v>
          </cell>
          <cell r="BK299">
            <v>5424</v>
          </cell>
          <cell r="BL299">
            <v>4944</v>
          </cell>
          <cell r="BM299">
            <v>5016</v>
          </cell>
          <cell r="BN299">
            <v>2880</v>
          </cell>
          <cell r="BO299">
            <v>4488</v>
          </cell>
          <cell r="BP299">
            <v>4008</v>
          </cell>
          <cell r="BQ299">
            <v>3168</v>
          </cell>
          <cell r="BR299">
            <v>6576</v>
          </cell>
          <cell r="BS299">
            <v>3597</v>
          </cell>
          <cell r="BT299">
            <v>5568</v>
          </cell>
          <cell r="BU299">
            <v>3912</v>
          </cell>
          <cell r="BV299">
            <v>3600</v>
          </cell>
          <cell r="BW299">
            <v>4600</v>
          </cell>
          <cell r="BX299">
            <v>3880</v>
          </cell>
          <cell r="BY299">
            <v>4488</v>
          </cell>
          <cell r="BZ299">
            <v>7512</v>
          </cell>
          <cell r="CA299">
            <v>3984</v>
          </cell>
          <cell r="CB299">
            <v>4056</v>
          </cell>
          <cell r="CC299">
            <v>4269</v>
          </cell>
          <cell r="CD299">
            <v>3237</v>
          </cell>
          <cell r="CE299">
            <v>6744</v>
          </cell>
          <cell r="CF299">
            <v>3288</v>
          </cell>
          <cell r="CG299">
            <v>4008</v>
          </cell>
          <cell r="CH299">
            <v>3144</v>
          </cell>
          <cell r="CI299">
            <v>4800</v>
          </cell>
          <cell r="CJ299">
            <v>5256</v>
          </cell>
          <cell r="CK299">
            <v>2536</v>
          </cell>
          <cell r="CL299">
            <v>6219</v>
          </cell>
          <cell r="CM299">
            <v>5565</v>
          </cell>
          <cell r="CN299">
            <v>8688</v>
          </cell>
          <cell r="CO299">
            <v>4848</v>
          </cell>
          <cell r="CP299">
            <v>9696</v>
          </cell>
          <cell r="CQ299">
            <v>5088</v>
          </cell>
          <cell r="CR299">
            <v>5498</v>
          </cell>
          <cell r="CS299">
            <v>1272</v>
          </cell>
          <cell r="CT299">
            <v>4502</v>
          </cell>
          <cell r="CU299">
            <v>2160</v>
          </cell>
          <cell r="CV299">
            <v>4669</v>
          </cell>
          <cell r="CW299">
            <v>4178</v>
          </cell>
          <cell r="CX299">
            <v>2138</v>
          </cell>
          <cell r="CY299">
            <v>4968</v>
          </cell>
          <cell r="CZ299">
            <v>5160</v>
          </cell>
          <cell r="DA299">
            <v>5160</v>
          </cell>
          <cell r="DB299">
            <v>4416</v>
          </cell>
          <cell r="DC299">
            <v>5784</v>
          </cell>
          <cell r="DD299">
            <v>2920</v>
          </cell>
          <cell r="DE299">
            <v>1296</v>
          </cell>
          <cell r="DF299">
            <v>4056</v>
          </cell>
          <cell r="DG299">
            <v>4896</v>
          </cell>
          <cell r="DH299">
            <v>1387</v>
          </cell>
          <cell r="DI299">
            <v>648</v>
          </cell>
          <cell r="DJ299">
            <v>3096</v>
          </cell>
          <cell r="DK299">
            <v>3840</v>
          </cell>
          <cell r="DL299">
            <v>3960</v>
          </cell>
          <cell r="DM299">
            <v>4728</v>
          </cell>
          <cell r="DN299">
            <v>3816</v>
          </cell>
          <cell r="DO299">
            <v>4152</v>
          </cell>
          <cell r="DP299">
            <v>3600</v>
          </cell>
          <cell r="DQ299">
            <v>3720</v>
          </cell>
          <cell r="DR299">
            <v>3192</v>
          </cell>
          <cell r="DS299">
            <v>4302</v>
          </cell>
          <cell r="DT299">
            <v>4536</v>
          </cell>
          <cell r="DU299">
            <v>3690</v>
          </cell>
          <cell r="DV299">
            <v>4680</v>
          </cell>
          <cell r="DW299">
            <v>2544</v>
          </cell>
          <cell r="DX299">
            <v>3357</v>
          </cell>
          <cell r="DY299">
            <v>3768</v>
          </cell>
          <cell r="DZ299">
            <v>6264</v>
          </cell>
          <cell r="EA299">
            <v>3504</v>
          </cell>
          <cell r="EB299">
            <v>2520</v>
          </cell>
          <cell r="EC299">
            <v>3456</v>
          </cell>
          <cell r="ED299">
            <v>1900</v>
          </cell>
          <cell r="EE299">
            <v>2352</v>
          </cell>
          <cell r="EF299">
            <v>3772</v>
          </cell>
          <cell r="EG299">
            <v>5360</v>
          </cell>
          <cell r="EH299">
            <v>3006</v>
          </cell>
          <cell r="EI299">
            <v>3264</v>
          </cell>
          <cell r="EJ299" t="str">
            <v>ACTIVO</v>
          </cell>
          <cell r="EK299" t="str">
            <v>A</v>
          </cell>
          <cell r="EL299"/>
          <cell r="EM299">
            <v>3630.28</v>
          </cell>
          <cell r="EN299">
            <v>605.04666666666674</v>
          </cell>
          <cell r="EO299">
            <v>1804.4194256645351</v>
          </cell>
          <cell r="EP299">
            <v>1632</v>
          </cell>
          <cell r="EQ299">
            <v>870002.88</v>
          </cell>
          <cell r="ER299">
            <v>0.44955210066441154</v>
          </cell>
          <cell r="ES299">
            <v>1210.0933333333335</v>
          </cell>
        </row>
        <row r="300">
          <cell r="F300">
            <v>353004</v>
          </cell>
          <cell r="G300" t="str">
            <v>Porción Chocolate  Semi-Elab UND</v>
          </cell>
          <cell r="H300">
            <v>96</v>
          </cell>
          <cell r="I300">
            <v>96</v>
          </cell>
          <cell r="J300">
            <v>114</v>
          </cell>
          <cell r="K300">
            <v>117</v>
          </cell>
          <cell r="L300">
            <v>72</v>
          </cell>
          <cell r="M300">
            <v>66</v>
          </cell>
          <cell r="N300">
            <v>51</v>
          </cell>
          <cell r="O300">
            <v>51</v>
          </cell>
          <cell r="P300">
            <v>54</v>
          </cell>
          <cell r="Q300">
            <v>141</v>
          </cell>
          <cell r="R300">
            <v>7</v>
          </cell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K300"/>
          <cell r="DL300"/>
          <cell r="DM300"/>
          <cell r="DN300"/>
          <cell r="DO300"/>
          <cell r="DP300"/>
          <cell r="DQ300"/>
          <cell r="DR300"/>
          <cell r="DS300"/>
          <cell r="DT300"/>
          <cell r="DU300"/>
          <cell r="DV300"/>
          <cell r="DW300"/>
          <cell r="DX300"/>
          <cell r="DY300"/>
          <cell r="DZ300"/>
          <cell r="EA300"/>
          <cell r="EB300"/>
          <cell r="EC300"/>
          <cell r="ED300"/>
          <cell r="EE300"/>
          <cell r="EF300"/>
          <cell r="EG300"/>
          <cell r="EH300"/>
          <cell r="EI300"/>
          <cell r="EJ300" t="str">
            <v>ACTIVO</v>
          </cell>
          <cell r="EK300" t="str">
            <v/>
          </cell>
          <cell r="EL300" t="str">
            <v/>
          </cell>
          <cell r="EM300">
            <v>0</v>
          </cell>
          <cell r="EN300">
            <v>0</v>
          </cell>
          <cell r="EO300">
            <v>0</v>
          </cell>
          <cell r="EP300">
            <v>0</v>
          </cell>
          <cell r="EQ300">
            <v>0</v>
          </cell>
          <cell r="ER300">
            <v>0</v>
          </cell>
          <cell r="ES300">
            <v>0</v>
          </cell>
        </row>
        <row r="301">
          <cell r="F301">
            <v>353012</v>
          </cell>
          <cell r="G301" t="str">
            <v>Tartaleta Familiar Semi-Elab</v>
          </cell>
          <cell r="H301">
            <v>768</v>
          </cell>
          <cell r="I301">
            <v>1080</v>
          </cell>
          <cell r="J301">
            <v>1944</v>
          </cell>
          <cell r="K301">
            <v>1248</v>
          </cell>
          <cell r="L301">
            <v>1272</v>
          </cell>
          <cell r="M301">
            <v>1272</v>
          </cell>
          <cell r="N301">
            <v>1320</v>
          </cell>
          <cell r="O301">
            <v>1272</v>
          </cell>
          <cell r="P301">
            <v>1200</v>
          </cell>
          <cell r="Q301">
            <v>1104</v>
          </cell>
          <cell r="R301">
            <v>1248</v>
          </cell>
          <cell r="S301">
            <v>432</v>
          </cell>
          <cell r="T301">
            <v>1536</v>
          </cell>
          <cell r="U301">
            <v>2232</v>
          </cell>
          <cell r="V301">
            <v>1800</v>
          </cell>
          <cell r="W301">
            <v>1416</v>
          </cell>
          <cell r="X301">
            <v>1608</v>
          </cell>
          <cell r="Y301">
            <v>1488</v>
          </cell>
          <cell r="Z301">
            <v>1728</v>
          </cell>
          <cell r="AA301">
            <v>1320</v>
          </cell>
          <cell r="AB301">
            <v>1896</v>
          </cell>
          <cell r="AC301">
            <v>1632</v>
          </cell>
          <cell r="AD301">
            <v>1584</v>
          </cell>
          <cell r="AE301">
            <v>1656</v>
          </cell>
          <cell r="AF301">
            <v>792</v>
          </cell>
          <cell r="AG301">
            <v>48</v>
          </cell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>
            <v>720</v>
          </cell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K301"/>
          <cell r="DL301"/>
          <cell r="DM301"/>
          <cell r="DN301"/>
          <cell r="DO301"/>
          <cell r="DP301"/>
          <cell r="DQ301"/>
          <cell r="DR301"/>
          <cell r="DS301"/>
          <cell r="DT301"/>
          <cell r="DU301"/>
          <cell r="DV301"/>
          <cell r="DW301"/>
          <cell r="DX301"/>
          <cell r="DY301"/>
          <cell r="DZ301"/>
          <cell r="EA301"/>
          <cell r="EB301"/>
          <cell r="EC301"/>
          <cell r="ED301"/>
          <cell r="EE301"/>
          <cell r="EF301"/>
          <cell r="EG301"/>
          <cell r="EH301"/>
          <cell r="EI301"/>
          <cell r="EJ301" t="str">
            <v>ACTIVO</v>
          </cell>
          <cell r="EK301" t="str">
            <v>C</v>
          </cell>
          <cell r="EL301" t="str">
            <v/>
          </cell>
          <cell r="EM301">
            <v>0</v>
          </cell>
          <cell r="EN301">
            <v>0</v>
          </cell>
          <cell r="EO301">
            <v>0</v>
          </cell>
          <cell r="EP301">
            <v>0</v>
          </cell>
          <cell r="EQ301">
            <v>0</v>
          </cell>
          <cell r="ER301">
            <v>0</v>
          </cell>
          <cell r="ES301">
            <v>0</v>
          </cell>
        </row>
        <row r="302">
          <cell r="F302">
            <v>393419</v>
          </cell>
          <cell r="G302" t="str">
            <v>INSUMO SEMI ELABORADO BROWNIE VEGANO INTERPLANTA</v>
          </cell>
          <cell r="H302">
            <v>378</v>
          </cell>
          <cell r="I302"/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>
            <v>1809</v>
          </cell>
          <cell r="Y302">
            <v>558</v>
          </cell>
          <cell r="Z302">
            <v>126</v>
          </cell>
          <cell r="AA302">
            <v>725</v>
          </cell>
          <cell r="AB302">
            <v>1115</v>
          </cell>
          <cell r="AC302">
            <v>464</v>
          </cell>
          <cell r="AD302">
            <v>1458</v>
          </cell>
          <cell r="AE302">
            <v>282</v>
          </cell>
          <cell r="AF302">
            <v>522</v>
          </cell>
          <cell r="AG302">
            <v>684</v>
          </cell>
          <cell r="AH302">
            <v>846</v>
          </cell>
          <cell r="AI302">
            <v>545</v>
          </cell>
          <cell r="AJ302">
            <v>570</v>
          </cell>
          <cell r="AK302">
            <v>1152</v>
          </cell>
          <cell r="AL302">
            <v>684</v>
          </cell>
          <cell r="AM302">
            <v>564</v>
          </cell>
          <cell r="AN302">
            <v>594</v>
          </cell>
          <cell r="AO302">
            <v>756</v>
          </cell>
          <cell r="AP302">
            <v>468</v>
          </cell>
          <cell r="AQ302">
            <v>1152</v>
          </cell>
          <cell r="AR302">
            <v>612</v>
          </cell>
          <cell r="AS302">
            <v>184</v>
          </cell>
          <cell r="AT302">
            <v>342</v>
          </cell>
          <cell r="AU302">
            <v>162</v>
          </cell>
          <cell r="AV302">
            <v>852</v>
          </cell>
          <cell r="AW302">
            <v>715</v>
          </cell>
          <cell r="AX302">
            <v>612</v>
          </cell>
          <cell r="AY302">
            <v>954</v>
          </cell>
          <cell r="AZ302">
            <v>738</v>
          </cell>
          <cell r="BA302">
            <v>90</v>
          </cell>
          <cell r="BB302">
            <v>540</v>
          </cell>
          <cell r="BC302">
            <v>1098</v>
          </cell>
          <cell r="BD302">
            <v>252</v>
          </cell>
          <cell r="BE302">
            <v>288</v>
          </cell>
          <cell r="BF302">
            <v>414</v>
          </cell>
          <cell r="BG302">
            <v>432</v>
          </cell>
          <cell r="BH302">
            <v>270</v>
          </cell>
          <cell r="BI302">
            <v>144</v>
          </cell>
          <cell r="BJ302">
            <v>216</v>
          </cell>
          <cell r="BK302">
            <v>468</v>
          </cell>
          <cell r="BL302">
            <v>630</v>
          </cell>
          <cell r="BM302">
            <v>189</v>
          </cell>
          <cell r="BN302">
            <v>502</v>
          </cell>
          <cell r="BO302">
            <v>675</v>
          </cell>
          <cell r="BP302">
            <v>162</v>
          </cell>
          <cell r="BQ302">
            <v>497</v>
          </cell>
          <cell r="BR302">
            <v>180</v>
          </cell>
          <cell r="BS302">
            <v>720</v>
          </cell>
          <cell r="BT302">
            <v>293</v>
          </cell>
          <cell r="BU302">
            <v>624</v>
          </cell>
          <cell r="BV302">
            <v>54</v>
          </cell>
          <cell r="BW302">
            <v>846</v>
          </cell>
          <cell r="BX302">
            <v>2052</v>
          </cell>
          <cell r="BY302">
            <v>522</v>
          </cell>
          <cell r="BZ302">
            <v>90</v>
          </cell>
          <cell r="CA302">
            <v>342</v>
          </cell>
          <cell r="CB302">
            <v>180</v>
          </cell>
          <cell r="CC302">
            <v>342</v>
          </cell>
          <cell r="CD302">
            <v>108</v>
          </cell>
          <cell r="CE302">
            <v>396</v>
          </cell>
          <cell r="CF302">
            <v>504</v>
          </cell>
          <cell r="CG302">
            <v>288</v>
          </cell>
          <cell r="CH302">
            <v>108</v>
          </cell>
          <cell r="CI302">
            <v>630</v>
          </cell>
          <cell r="CJ302">
            <v>342</v>
          </cell>
          <cell r="CK302">
            <v>587</v>
          </cell>
          <cell r="CL302">
            <v>288</v>
          </cell>
          <cell r="CM302">
            <v>54</v>
          </cell>
          <cell r="CN302">
            <v>646</v>
          </cell>
          <cell r="CO302">
            <v>1008</v>
          </cell>
          <cell r="CP302">
            <v>1188</v>
          </cell>
          <cell r="CQ302">
            <v>162</v>
          </cell>
          <cell r="CR302">
            <v>864</v>
          </cell>
          <cell r="CS302">
            <v>40</v>
          </cell>
          <cell r="CT302">
            <v>648</v>
          </cell>
          <cell r="CU302">
            <v>18</v>
          </cell>
          <cell r="CV302">
            <v>1623</v>
          </cell>
          <cell r="CW302">
            <v>594</v>
          </cell>
          <cell r="CX302">
            <v>522</v>
          </cell>
          <cell r="CY302">
            <v>144</v>
          </cell>
          <cell r="CZ302">
            <v>288</v>
          </cell>
          <cell r="DA302">
            <v>270</v>
          </cell>
          <cell r="DB302">
            <v>72</v>
          </cell>
          <cell r="DC302">
            <v>182</v>
          </cell>
          <cell r="DD302">
            <v>558</v>
          </cell>
          <cell r="DE302">
            <v>840</v>
          </cell>
          <cell r="DF302">
            <v>108</v>
          </cell>
          <cell r="DG302">
            <v>36</v>
          </cell>
          <cell r="DH302">
            <v>288</v>
          </cell>
          <cell r="DI302"/>
          <cell r="DJ302">
            <v>868</v>
          </cell>
          <cell r="DK302">
            <v>432</v>
          </cell>
          <cell r="DL302">
            <v>612</v>
          </cell>
          <cell r="DM302">
            <v>522</v>
          </cell>
          <cell r="DN302">
            <v>630</v>
          </cell>
          <cell r="DO302">
            <v>1782</v>
          </cell>
          <cell r="DP302">
            <v>723</v>
          </cell>
          <cell r="DQ302">
            <v>216</v>
          </cell>
          <cell r="DR302">
            <v>211</v>
          </cell>
          <cell r="DS302">
            <v>180</v>
          </cell>
          <cell r="DT302">
            <v>252</v>
          </cell>
          <cell r="DU302">
            <v>144</v>
          </cell>
          <cell r="DV302">
            <v>624</v>
          </cell>
          <cell r="DW302">
            <v>180</v>
          </cell>
          <cell r="DX302">
            <v>594</v>
          </cell>
          <cell r="DY302">
            <v>284</v>
          </cell>
          <cell r="DZ302">
            <v>1458</v>
          </cell>
          <cell r="EA302"/>
          <cell r="EB302">
            <v>216</v>
          </cell>
          <cell r="EC302">
            <v>990</v>
          </cell>
          <cell r="ED302">
            <v>942</v>
          </cell>
          <cell r="EE302">
            <v>324</v>
          </cell>
          <cell r="EF302">
            <v>162</v>
          </cell>
          <cell r="EG302">
            <v>666</v>
          </cell>
          <cell r="EH302">
            <v>990</v>
          </cell>
          <cell r="EI302">
            <v>108</v>
          </cell>
          <cell r="EJ302" t="str">
            <v>ACTIVO</v>
          </cell>
          <cell r="EK302" t="str">
            <v>B</v>
          </cell>
          <cell r="EL302">
            <v>540</v>
          </cell>
          <cell r="EM302">
            <v>565.73913043478262</v>
          </cell>
          <cell r="EN302">
            <v>94.289855072463766</v>
          </cell>
          <cell r="EO302">
            <v>392.96454948926061</v>
          </cell>
          <cell r="EP302">
            <v>162</v>
          </cell>
          <cell r="EQ302">
            <v>274601.34000000003</v>
          </cell>
          <cell r="ER302">
            <v>0.28635106055948356</v>
          </cell>
          <cell r="ES302">
            <v>188.57971014492753</v>
          </cell>
        </row>
        <row r="303">
          <cell r="F303">
            <v>393384</v>
          </cell>
          <cell r="G303" t="str">
            <v>INSUMO SEMI-ELABORADO BIZCOCHO VEGANO</v>
          </cell>
          <cell r="H303">
            <v>54</v>
          </cell>
          <cell r="I303"/>
          <cell r="J303"/>
          <cell r="K303"/>
          <cell r="L303"/>
          <cell r="M303"/>
          <cell r="N303"/>
          <cell r="O303">
            <v>120</v>
          </cell>
          <cell r="P303">
            <v>510</v>
          </cell>
          <cell r="Q303">
            <v>569</v>
          </cell>
          <cell r="R303">
            <v>450</v>
          </cell>
          <cell r="S303"/>
          <cell r="T303">
            <v>480</v>
          </cell>
          <cell r="U303">
            <v>234</v>
          </cell>
          <cell r="V303">
            <v>720</v>
          </cell>
          <cell r="W303">
            <v>876</v>
          </cell>
          <cell r="X303">
            <v>985</v>
          </cell>
          <cell r="Y303">
            <v>312</v>
          </cell>
          <cell r="Z303">
            <v>216</v>
          </cell>
          <cell r="AA303">
            <v>242</v>
          </cell>
          <cell r="AB303">
            <v>366</v>
          </cell>
          <cell r="AC303">
            <v>468</v>
          </cell>
          <cell r="AD303">
            <v>1348</v>
          </cell>
          <cell r="AE303">
            <v>144</v>
          </cell>
          <cell r="AF303">
            <v>444</v>
          </cell>
          <cell r="AG303">
            <v>487</v>
          </cell>
          <cell r="AH303">
            <v>600</v>
          </cell>
          <cell r="AI303">
            <v>456</v>
          </cell>
          <cell r="AJ303">
            <v>516</v>
          </cell>
          <cell r="AK303">
            <v>792</v>
          </cell>
          <cell r="AL303">
            <v>1442</v>
          </cell>
          <cell r="AM303"/>
          <cell r="AN303"/>
          <cell r="AO303"/>
          <cell r="AP303"/>
          <cell r="AQ303">
            <v>1104</v>
          </cell>
          <cell r="AR303">
            <v>93</v>
          </cell>
          <cell r="AS303"/>
          <cell r="AT303"/>
          <cell r="AU303"/>
          <cell r="AV303">
            <v>204</v>
          </cell>
          <cell r="AW303">
            <v>218</v>
          </cell>
          <cell r="AX303">
            <v>1422</v>
          </cell>
          <cell r="AY303">
            <v>36</v>
          </cell>
          <cell r="AZ303"/>
          <cell r="BA303"/>
          <cell r="BB303">
            <v>528</v>
          </cell>
          <cell r="BC303">
            <v>179</v>
          </cell>
          <cell r="BD303"/>
          <cell r="BE303"/>
          <cell r="BF303">
            <v>510</v>
          </cell>
          <cell r="BG303">
            <v>246</v>
          </cell>
          <cell r="BH303">
            <v>66</v>
          </cell>
          <cell r="BI303">
            <v>270</v>
          </cell>
          <cell r="BJ303">
            <v>306</v>
          </cell>
          <cell r="BK303">
            <v>283</v>
          </cell>
          <cell r="BL303">
            <v>270</v>
          </cell>
          <cell r="BM303">
            <v>600</v>
          </cell>
          <cell r="BN303"/>
          <cell r="BO303">
            <v>600</v>
          </cell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K303"/>
          <cell r="DL303"/>
          <cell r="DM303"/>
          <cell r="DN303"/>
          <cell r="DO303"/>
          <cell r="DP303"/>
          <cell r="DQ303"/>
          <cell r="DR303"/>
          <cell r="DS303"/>
          <cell r="DT303"/>
          <cell r="DU303"/>
          <cell r="DV303"/>
          <cell r="DW303"/>
          <cell r="DX303"/>
          <cell r="DY303"/>
          <cell r="DZ303"/>
          <cell r="EA303"/>
          <cell r="EB303"/>
          <cell r="EC303"/>
          <cell r="ED303"/>
          <cell r="EE303"/>
          <cell r="EF303"/>
          <cell r="EG303"/>
          <cell r="EH303"/>
          <cell r="EI303"/>
          <cell r="EJ303" t="str">
            <v>ACTIVO</v>
          </cell>
          <cell r="EK303" t="str">
            <v>C</v>
          </cell>
          <cell r="EL303">
            <v>540</v>
          </cell>
          <cell r="EM303">
            <v>0</v>
          </cell>
          <cell r="EN303">
            <v>0</v>
          </cell>
          <cell r="EO303">
            <v>193.41184776828658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</row>
        <row r="304">
          <cell r="F304">
            <v>300003</v>
          </cell>
          <cell r="G304" t="str">
            <v>GRANA CHOCOLATE</v>
          </cell>
          <cell r="H304">
            <v>120</v>
          </cell>
          <cell r="I304">
            <v>100</v>
          </cell>
          <cell r="J304">
            <v>60</v>
          </cell>
          <cell r="K304">
            <v>120</v>
          </cell>
          <cell r="L304">
            <v>120</v>
          </cell>
          <cell r="M304">
            <v>100</v>
          </cell>
          <cell r="N304">
            <v>80</v>
          </cell>
          <cell r="O304">
            <v>200</v>
          </cell>
          <cell r="P304">
            <v>100</v>
          </cell>
          <cell r="Q304">
            <v>100</v>
          </cell>
          <cell r="R304">
            <v>80</v>
          </cell>
          <cell r="S304">
            <v>60</v>
          </cell>
          <cell r="T304">
            <v>120</v>
          </cell>
          <cell r="U304">
            <v>220</v>
          </cell>
          <cell r="V304">
            <v>100</v>
          </cell>
          <cell r="W304">
            <v>120</v>
          </cell>
          <cell r="X304">
            <v>200</v>
          </cell>
          <cell r="Y304"/>
          <cell r="Z304">
            <v>40</v>
          </cell>
          <cell r="AA304">
            <v>80</v>
          </cell>
          <cell r="AB304">
            <v>100</v>
          </cell>
          <cell r="AC304">
            <v>100</v>
          </cell>
          <cell r="AD304">
            <v>80</v>
          </cell>
          <cell r="AE304">
            <v>140</v>
          </cell>
          <cell r="AF304">
            <v>200</v>
          </cell>
          <cell r="AG304">
            <v>180</v>
          </cell>
          <cell r="AH304">
            <v>200</v>
          </cell>
          <cell r="AI304">
            <v>200</v>
          </cell>
          <cell r="AJ304">
            <v>60</v>
          </cell>
          <cell r="AK304">
            <v>160</v>
          </cell>
          <cell r="AL304">
            <v>220</v>
          </cell>
          <cell r="AM304">
            <v>180</v>
          </cell>
          <cell r="AN304">
            <v>120</v>
          </cell>
          <cell r="AO304">
            <v>80</v>
          </cell>
          <cell r="AP304"/>
          <cell r="AQ304">
            <v>240</v>
          </cell>
          <cell r="AR304">
            <v>260</v>
          </cell>
          <cell r="AS304"/>
          <cell r="AT304">
            <v>180</v>
          </cell>
          <cell r="AU304">
            <v>100</v>
          </cell>
          <cell r="AV304">
            <v>60</v>
          </cell>
          <cell r="AW304">
            <v>360</v>
          </cell>
          <cell r="AX304">
            <v>80</v>
          </cell>
          <cell r="AY304">
            <v>100</v>
          </cell>
          <cell r="AZ304">
            <v>340</v>
          </cell>
          <cell r="BA304">
            <v>220</v>
          </cell>
          <cell r="BB304">
            <v>280</v>
          </cell>
          <cell r="BC304">
            <v>380</v>
          </cell>
          <cell r="BD304">
            <v>220</v>
          </cell>
          <cell r="BE304">
            <v>80</v>
          </cell>
          <cell r="BF304">
            <v>240</v>
          </cell>
          <cell r="BG304">
            <v>220</v>
          </cell>
          <cell r="BH304">
            <v>180</v>
          </cell>
          <cell r="BI304">
            <v>480</v>
          </cell>
          <cell r="BJ304">
            <v>200</v>
          </cell>
          <cell r="BK304">
            <v>380</v>
          </cell>
          <cell r="BL304">
            <v>320</v>
          </cell>
          <cell r="BM304">
            <v>400</v>
          </cell>
          <cell r="BN304">
            <v>360</v>
          </cell>
          <cell r="BO304">
            <v>380</v>
          </cell>
          <cell r="BP304">
            <v>140</v>
          </cell>
          <cell r="BQ304">
            <v>160</v>
          </cell>
          <cell r="BR304">
            <v>420</v>
          </cell>
          <cell r="BS304">
            <v>300</v>
          </cell>
          <cell r="BT304">
            <v>140</v>
          </cell>
          <cell r="BU304">
            <v>60</v>
          </cell>
          <cell r="BV304">
            <v>200</v>
          </cell>
          <cell r="BW304">
            <v>120</v>
          </cell>
          <cell r="BX304">
            <v>200</v>
          </cell>
          <cell r="BY304">
            <v>240</v>
          </cell>
          <cell r="BZ304">
            <v>80</v>
          </cell>
          <cell r="CA304">
            <v>320</v>
          </cell>
          <cell r="CB304">
            <v>100</v>
          </cell>
          <cell r="CC304">
            <v>120</v>
          </cell>
          <cell r="CD304">
            <v>100</v>
          </cell>
          <cell r="CE304">
            <v>200</v>
          </cell>
          <cell r="CF304">
            <v>80</v>
          </cell>
          <cell r="CG304">
            <v>100</v>
          </cell>
          <cell r="CH304">
            <v>220</v>
          </cell>
          <cell r="CI304">
            <v>20</v>
          </cell>
          <cell r="CJ304">
            <v>420</v>
          </cell>
          <cell r="CK304">
            <v>220</v>
          </cell>
          <cell r="CL304">
            <v>300</v>
          </cell>
          <cell r="CM304">
            <v>220</v>
          </cell>
          <cell r="CN304">
            <v>100</v>
          </cell>
          <cell r="CO304">
            <v>400</v>
          </cell>
          <cell r="CP304">
            <v>438.5</v>
          </cell>
          <cell r="CQ304">
            <v>240</v>
          </cell>
          <cell r="CR304">
            <v>108</v>
          </cell>
          <cell r="CS304">
            <v>80</v>
          </cell>
          <cell r="CT304">
            <v>232</v>
          </cell>
          <cell r="CU304">
            <v>160</v>
          </cell>
          <cell r="CV304">
            <v>200</v>
          </cell>
          <cell r="CW304">
            <v>140</v>
          </cell>
          <cell r="CX304">
            <v>140</v>
          </cell>
          <cell r="CY304">
            <v>80</v>
          </cell>
          <cell r="CZ304">
            <v>320</v>
          </cell>
          <cell r="DA304">
            <v>80</v>
          </cell>
          <cell r="DB304">
            <v>240</v>
          </cell>
          <cell r="DC304">
            <v>130</v>
          </cell>
          <cell r="DD304">
            <v>180</v>
          </cell>
          <cell r="DE304">
            <v>40</v>
          </cell>
          <cell r="DF304">
            <v>160</v>
          </cell>
          <cell r="DG304">
            <v>80</v>
          </cell>
          <cell r="DH304">
            <v>40</v>
          </cell>
          <cell r="DI304">
            <v>40</v>
          </cell>
          <cell r="DJ304">
            <v>193.4</v>
          </cell>
          <cell r="DK304">
            <v>85.75</v>
          </cell>
          <cell r="DL304">
            <v>280</v>
          </cell>
          <cell r="DM304">
            <v>240</v>
          </cell>
          <cell r="DN304">
            <v>180</v>
          </cell>
          <cell r="DO304">
            <v>240</v>
          </cell>
          <cell r="DP304">
            <v>260</v>
          </cell>
          <cell r="DQ304">
            <v>162.55000000000001</v>
          </cell>
          <cell r="DR304">
            <v>100</v>
          </cell>
          <cell r="DS304">
            <v>213.3</v>
          </cell>
          <cell r="DT304">
            <v>224.7</v>
          </cell>
          <cell r="DU304">
            <v>280</v>
          </cell>
          <cell r="DV304">
            <v>180</v>
          </cell>
          <cell r="DW304">
            <v>200</v>
          </cell>
          <cell r="DX304">
            <v>220</v>
          </cell>
          <cell r="DY304">
            <v>160</v>
          </cell>
          <cell r="DZ304">
            <v>300</v>
          </cell>
          <cell r="EA304">
            <v>40</v>
          </cell>
          <cell r="EB304">
            <v>202.55</v>
          </cell>
          <cell r="EC304">
            <v>163.5</v>
          </cell>
          <cell r="ED304">
            <v>233.95</v>
          </cell>
          <cell r="EE304">
            <v>350.1</v>
          </cell>
          <cell r="EF304">
            <v>289.25</v>
          </cell>
          <cell r="EG304">
            <v>160</v>
          </cell>
          <cell r="EH304">
            <v>300</v>
          </cell>
          <cell r="EI304">
            <v>160</v>
          </cell>
          <cell r="EJ304" t="str">
            <v>ACTIVO</v>
          </cell>
          <cell r="EK304" t="str">
            <v>C</v>
          </cell>
          <cell r="EL304">
            <v>600</v>
          </cell>
          <cell r="EM304">
            <v>199.96200000000002</v>
          </cell>
          <cell r="EN304">
            <v>33.327000000000005</v>
          </cell>
          <cell r="EO304">
            <v>119.93063276887403</v>
          </cell>
          <cell r="EP304">
            <v>160.55000000000001</v>
          </cell>
          <cell r="EQ304">
            <v>165.3665</v>
          </cell>
          <cell r="ER304">
            <v>0.80290255148478207</v>
          </cell>
          <cell r="ES304">
            <v>66.654000000000011</v>
          </cell>
        </row>
        <row r="305">
          <cell r="F305">
            <v>300004</v>
          </cell>
          <cell r="G305" t="str">
            <v>GRANA BLANCA</v>
          </cell>
          <cell r="H305">
            <v>200</v>
          </cell>
          <cell r="I305">
            <v>120</v>
          </cell>
          <cell r="J305">
            <v>80</v>
          </cell>
          <cell r="K305">
            <v>140</v>
          </cell>
          <cell r="L305">
            <v>160</v>
          </cell>
          <cell r="M305">
            <v>100</v>
          </cell>
          <cell r="N305">
            <v>80</v>
          </cell>
          <cell r="O305">
            <v>120</v>
          </cell>
          <cell r="P305">
            <v>160</v>
          </cell>
          <cell r="Q305">
            <v>140</v>
          </cell>
          <cell r="R305">
            <v>60</v>
          </cell>
          <cell r="S305">
            <v>80</v>
          </cell>
          <cell r="T305">
            <v>100</v>
          </cell>
          <cell r="U305">
            <v>180</v>
          </cell>
          <cell r="V305">
            <v>100</v>
          </cell>
          <cell r="W305">
            <v>80</v>
          </cell>
          <cell r="X305">
            <v>100</v>
          </cell>
          <cell r="Y305"/>
          <cell r="Z305">
            <v>140</v>
          </cell>
          <cell r="AA305">
            <v>60</v>
          </cell>
          <cell r="AB305">
            <v>120</v>
          </cell>
          <cell r="AC305">
            <v>60</v>
          </cell>
          <cell r="AD305">
            <v>140</v>
          </cell>
          <cell r="AE305">
            <v>180</v>
          </cell>
          <cell r="AF305">
            <v>200</v>
          </cell>
          <cell r="AG305">
            <v>180</v>
          </cell>
          <cell r="AH305">
            <v>200</v>
          </cell>
          <cell r="AI305">
            <v>140</v>
          </cell>
          <cell r="AJ305">
            <v>200</v>
          </cell>
          <cell r="AK305">
            <v>180</v>
          </cell>
          <cell r="AL305">
            <v>200</v>
          </cell>
          <cell r="AM305">
            <v>220</v>
          </cell>
          <cell r="AN305">
            <v>140</v>
          </cell>
          <cell r="AO305">
            <v>160</v>
          </cell>
          <cell r="AP305">
            <v>180</v>
          </cell>
          <cell r="AQ305">
            <v>160</v>
          </cell>
          <cell r="AR305">
            <v>260</v>
          </cell>
          <cell r="AS305"/>
          <cell r="AT305">
            <v>300</v>
          </cell>
          <cell r="AU305">
            <v>180</v>
          </cell>
          <cell r="AV305">
            <v>220</v>
          </cell>
          <cell r="AW305">
            <v>100</v>
          </cell>
          <cell r="AX305">
            <v>340</v>
          </cell>
          <cell r="AY305">
            <v>200</v>
          </cell>
          <cell r="AZ305">
            <v>120</v>
          </cell>
          <cell r="BA305">
            <v>460</v>
          </cell>
          <cell r="BB305">
            <v>300</v>
          </cell>
          <cell r="BC305">
            <v>260</v>
          </cell>
          <cell r="BD305">
            <v>360</v>
          </cell>
          <cell r="BE305">
            <v>80</v>
          </cell>
          <cell r="BF305">
            <v>243.905</v>
          </cell>
          <cell r="BG305">
            <v>122.09500000000001</v>
          </cell>
          <cell r="BH305">
            <v>20</v>
          </cell>
          <cell r="BI305">
            <v>20</v>
          </cell>
          <cell r="BJ305">
            <v>162.04</v>
          </cell>
          <cell r="BK305">
            <v>200</v>
          </cell>
          <cell r="BL305">
            <v>380</v>
          </cell>
          <cell r="BM305">
            <v>280</v>
          </cell>
          <cell r="BN305">
            <v>180</v>
          </cell>
          <cell r="BO305">
            <v>300</v>
          </cell>
          <cell r="BP305">
            <v>140</v>
          </cell>
          <cell r="BQ305">
            <v>120</v>
          </cell>
          <cell r="BR305">
            <v>240</v>
          </cell>
          <cell r="BS305">
            <v>240</v>
          </cell>
          <cell r="BT305">
            <v>480</v>
          </cell>
          <cell r="BU305">
            <v>160</v>
          </cell>
          <cell r="BV305">
            <v>220</v>
          </cell>
          <cell r="BW305">
            <v>360</v>
          </cell>
          <cell r="BX305">
            <v>220</v>
          </cell>
          <cell r="BY305">
            <v>240</v>
          </cell>
          <cell r="BZ305">
            <v>120</v>
          </cell>
          <cell r="CA305">
            <v>200</v>
          </cell>
          <cell r="CB305">
            <v>260</v>
          </cell>
          <cell r="CC305">
            <v>200</v>
          </cell>
          <cell r="CD305">
            <v>200</v>
          </cell>
          <cell r="CE305">
            <v>263.255</v>
          </cell>
          <cell r="CF305">
            <v>320</v>
          </cell>
          <cell r="CG305">
            <v>300</v>
          </cell>
          <cell r="CH305">
            <v>160</v>
          </cell>
          <cell r="CI305">
            <v>320</v>
          </cell>
          <cell r="CJ305">
            <v>160</v>
          </cell>
          <cell r="CK305">
            <v>140</v>
          </cell>
          <cell r="CL305">
            <v>140</v>
          </cell>
          <cell r="CM305">
            <v>260</v>
          </cell>
          <cell r="CN305">
            <v>240</v>
          </cell>
          <cell r="CO305">
            <v>240</v>
          </cell>
          <cell r="CP305">
            <v>320</v>
          </cell>
          <cell r="CQ305">
            <v>240</v>
          </cell>
          <cell r="CR305">
            <v>345.95</v>
          </cell>
          <cell r="CS305">
            <v>62.8</v>
          </cell>
          <cell r="CT305">
            <v>240</v>
          </cell>
          <cell r="CU305">
            <v>240</v>
          </cell>
          <cell r="CV305">
            <v>80</v>
          </cell>
          <cell r="CW305">
            <v>141</v>
          </cell>
          <cell r="CX305">
            <v>260</v>
          </cell>
          <cell r="CY305">
            <v>200</v>
          </cell>
          <cell r="CZ305">
            <v>120</v>
          </cell>
          <cell r="DA305">
            <v>340</v>
          </cell>
          <cell r="DB305">
            <v>140</v>
          </cell>
          <cell r="DC305">
            <v>200</v>
          </cell>
          <cell r="DD305">
            <v>180</v>
          </cell>
          <cell r="DE305">
            <v>60</v>
          </cell>
          <cell r="DF305">
            <v>220</v>
          </cell>
          <cell r="DG305">
            <v>140</v>
          </cell>
          <cell r="DH305">
            <v>100</v>
          </cell>
          <cell r="DI305">
            <v>80</v>
          </cell>
          <cell r="DJ305">
            <v>180</v>
          </cell>
          <cell r="DK305">
            <v>320</v>
          </cell>
          <cell r="DL305">
            <v>100</v>
          </cell>
          <cell r="DM305">
            <v>400</v>
          </cell>
          <cell r="DN305">
            <v>220</v>
          </cell>
          <cell r="DO305">
            <v>160</v>
          </cell>
          <cell r="DP305">
            <v>220</v>
          </cell>
          <cell r="DQ305">
            <v>240</v>
          </cell>
          <cell r="DR305">
            <v>240</v>
          </cell>
          <cell r="DS305">
            <v>300</v>
          </cell>
          <cell r="DT305">
            <v>186.9</v>
          </cell>
          <cell r="DU305">
            <v>140</v>
          </cell>
          <cell r="DV305">
            <v>200</v>
          </cell>
          <cell r="DW305">
            <v>140</v>
          </cell>
          <cell r="DX305">
            <v>438.14499999999998</v>
          </cell>
          <cell r="DY305">
            <v>503.9</v>
          </cell>
          <cell r="DZ305">
            <v>160</v>
          </cell>
          <cell r="EA305">
            <v>100</v>
          </cell>
          <cell r="EB305">
            <v>186.5</v>
          </cell>
          <cell r="EC305">
            <v>253.5</v>
          </cell>
          <cell r="ED305">
            <v>196.38</v>
          </cell>
          <cell r="EE305">
            <v>207.75</v>
          </cell>
          <cell r="EF305">
            <v>180</v>
          </cell>
          <cell r="EG305">
            <v>280</v>
          </cell>
          <cell r="EH305">
            <v>335</v>
          </cell>
          <cell r="EI305">
            <v>158.6</v>
          </cell>
          <cell r="EJ305" t="str">
            <v>ACTIVO</v>
          </cell>
          <cell r="EK305" t="str">
            <v>C</v>
          </cell>
          <cell r="EL305">
            <v>600</v>
          </cell>
          <cell r="EM305">
            <v>225.32299999999998</v>
          </cell>
          <cell r="EN305">
            <v>37.55383333333333</v>
          </cell>
          <cell r="EO305">
            <v>92.61617229556694</v>
          </cell>
          <cell r="EP305">
            <v>120</v>
          </cell>
          <cell r="EQ305">
            <v>123.6</v>
          </cell>
          <cell r="ER305">
            <v>0.53256880123200923</v>
          </cell>
          <cell r="ES305">
            <v>75.10766666666666</v>
          </cell>
        </row>
        <row r="306">
          <cell r="F306">
            <v>402259</v>
          </cell>
          <cell r="G306" t="str">
            <v>INSUMO SEMI ELABORADO SUB BROWNIE CHOCOLATE VEGANO</v>
          </cell>
          <cell r="H306">
            <v>503</v>
          </cell>
          <cell r="I306"/>
          <cell r="J306"/>
          <cell r="K306">
            <v>208</v>
          </cell>
          <cell r="L306"/>
          <cell r="M306">
            <v>382</v>
          </cell>
          <cell r="N306">
            <v>555</v>
          </cell>
          <cell r="O306">
            <v>640</v>
          </cell>
          <cell r="P306">
            <v>556</v>
          </cell>
          <cell r="Q306">
            <v>882</v>
          </cell>
          <cell r="R306">
            <v>726</v>
          </cell>
          <cell r="S306">
            <v>579</v>
          </cell>
          <cell r="T306">
            <v>90</v>
          </cell>
          <cell r="U306">
            <v>973</v>
          </cell>
          <cell r="V306">
            <v>894</v>
          </cell>
          <cell r="W306">
            <v>1311</v>
          </cell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K306"/>
          <cell r="DL306"/>
          <cell r="DM306"/>
          <cell r="DN306"/>
          <cell r="DO306"/>
          <cell r="DP306"/>
          <cell r="DQ306"/>
          <cell r="DR306"/>
          <cell r="DS306"/>
          <cell r="DT306"/>
          <cell r="DU306"/>
          <cell r="DV306"/>
          <cell r="DW306"/>
          <cell r="DX306"/>
          <cell r="DY306"/>
          <cell r="DZ306"/>
          <cell r="EA306"/>
          <cell r="EB306"/>
          <cell r="EC306"/>
          <cell r="ED306"/>
          <cell r="EE306"/>
          <cell r="EF306"/>
          <cell r="EG306"/>
          <cell r="EH306"/>
          <cell r="EI306"/>
          <cell r="EJ306" t="str">
            <v>ACTIVO</v>
          </cell>
          <cell r="EK306" t="str">
            <v/>
          </cell>
          <cell r="EL306" t="str">
            <v/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</row>
        <row r="307">
          <cell r="F307">
            <v>104010</v>
          </cell>
          <cell r="G307" t="str">
            <v>SAL FINA</v>
          </cell>
          <cell r="H307">
            <v>200</v>
          </cell>
          <cell r="I307"/>
          <cell r="J307"/>
          <cell r="K307">
            <v>300</v>
          </cell>
          <cell r="L307"/>
          <cell r="M307">
            <v>300</v>
          </cell>
          <cell r="N307"/>
          <cell r="O307"/>
          <cell r="P307"/>
          <cell r="Q307">
            <v>300</v>
          </cell>
          <cell r="R307"/>
          <cell r="S307"/>
          <cell r="T307"/>
          <cell r="U307">
            <v>300</v>
          </cell>
          <cell r="V307"/>
          <cell r="W307"/>
          <cell r="X307"/>
          <cell r="Y307">
            <v>300</v>
          </cell>
          <cell r="Z307"/>
          <cell r="AA307"/>
          <cell r="AB307">
            <v>300</v>
          </cell>
          <cell r="AC307"/>
          <cell r="AD307">
            <v>300</v>
          </cell>
          <cell r="AE307"/>
          <cell r="AF307"/>
          <cell r="AG307"/>
          <cell r="AH307">
            <v>300</v>
          </cell>
          <cell r="AI307"/>
          <cell r="AJ307"/>
          <cell r="AK307">
            <v>300</v>
          </cell>
          <cell r="AL307"/>
          <cell r="AM307"/>
          <cell r="AN307">
            <v>300</v>
          </cell>
          <cell r="AO307"/>
          <cell r="AP307"/>
          <cell r="AQ307">
            <v>400</v>
          </cell>
          <cell r="AR307"/>
          <cell r="AS307"/>
          <cell r="AT307"/>
          <cell r="AU307">
            <v>300</v>
          </cell>
          <cell r="AV307"/>
          <cell r="AW307"/>
          <cell r="AX307">
            <v>300</v>
          </cell>
          <cell r="AY307"/>
          <cell r="AZ307"/>
          <cell r="BA307"/>
          <cell r="BB307"/>
          <cell r="BC307">
            <v>300</v>
          </cell>
          <cell r="BD307"/>
          <cell r="BE307">
            <v>300</v>
          </cell>
          <cell r="BF307"/>
          <cell r="BG307"/>
          <cell r="BH307"/>
          <cell r="BI307"/>
          <cell r="BJ307">
            <v>300</v>
          </cell>
          <cell r="BK307"/>
          <cell r="BL307"/>
          <cell r="BM307"/>
          <cell r="BN307"/>
          <cell r="BO307">
            <v>400</v>
          </cell>
          <cell r="BP307"/>
          <cell r="BQ307"/>
          <cell r="BR307"/>
          <cell r="BS307">
            <v>200</v>
          </cell>
          <cell r="BT307"/>
          <cell r="BU307"/>
          <cell r="BV307"/>
          <cell r="BW307">
            <v>200</v>
          </cell>
          <cell r="BX307"/>
          <cell r="BY307"/>
          <cell r="BZ307">
            <v>300</v>
          </cell>
          <cell r="CA307"/>
          <cell r="CB307">
            <v>200</v>
          </cell>
          <cell r="CC307"/>
          <cell r="CD307"/>
          <cell r="CE307">
            <v>300</v>
          </cell>
          <cell r="CF307"/>
          <cell r="CG307"/>
          <cell r="CH307">
            <v>300</v>
          </cell>
          <cell r="CI307"/>
          <cell r="CJ307"/>
          <cell r="CK307">
            <v>200</v>
          </cell>
          <cell r="CL307"/>
          <cell r="CM307">
            <v>300</v>
          </cell>
          <cell r="CN307"/>
          <cell r="CO307"/>
          <cell r="CP307"/>
          <cell r="CQ307">
            <v>300</v>
          </cell>
          <cell r="CR307"/>
          <cell r="CS307"/>
          <cell r="CT307">
            <v>300</v>
          </cell>
          <cell r="CU307"/>
          <cell r="CV307"/>
          <cell r="CW307">
            <v>400</v>
          </cell>
          <cell r="CX307"/>
          <cell r="CY307"/>
          <cell r="CZ307"/>
          <cell r="DA307">
            <v>300</v>
          </cell>
          <cell r="DB307"/>
          <cell r="DC307"/>
          <cell r="DD307"/>
          <cell r="DE307">
            <v>300</v>
          </cell>
          <cell r="DF307"/>
          <cell r="DG307"/>
          <cell r="DH307"/>
          <cell r="DI307"/>
          <cell r="DJ307"/>
          <cell r="DK307">
            <v>200</v>
          </cell>
          <cell r="DL307"/>
          <cell r="DM307">
            <v>300</v>
          </cell>
          <cell r="DN307"/>
          <cell r="DO307"/>
          <cell r="DP307">
            <v>300</v>
          </cell>
          <cell r="DQ307"/>
          <cell r="DR307"/>
          <cell r="DS307"/>
          <cell r="DT307">
            <v>300</v>
          </cell>
          <cell r="DU307"/>
          <cell r="DV307"/>
          <cell r="DW307">
            <v>300</v>
          </cell>
          <cell r="DX307"/>
          <cell r="DY307"/>
          <cell r="DZ307">
            <v>300</v>
          </cell>
          <cell r="EA307"/>
          <cell r="EB307"/>
          <cell r="EC307">
            <v>300</v>
          </cell>
          <cell r="ED307"/>
          <cell r="EE307"/>
          <cell r="EF307"/>
          <cell r="EG307">
            <v>300</v>
          </cell>
          <cell r="EH307"/>
          <cell r="EI307"/>
          <cell r="EJ307" t="str">
            <v>SIN USO</v>
          </cell>
          <cell r="EK307" t="str">
            <v>C</v>
          </cell>
          <cell r="EL307" t="str">
            <v/>
          </cell>
          <cell r="EM307">
            <v>287.5</v>
          </cell>
          <cell r="EN307">
            <v>47.916666666666664</v>
          </cell>
          <cell r="EO307">
            <v>63.994047342218394</v>
          </cell>
          <cell r="EP307">
            <v>0</v>
          </cell>
          <cell r="EQ307">
            <v>0</v>
          </cell>
          <cell r="ER307">
            <v>0</v>
          </cell>
          <cell r="ES307">
            <v>95.833333333333329</v>
          </cell>
        </row>
        <row r="308">
          <cell r="F308">
            <v>393387</v>
          </cell>
          <cell r="G308" t="str">
            <v>PORCIÓN TRES LECHES SEMI ELABORADO</v>
          </cell>
          <cell r="H308"/>
          <cell r="I308">
            <v>84</v>
          </cell>
          <cell r="J308">
            <v>9</v>
          </cell>
          <cell r="K308"/>
          <cell r="L308">
            <v>60</v>
          </cell>
          <cell r="M308">
            <v>42</v>
          </cell>
          <cell r="N308">
            <v>70</v>
          </cell>
          <cell r="O308">
            <v>39</v>
          </cell>
          <cell r="P308"/>
          <cell r="Q308"/>
          <cell r="R308">
            <v>45</v>
          </cell>
          <cell r="S308">
            <v>39</v>
          </cell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K308"/>
          <cell r="DL308"/>
          <cell r="DM308"/>
          <cell r="DN308"/>
          <cell r="DO308"/>
          <cell r="DP308"/>
          <cell r="DQ308"/>
          <cell r="DR308"/>
          <cell r="DS308"/>
          <cell r="DT308"/>
          <cell r="DU308"/>
          <cell r="DV308"/>
          <cell r="DW308"/>
          <cell r="DX308"/>
          <cell r="DY308"/>
          <cell r="DZ308"/>
          <cell r="EA308"/>
          <cell r="EB308"/>
          <cell r="EC308"/>
          <cell r="ED308"/>
          <cell r="EE308"/>
          <cell r="EF308"/>
          <cell r="EG308"/>
          <cell r="EH308"/>
          <cell r="EI308"/>
          <cell r="EJ308" t="str">
            <v>SIN USO</v>
          </cell>
          <cell r="EK308" t="str">
            <v/>
          </cell>
          <cell r="EL308" t="str">
            <v/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</row>
        <row r="309">
          <cell r="F309">
            <v>393415</v>
          </cell>
          <cell r="G309" t="str">
            <v>INSUMO SEMIELABORADO GALLETA DE VINO  MOLIDA</v>
          </cell>
          <cell r="H309"/>
          <cell r="I309"/>
          <cell r="J309"/>
          <cell r="K309"/>
          <cell r="L309">
            <v>80</v>
          </cell>
          <cell r="M309">
            <v>164</v>
          </cell>
          <cell r="N309"/>
          <cell r="O309"/>
          <cell r="P309"/>
          <cell r="Q309"/>
          <cell r="R309"/>
          <cell r="S309"/>
          <cell r="T309"/>
          <cell r="U309"/>
          <cell r="V309">
            <v>180</v>
          </cell>
          <cell r="W309">
            <v>120</v>
          </cell>
          <cell r="X309">
            <v>30</v>
          </cell>
          <cell r="Y309">
            <v>80</v>
          </cell>
          <cell r="Z309">
            <v>80</v>
          </cell>
          <cell r="AA309"/>
          <cell r="AB309"/>
          <cell r="AC309">
            <v>140</v>
          </cell>
          <cell r="AD309">
            <v>80</v>
          </cell>
          <cell r="AE309">
            <v>60</v>
          </cell>
          <cell r="AF309">
            <v>20</v>
          </cell>
          <cell r="AG309"/>
          <cell r="AH309">
            <v>160</v>
          </cell>
          <cell r="AI309">
            <v>80</v>
          </cell>
          <cell r="AJ309">
            <v>60</v>
          </cell>
          <cell r="AK309">
            <v>110</v>
          </cell>
          <cell r="AL309">
            <v>30</v>
          </cell>
          <cell r="AM309"/>
          <cell r="AN309">
            <v>20</v>
          </cell>
          <cell r="AO309">
            <v>40</v>
          </cell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>
            <v>65</v>
          </cell>
          <cell r="BM309">
            <v>20</v>
          </cell>
          <cell r="BN309">
            <v>80</v>
          </cell>
          <cell r="BO309">
            <v>80</v>
          </cell>
          <cell r="BP309">
            <v>120</v>
          </cell>
          <cell r="BQ309">
            <v>80</v>
          </cell>
          <cell r="BR309">
            <v>40</v>
          </cell>
          <cell r="BS309">
            <v>140</v>
          </cell>
          <cell r="BT309">
            <v>40</v>
          </cell>
          <cell r="BU309">
            <v>20</v>
          </cell>
          <cell r="BV309">
            <v>40</v>
          </cell>
          <cell r="BW309">
            <v>160</v>
          </cell>
          <cell r="BX309">
            <v>40</v>
          </cell>
          <cell r="BY309"/>
          <cell r="BZ309"/>
          <cell r="CA309">
            <v>40</v>
          </cell>
          <cell r="CB309">
            <v>50</v>
          </cell>
          <cell r="CC309">
            <v>40</v>
          </cell>
          <cell r="CD309">
            <v>100</v>
          </cell>
          <cell r="CE309">
            <v>80</v>
          </cell>
          <cell r="CF309">
            <v>150</v>
          </cell>
          <cell r="CG309">
            <v>200</v>
          </cell>
          <cell r="CH309">
            <v>20</v>
          </cell>
          <cell r="CI309">
            <v>40</v>
          </cell>
          <cell r="CJ309">
            <v>20</v>
          </cell>
          <cell r="CK309">
            <v>60</v>
          </cell>
          <cell r="CL309">
            <v>30</v>
          </cell>
          <cell r="CM309">
            <v>80</v>
          </cell>
          <cell r="CN309">
            <v>152.25</v>
          </cell>
          <cell r="CO309">
            <v>27.75</v>
          </cell>
          <cell r="CP309">
            <v>40</v>
          </cell>
          <cell r="CQ309">
            <v>60</v>
          </cell>
          <cell r="CR309">
            <v>62.8</v>
          </cell>
          <cell r="CS309">
            <v>40</v>
          </cell>
          <cell r="CT309">
            <v>20</v>
          </cell>
          <cell r="CU309">
            <v>60</v>
          </cell>
          <cell r="CV309">
            <v>20</v>
          </cell>
          <cell r="CW309">
            <v>100</v>
          </cell>
          <cell r="CX309"/>
          <cell r="CY309">
            <v>80</v>
          </cell>
          <cell r="CZ309">
            <v>100</v>
          </cell>
          <cell r="DA309">
            <v>80</v>
          </cell>
          <cell r="DB309">
            <v>80</v>
          </cell>
          <cell r="DC309">
            <v>80</v>
          </cell>
          <cell r="DD309">
            <v>100</v>
          </cell>
          <cell r="DE309">
            <v>40</v>
          </cell>
          <cell r="DF309"/>
          <cell r="DG309"/>
          <cell r="DH309"/>
          <cell r="DI309"/>
          <cell r="DJ309"/>
          <cell r="DK309">
            <v>40</v>
          </cell>
          <cell r="DL309"/>
          <cell r="DM309">
            <v>40</v>
          </cell>
          <cell r="DN309">
            <v>20</v>
          </cell>
          <cell r="DO309">
            <v>20</v>
          </cell>
          <cell r="DP309">
            <v>80</v>
          </cell>
          <cell r="DQ309"/>
          <cell r="DR309"/>
          <cell r="DS309"/>
          <cell r="DT309"/>
          <cell r="DU309"/>
          <cell r="DV309">
            <v>20</v>
          </cell>
          <cell r="DW309">
            <v>80</v>
          </cell>
          <cell r="DX309">
            <v>100</v>
          </cell>
          <cell r="DY309">
            <v>120</v>
          </cell>
          <cell r="DZ309">
            <v>20</v>
          </cell>
          <cell r="EA309"/>
          <cell r="EB309"/>
          <cell r="EC309"/>
          <cell r="ED309"/>
          <cell r="EE309"/>
          <cell r="EF309"/>
          <cell r="EG309"/>
          <cell r="EH309"/>
          <cell r="EI309">
            <v>54.6</v>
          </cell>
          <cell r="EJ309" t="str">
            <v>SIN USO</v>
          </cell>
          <cell r="EK309" t="str">
            <v>C</v>
          </cell>
          <cell r="EL309" t="str">
            <v/>
          </cell>
          <cell r="EM309">
            <v>54</v>
          </cell>
          <cell r="EN309">
            <v>9</v>
          </cell>
          <cell r="EO309">
            <v>43.150581423512151</v>
          </cell>
          <cell r="EP309">
            <v>0</v>
          </cell>
          <cell r="EQ309">
            <v>0</v>
          </cell>
          <cell r="ER309">
            <v>0</v>
          </cell>
          <cell r="ES309">
            <v>18</v>
          </cell>
        </row>
        <row r="310">
          <cell r="F310">
            <v>107310</v>
          </cell>
          <cell r="G310" t="str">
            <v>VINAGRE BLANCO EGC</v>
          </cell>
          <cell r="H310"/>
          <cell r="I310"/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>
            <v>300</v>
          </cell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>
            <v>400</v>
          </cell>
          <cell r="BN310"/>
          <cell r="BO310"/>
          <cell r="BP310">
            <v>400</v>
          </cell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K310"/>
          <cell r="DL310"/>
          <cell r="DM310"/>
          <cell r="DN310"/>
          <cell r="DO310"/>
          <cell r="DP310"/>
          <cell r="DQ310"/>
          <cell r="DR310"/>
          <cell r="DS310"/>
          <cell r="DT310"/>
          <cell r="DU310"/>
          <cell r="DV310"/>
          <cell r="DW310"/>
          <cell r="DX310"/>
          <cell r="DY310"/>
          <cell r="DZ310"/>
          <cell r="EA310"/>
          <cell r="EB310"/>
          <cell r="EC310"/>
          <cell r="ED310"/>
          <cell r="EE310"/>
          <cell r="EF310"/>
          <cell r="EG310"/>
          <cell r="EH310"/>
          <cell r="EI310"/>
          <cell r="EJ310" t="str">
            <v>SIN USO</v>
          </cell>
          <cell r="EK310" t="str">
            <v>C</v>
          </cell>
          <cell r="EL310" t="str">
            <v/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</row>
        <row r="311">
          <cell r="F311">
            <v>393437</v>
          </cell>
          <cell r="G311" t="str">
            <v>INSUMO INTERPLANTA BIZCOCHO CONFETI 17 CM</v>
          </cell>
          <cell r="H311"/>
          <cell r="I311"/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>
            <v>936</v>
          </cell>
          <cell r="AM311">
            <v>2192</v>
          </cell>
          <cell r="AN311">
            <v>336</v>
          </cell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K311"/>
          <cell r="DL311"/>
          <cell r="DM311"/>
          <cell r="DN311"/>
          <cell r="DO311"/>
          <cell r="DP311"/>
          <cell r="DQ311"/>
          <cell r="DR311"/>
          <cell r="DS311"/>
          <cell r="DT311"/>
          <cell r="DU311"/>
          <cell r="DV311"/>
          <cell r="DW311"/>
          <cell r="DX311"/>
          <cell r="DY311"/>
          <cell r="DZ311"/>
          <cell r="EA311"/>
          <cell r="EB311"/>
          <cell r="EC311"/>
          <cell r="ED311"/>
          <cell r="EE311"/>
          <cell r="EF311"/>
          <cell r="EG311"/>
          <cell r="EH311"/>
          <cell r="EI311"/>
          <cell r="EJ311" t="str">
            <v>SIN USO</v>
          </cell>
          <cell r="EK311" t="str">
            <v/>
          </cell>
          <cell r="EL311" t="str">
            <v/>
          </cell>
          <cell r="EM311">
            <v>0</v>
          </cell>
          <cell r="EN311">
            <v>0</v>
          </cell>
          <cell r="EO311">
            <v>0</v>
          </cell>
          <cell r="EP311">
            <v>0</v>
          </cell>
          <cell r="EQ311">
            <v>0</v>
          </cell>
          <cell r="ER311">
            <v>0</v>
          </cell>
          <cell r="ES311">
            <v>0</v>
          </cell>
        </row>
        <row r="312">
          <cell r="F312">
            <v>106101</v>
          </cell>
          <cell r="G312" t="str">
            <v>VINAGRE WINKLER</v>
          </cell>
          <cell r="H312"/>
          <cell r="I312"/>
          <cell r="J312">
            <v>300</v>
          </cell>
          <cell r="K312"/>
          <cell r="L312">
            <v>400</v>
          </cell>
          <cell r="M312"/>
          <cell r="N312"/>
          <cell r="O312"/>
          <cell r="P312">
            <v>400</v>
          </cell>
          <cell r="Q312"/>
          <cell r="R312"/>
          <cell r="S312">
            <v>400</v>
          </cell>
          <cell r="T312"/>
          <cell r="U312"/>
          <cell r="V312">
            <v>295</v>
          </cell>
          <cell r="W312"/>
          <cell r="X312"/>
          <cell r="Y312">
            <v>400</v>
          </cell>
          <cell r="Z312">
            <v>300</v>
          </cell>
          <cell r="AA312"/>
          <cell r="AB312"/>
          <cell r="AC312"/>
          <cell r="AD312">
            <v>400</v>
          </cell>
          <cell r="AE312"/>
          <cell r="AF312">
            <v>300</v>
          </cell>
          <cell r="AG312"/>
          <cell r="AH312"/>
          <cell r="AI312">
            <v>400</v>
          </cell>
          <cell r="AJ312"/>
          <cell r="AK312"/>
          <cell r="AL312"/>
          <cell r="AM312"/>
          <cell r="AN312">
            <v>245</v>
          </cell>
          <cell r="AO312"/>
          <cell r="AP312">
            <v>750</v>
          </cell>
          <cell r="AQ312"/>
          <cell r="AR312"/>
          <cell r="AS312"/>
          <cell r="AT312"/>
          <cell r="AU312">
            <v>400</v>
          </cell>
          <cell r="AV312"/>
          <cell r="AW312"/>
          <cell r="AX312">
            <v>400</v>
          </cell>
          <cell r="AY312"/>
          <cell r="AZ312"/>
          <cell r="BA312">
            <v>400</v>
          </cell>
          <cell r="BB312"/>
          <cell r="BC312">
            <v>500</v>
          </cell>
          <cell r="BD312"/>
          <cell r="BE312"/>
          <cell r="BF312"/>
          <cell r="BG312"/>
          <cell r="BH312"/>
          <cell r="BI312"/>
          <cell r="BJ312">
            <v>400</v>
          </cell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>
            <v>400</v>
          </cell>
          <cell r="CF312"/>
          <cell r="CG312"/>
          <cell r="CH312"/>
          <cell r="CI312"/>
          <cell r="CJ312"/>
          <cell r="CK312"/>
          <cell r="CL312">
            <v>300</v>
          </cell>
          <cell r="CM312"/>
          <cell r="CN312">
            <v>295</v>
          </cell>
          <cell r="CO312"/>
          <cell r="CP312"/>
          <cell r="CQ312"/>
          <cell r="CR312">
            <v>400</v>
          </cell>
          <cell r="CS312"/>
          <cell r="CT312"/>
          <cell r="CU312"/>
          <cell r="CV312"/>
          <cell r="CW312"/>
          <cell r="CX312"/>
          <cell r="CY312"/>
          <cell r="CZ312">
            <v>300</v>
          </cell>
          <cell r="DA312"/>
          <cell r="DB312"/>
          <cell r="DC312"/>
          <cell r="DD312">
            <v>300</v>
          </cell>
          <cell r="DE312"/>
          <cell r="DF312"/>
          <cell r="DG312"/>
          <cell r="DH312">
            <v>185</v>
          </cell>
          <cell r="DI312"/>
          <cell r="DJ312"/>
          <cell r="DK312">
            <v>115</v>
          </cell>
          <cell r="DL312"/>
          <cell r="DM312"/>
          <cell r="DN312">
            <v>395</v>
          </cell>
          <cell r="DO312"/>
          <cell r="DP312"/>
          <cell r="DQ312"/>
          <cell r="DR312">
            <v>300</v>
          </cell>
          <cell r="DS312"/>
          <cell r="DT312"/>
          <cell r="DU312"/>
          <cell r="DV312">
            <v>300</v>
          </cell>
          <cell r="DW312"/>
          <cell r="DX312"/>
          <cell r="DY312"/>
          <cell r="DZ312"/>
          <cell r="EA312"/>
          <cell r="EB312"/>
          <cell r="EC312"/>
          <cell r="ED312"/>
          <cell r="EE312"/>
          <cell r="EF312"/>
          <cell r="EG312"/>
          <cell r="EH312">
            <v>400</v>
          </cell>
          <cell r="EI312"/>
          <cell r="EJ312" t="str">
            <v>SIN USO</v>
          </cell>
          <cell r="EK312" t="str">
            <v>C</v>
          </cell>
          <cell r="EL312">
            <v>0</v>
          </cell>
          <cell r="EM312">
            <v>277.5</v>
          </cell>
          <cell r="EN312">
            <v>46.25</v>
          </cell>
          <cell r="EO312">
            <v>74.833147735478832</v>
          </cell>
          <cell r="EP312">
            <v>0</v>
          </cell>
          <cell r="EQ312">
            <v>0</v>
          </cell>
          <cell r="ER312">
            <v>0</v>
          </cell>
          <cell r="ES312">
            <v>231.25</v>
          </cell>
        </row>
        <row r="313">
          <cell r="F313">
            <v>400216</v>
          </cell>
          <cell r="G313" t="str">
            <v>BIZCOCHO CARROT CAKE PAVESI</v>
          </cell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K313"/>
          <cell r="DL313"/>
          <cell r="DM313"/>
          <cell r="DN313"/>
          <cell r="DO313"/>
          <cell r="DP313"/>
          <cell r="DQ313"/>
          <cell r="DR313">
            <v>20</v>
          </cell>
          <cell r="DS313">
            <v>97</v>
          </cell>
          <cell r="DT313">
            <v>40</v>
          </cell>
          <cell r="DU313"/>
          <cell r="DV313"/>
          <cell r="DW313"/>
          <cell r="DX313"/>
          <cell r="DY313">
            <v>3</v>
          </cell>
          <cell r="DZ313">
            <v>129</v>
          </cell>
          <cell r="EA313">
            <v>87</v>
          </cell>
          <cell r="EB313">
            <v>129</v>
          </cell>
          <cell r="EC313"/>
          <cell r="ED313">
            <v>110</v>
          </cell>
          <cell r="EE313">
            <v>55</v>
          </cell>
          <cell r="EF313">
            <v>142</v>
          </cell>
          <cell r="EG313">
            <v>138</v>
          </cell>
          <cell r="EH313">
            <v>206</v>
          </cell>
          <cell r="EI313">
            <v>76</v>
          </cell>
          <cell r="EJ313" t="str">
            <v>ACTIVO</v>
          </cell>
          <cell r="EK313" t="str">
            <v>C</v>
          </cell>
          <cell r="EL313" t="str">
            <v/>
          </cell>
          <cell r="EM313">
            <v>86.36363636363636</v>
          </cell>
          <cell r="EN313">
            <v>14.393939393939393</v>
          </cell>
          <cell r="EO313">
            <v>0</v>
          </cell>
          <cell r="EP313">
            <v>48</v>
          </cell>
          <cell r="EQ313">
            <v>207456</v>
          </cell>
          <cell r="ER313">
            <v>0.5557894736842105</v>
          </cell>
          <cell r="ES313">
            <v>43.18181818181818</v>
          </cell>
        </row>
        <row r="314">
          <cell r="F314">
            <v>107403</v>
          </cell>
          <cell r="G314" t="str">
            <v>VINAGRE VINO BLANCO</v>
          </cell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>
            <v>30</v>
          </cell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K314"/>
          <cell r="DL314"/>
          <cell r="DM314"/>
          <cell r="DN314"/>
          <cell r="DO314"/>
          <cell r="DP314"/>
          <cell r="DQ314"/>
          <cell r="DR314"/>
          <cell r="DS314"/>
          <cell r="DT314"/>
          <cell r="DU314"/>
          <cell r="DV314"/>
          <cell r="DW314"/>
          <cell r="DX314"/>
          <cell r="DY314"/>
          <cell r="DZ314"/>
          <cell r="EA314"/>
          <cell r="EB314"/>
          <cell r="EC314"/>
          <cell r="ED314"/>
          <cell r="EE314"/>
          <cell r="EF314"/>
          <cell r="EG314"/>
          <cell r="EH314"/>
          <cell r="EI314"/>
          <cell r="EJ314" t="str">
            <v>SIN USO</v>
          </cell>
          <cell r="EK314" t="str">
            <v/>
          </cell>
          <cell r="EL314" t="str">
            <v/>
          </cell>
          <cell r="EM314">
            <v>0</v>
          </cell>
          <cell r="EN314">
            <v>0</v>
          </cell>
          <cell r="EO314">
            <v>0</v>
          </cell>
          <cell r="EP314">
            <v>0</v>
          </cell>
          <cell r="EQ314">
            <v>0</v>
          </cell>
          <cell r="ER314">
            <v>0</v>
          </cell>
          <cell r="ES314">
            <v>0</v>
          </cell>
        </row>
        <row r="315">
          <cell r="F315">
            <v>352038</v>
          </cell>
          <cell r="G315" t="str">
            <v>BIZCOCHO VAINILLA 19 cms. 1x18</v>
          </cell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>
            <v>432</v>
          </cell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K315"/>
          <cell r="DL315"/>
          <cell r="DM315"/>
          <cell r="DN315"/>
          <cell r="DO315"/>
          <cell r="DP315"/>
          <cell r="DQ315"/>
          <cell r="DR315"/>
          <cell r="DS315"/>
          <cell r="DT315"/>
          <cell r="DU315"/>
          <cell r="DV315"/>
          <cell r="DW315"/>
          <cell r="DX315"/>
          <cell r="DY315"/>
          <cell r="DZ315"/>
          <cell r="EA315"/>
          <cell r="EB315"/>
          <cell r="EC315"/>
          <cell r="ED315"/>
          <cell r="EE315"/>
          <cell r="EF315"/>
          <cell r="EG315"/>
          <cell r="EH315"/>
          <cell r="EI315"/>
          <cell r="EJ315" t="str">
            <v>SIN USO</v>
          </cell>
          <cell r="EK315" t="str">
            <v/>
          </cell>
          <cell r="EL315" t="str">
            <v/>
          </cell>
          <cell r="EM315">
            <v>0</v>
          </cell>
          <cell r="EN315">
            <v>0</v>
          </cell>
          <cell r="EO315">
            <v>0</v>
          </cell>
          <cell r="EP315">
            <v>0</v>
          </cell>
          <cell r="EQ315">
            <v>0</v>
          </cell>
          <cell r="ER315">
            <v>0</v>
          </cell>
          <cell r="ES315">
            <v>0</v>
          </cell>
        </row>
        <row r="316">
          <cell r="F316">
            <v>405345</v>
          </cell>
          <cell r="G316" t="str">
            <v>DISCO PANQUEQUE CHOCOLATE 18 CM ENCOMIENDA TOTTUS</v>
          </cell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>
            <v>1728</v>
          </cell>
          <cell r="AL316"/>
          <cell r="AM316"/>
          <cell r="AN316"/>
          <cell r="AO316"/>
          <cell r="AP316"/>
          <cell r="AQ316"/>
          <cell r="AR316"/>
          <cell r="AS316"/>
          <cell r="AT316">
            <v>2448</v>
          </cell>
          <cell r="AU316">
            <v>1656</v>
          </cell>
          <cell r="AV316"/>
          <cell r="AW316">
            <v>1080</v>
          </cell>
          <cell r="AX316"/>
          <cell r="AY316">
            <v>3868</v>
          </cell>
          <cell r="AZ316"/>
          <cell r="BA316">
            <v>864</v>
          </cell>
          <cell r="BB316">
            <v>3888</v>
          </cell>
          <cell r="BC316">
            <v>4824</v>
          </cell>
          <cell r="BD316">
            <v>346</v>
          </cell>
          <cell r="BE316"/>
          <cell r="BF316"/>
          <cell r="BG316">
            <v>3814</v>
          </cell>
          <cell r="BH316"/>
          <cell r="BI316"/>
          <cell r="BJ316">
            <v>1080</v>
          </cell>
          <cell r="BK316">
            <v>2448</v>
          </cell>
          <cell r="BL316"/>
          <cell r="BM316"/>
          <cell r="BN316"/>
          <cell r="BO316">
            <v>2853</v>
          </cell>
          <cell r="BP316"/>
          <cell r="BQ316"/>
          <cell r="BR316"/>
          <cell r="BS316"/>
          <cell r="BT316">
            <v>1368</v>
          </cell>
          <cell r="BU316">
            <v>8523</v>
          </cell>
          <cell r="BV316">
            <v>7056</v>
          </cell>
          <cell r="BW316">
            <v>936</v>
          </cell>
          <cell r="BX316"/>
          <cell r="BY316"/>
          <cell r="BZ316"/>
          <cell r="CA316">
            <v>1686</v>
          </cell>
          <cell r="CB316"/>
          <cell r="CC316"/>
          <cell r="CD316">
            <v>1008</v>
          </cell>
          <cell r="CE316"/>
          <cell r="CF316"/>
          <cell r="CG316"/>
          <cell r="CH316"/>
          <cell r="CI316"/>
          <cell r="CJ316"/>
          <cell r="CK316"/>
          <cell r="CL316">
            <v>1080</v>
          </cell>
          <cell r="CM316">
            <v>1152</v>
          </cell>
          <cell r="CN316">
            <v>2160</v>
          </cell>
          <cell r="CO316">
            <v>2021</v>
          </cell>
          <cell r="CP316">
            <v>472</v>
          </cell>
          <cell r="CQ316">
            <v>13248</v>
          </cell>
          <cell r="CR316">
            <v>7416</v>
          </cell>
          <cell r="CS316"/>
          <cell r="CT316"/>
          <cell r="CU316"/>
          <cell r="CV316">
            <v>2408</v>
          </cell>
          <cell r="CW316">
            <v>4536</v>
          </cell>
          <cell r="CX316">
            <v>1944</v>
          </cell>
          <cell r="CY316"/>
          <cell r="CZ316"/>
          <cell r="DA316"/>
          <cell r="DB316">
            <v>1944</v>
          </cell>
          <cell r="DC316"/>
          <cell r="DD316"/>
          <cell r="DE316">
            <v>400</v>
          </cell>
          <cell r="DF316"/>
          <cell r="DG316"/>
          <cell r="DH316"/>
          <cell r="DI316"/>
          <cell r="DJ316"/>
          <cell r="DK316"/>
          <cell r="DL316"/>
          <cell r="DM316"/>
          <cell r="DN316"/>
          <cell r="DO316"/>
          <cell r="DP316"/>
          <cell r="DQ316"/>
          <cell r="DR316"/>
          <cell r="DS316"/>
          <cell r="DT316"/>
          <cell r="DU316"/>
          <cell r="DV316"/>
          <cell r="DW316"/>
          <cell r="DX316"/>
          <cell r="DY316"/>
          <cell r="DZ316"/>
          <cell r="EA316"/>
          <cell r="EB316"/>
          <cell r="EC316"/>
          <cell r="ED316"/>
          <cell r="EE316"/>
          <cell r="EF316"/>
          <cell r="EG316"/>
          <cell r="EH316"/>
          <cell r="EI316"/>
          <cell r="EJ316" t="str">
            <v>SIN USO</v>
          </cell>
          <cell r="EK316" t="str">
            <v>C</v>
          </cell>
          <cell r="EL316">
            <v>0</v>
          </cell>
          <cell r="EM316">
            <v>0</v>
          </cell>
          <cell r="EN316">
            <v>0</v>
          </cell>
          <cell r="EO316">
            <v>3275.7230892037956</v>
          </cell>
          <cell r="EP316">
            <v>0</v>
          </cell>
          <cell r="EQ316">
            <v>0</v>
          </cell>
          <cell r="ER316">
            <v>0</v>
          </cell>
          <cell r="ES316">
            <v>0</v>
          </cell>
        </row>
        <row r="317">
          <cell r="F317">
            <v>107112</v>
          </cell>
          <cell r="G317" t="str">
            <v>MERENGUE PURATOS</v>
          </cell>
          <cell r="H317">
            <v>1040</v>
          </cell>
          <cell r="I317">
            <v>955</v>
          </cell>
          <cell r="J317">
            <v>825</v>
          </cell>
          <cell r="K317">
            <v>875</v>
          </cell>
          <cell r="L317">
            <v>970</v>
          </cell>
          <cell r="M317">
            <v>1095</v>
          </cell>
          <cell r="N317">
            <v>760</v>
          </cell>
          <cell r="O317">
            <v>955</v>
          </cell>
          <cell r="P317">
            <v>835</v>
          </cell>
          <cell r="Q317">
            <v>845</v>
          </cell>
          <cell r="R317">
            <v>895</v>
          </cell>
          <cell r="S317">
            <v>985</v>
          </cell>
          <cell r="T317">
            <v>895</v>
          </cell>
          <cell r="U317">
            <v>905</v>
          </cell>
          <cell r="V317">
            <v>975</v>
          </cell>
          <cell r="W317">
            <v>895</v>
          </cell>
          <cell r="X317">
            <v>890</v>
          </cell>
          <cell r="Y317">
            <v>1350</v>
          </cell>
          <cell r="Z317">
            <v>2110</v>
          </cell>
          <cell r="AA317">
            <v>820</v>
          </cell>
          <cell r="AB317">
            <v>980</v>
          </cell>
          <cell r="AC317">
            <v>831</v>
          </cell>
          <cell r="AD317">
            <v>1025</v>
          </cell>
          <cell r="AE317">
            <v>1880</v>
          </cell>
          <cell r="AF317">
            <v>885</v>
          </cell>
          <cell r="AG317">
            <v>1210</v>
          </cell>
          <cell r="AH317">
            <v>1250</v>
          </cell>
          <cell r="AI317">
            <v>1460</v>
          </cell>
          <cell r="AJ317">
            <v>1305</v>
          </cell>
          <cell r="AK317">
            <v>1275</v>
          </cell>
          <cell r="AL317">
            <v>1090</v>
          </cell>
          <cell r="AM317">
            <v>1705</v>
          </cell>
          <cell r="AN317">
            <v>1085</v>
          </cell>
          <cell r="AO317">
            <v>1020</v>
          </cell>
          <cell r="AP317">
            <v>1160</v>
          </cell>
          <cell r="AQ317">
            <v>1135</v>
          </cell>
          <cell r="AR317">
            <v>1255</v>
          </cell>
          <cell r="AS317">
            <v>375</v>
          </cell>
          <cell r="AT317">
            <v>1458.6190000000001</v>
          </cell>
          <cell r="AU317">
            <v>1140</v>
          </cell>
          <cell r="AV317">
            <v>945</v>
          </cell>
          <cell r="AW317">
            <v>980</v>
          </cell>
          <cell r="AX317">
            <v>1065</v>
          </cell>
          <cell r="AY317">
            <v>935</v>
          </cell>
          <cell r="AZ317">
            <v>1175</v>
          </cell>
          <cell r="BA317">
            <v>1140</v>
          </cell>
          <cell r="BB317">
            <v>970</v>
          </cell>
          <cell r="BC317">
            <v>1035</v>
          </cell>
          <cell r="BD317">
            <v>1085</v>
          </cell>
          <cell r="BE317">
            <v>1115</v>
          </cell>
          <cell r="BF317">
            <v>1261</v>
          </cell>
          <cell r="BG317">
            <v>1250</v>
          </cell>
          <cell r="BH317">
            <v>560</v>
          </cell>
          <cell r="BI317">
            <v>950</v>
          </cell>
          <cell r="BJ317">
            <v>640</v>
          </cell>
          <cell r="BK317">
            <v>1175</v>
          </cell>
          <cell r="BL317">
            <v>1095</v>
          </cell>
          <cell r="BM317">
            <v>1075</v>
          </cell>
          <cell r="BN317">
            <v>1175</v>
          </cell>
          <cell r="BO317">
            <v>915</v>
          </cell>
          <cell r="BP317">
            <v>1045</v>
          </cell>
          <cell r="BQ317">
            <v>905</v>
          </cell>
          <cell r="BR317">
            <v>1235</v>
          </cell>
          <cell r="BS317">
            <v>920</v>
          </cell>
          <cell r="BT317">
            <v>945</v>
          </cell>
          <cell r="BU317">
            <v>1015</v>
          </cell>
          <cell r="BV317">
            <v>990</v>
          </cell>
          <cell r="BW317">
            <v>1090</v>
          </cell>
          <cell r="BX317">
            <v>1055</v>
          </cell>
          <cell r="BY317">
            <v>1530</v>
          </cell>
          <cell r="BZ317">
            <v>1885</v>
          </cell>
          <cell r="CA317">
            <v>1005</v>
          </cell>
          <cell r="CB317">
            <v>985</v>
          </cell>
          <cell r="CC317">
            <v>1075</v>
          </cell>
          <cell r="CD317">
            <v>1095</v>
          </cell>
          <cell r="CE317">
            <v>1765</v>
          </cell>
          <cell r="CF317">
            <v>980</v>
          </cell>
          <cell r="CG317">
            <v>1100</v>
          </cell>
          <cell r="CH317">
            <v>1020</v>
          </cell>
          <cell r="CI317">
            <v>1300</v>
          </cell>
          <cell r="CJ317">
            <v>1180</v>
          </cell>
          <cell r="CK317">
            <v>1065</v>
          </cell>
          <cell r="CL317">
            <v>930</v>
          </cell>
          <cell r="CM317">
            <v>1135</v>
          </cell>
          <cell r="CN317">
            <v>1095</v>
          </cell>
          <cell r="CO317">
            <v>1135</v>
          </cell>
          <cell r="CP317">
            <v>1270</v>
          </cell>
          <cell r="CQ317">
            <v>1110</v>
          </cell>
          <cell r="CR317">
            <v>1165</v>
          </cell>
          <cell r="CS317">
            <v>395</v>
          </cell>
          <cell r="CT317">
            <v>1215</v>
          </cell>
          <cell r="CU317">
            <v>1075</v>
          </cell>
          <cell r="CV317">
            <v>1430</v>
          </cell>
          <cell r="CW317">
            <v>930</v>
          </cell>
          <cell r="CX317">
            <v>995</v>
          </cell>
          <cell r="CY317">
            <v>1065</v>
          </cell>
          <cell r="CZ317">
            <v>955</v>
          </cell>
          <cell r="DA317">
            <v>1080</v>
          </cell>
          <cell r="DB317">
            <v>815</v>
          </cell>
          <cell r="DC317">
            <v>1030</v>
          </cell>
          <cell r="DD317">
            <v>995</v>
          </cell>
          <cell r="DE317">
            <v>925</v>
          </cell>
          <cell r="DF317">
            <v>1430</v>
          </cell>
          <cell r="DG317">
            <v>980</v>
          </cell>
          <cell r="DH317">
            <v>530</v>
          </cell>
          <cell r="DI317">
            <v>290</v>
          </cell>
          <cell r="DJ317">
            <v>1000</v>
          </cell>
          <cell r="DK317">
            <v>905</v>
          </cell>
          <cell r="DL317">
            <v>970</v>
          </cell>
          <cell r="DM317">
            <v>905</v>
          </cell>
          <cell r="DN317">
            <v>910</v>
          </cell>
          <cell r="DO317">
            <v>1090</v>
          </cell>
          <cell r="DP317">
            <v>850</v>
          </cell>
          <cell r="DQ317">
            <v>825</v>
          </cell>
          <cell r="DR317">
            <v>910</v>
          </cell>
          <cell r="DS317">
            <v>965</v>
          </cell>
          <cell r="DT317">
            <v>900</v>
          </cell>
          <cell r="DU317">
            <v>1045</v>
          </cell>
          <cell r="DV317">
            <v>1090</v>
          </cell>
          <cell r="DW317">
            <v>940</v>
          </cell>
          <cell r="DX317">
            <v>875</v>
          </cell>
          <cell r="DY317">
            <v>1050</v>
          </cell>
          <cell r="DZ317">
            <v>1300</v>
          </cell>
          <cell r="EA317">
            <v>1820</v>
          </cell>
          <cell r="EB317">
            <v>1235</v>
          </cell>
          <cell r="EC317">
            <v>800</v>
          </cell>
          <cell r="ED317">
            <v>1040</v>
          </cell>
          <cell r="EE317">
            <v>1090</v>
          </cell>
          <cell r="EF317">
            <v>1005</v>
          </cell>
          <cell r="EG317">
            <v>1590</v>
          </cell>
          <cell r="EH317">
            <v>1240</v>
          </cell>
          <cell r="EI317">
            <v>695</v>
          </cell>
          <cell r="EJ317" t="str">
            <v>ACTIVO</v>
          </cell>
          <cell r="EK317" t="str">
            <v>A</v>
          </cell>
          <cell r="EL317">
            <v>500</v>
          </cell>
          <cell r="EM317">
            <v>1016</v>
          </cell>
          <cell r="EN317">
            <v>169.33333333333334</v>
          </cell>
          <cell r="EO317">
            <v>252.0053461432129</v>
          </cell>
          <cell r="EP317">
            <v>1130</v>
          </cell>
          <cell r="EQ317">
            <v>3065588.3</v>
          </cell>
          <cell r="ER317">
            <v>1.1122047244094488</v>
          </cell>
          <cell r="ES317">
            <v>508</v>
          </cell>
        </row>
        <row r="318">
          <cell r="F318">
            <v>107210</v>
          </cell>
          <cell r="G318" t="str">
            <v>DISCO MERENGUE PAVESI</v>
          </cell>
          <cell r="H318">
            <v>14544</v>
          </cell>
          <cell r="I318">
            <v>24624</v>
          </cell>
          <cell r="J318">
            <v>8856</v>
          </cell>
          <cell r="K318">
            <v>6480</v>
          </cell>
          <cell r="L318">
            <v>12240</v>
          </cell>
          <cell r="M318">
            <v>23904</v>
          </cell>
          <cell r="N318">
            <v>13680</v>
          </cell>
          <cell r="O318">
            <v>7128</v>
          </cell>
          <cell r="P318">
            <v>5400</v>
          </cell>
          <cell r="Q318">
            <v>7560</v>
          </cell>
          <cell r="R318">
            <v>18000</v>
          </cell>
          <cell r="S318">
            <v>11520</v>
          </cell>
          <cell r="T318">
            <v>11376</v>
          </cell>
          <cell r="U318">
            <v>11448</v>
          </cell>
          <cell r="V318">
            <v>7416</v>
          </cell>
          <cell r="W318">
            <v>9240</v>
          </cell>
          <cell r="X318">
            <v>27000</v>
          </cell>
          <cell r="Y318">
            <v>2520</v>
          </cell>
          <cell r="Z318">
            <v>2880</v>
          </cell>
          <cell r="AA318">
            <v>8640</v>
          </cell>
          <cell r="AB318">
            <v>16920</v>
          </cell>
          <cell r="AC318">
            <v>3240</v>
          </cell>
          <cell r="AD318">
            <v>15804</v>
          </cell>
          <cell r="AE318">
            <v>5472</v>
          </cell>
          <cell r="AF318">
            <v>8028</v>
          </cell>
          <cell r="AG318">
            <v>14868</v>
          </cell>
          <cell r="AH318">
            <v>0</v>
          </cell>
          <cell r="AI318">
            <v>1080</v>
          </cell>
          <cell r="AJ318">
            <v>9720</v>
          </cell>
          <cell r="AK318">
            <v>20484</v>
          </cell>
          <cell r="AL318">
            <v>1080</v>
          </cell>
          <cell r="AM318"/>
          <cell r="AN318">
            <v>12456</v>
          </cell>
          <cell r="AO318">
            <v>16920</v>
          </cell>
          <cell r="AP318">
            <v>1080</v>
          </cell>
          <cell r="AQ318"/>
          <cell r="AR318">
            <v>1080</v>
          </cell>
          <cell r="AS318">
            <v>1080</v>
          </cell>
          <cell r="AT318">
            <v>9864</v>
          </cell>
          <cell r="AU318">
            <v>3672</v>
          </cell>
          <cell r="AV318">
            <v>7416</v>
          </cell>
          <cell r="AW318">
            <v>14418</v>
          </cell>
          <cell r="AX318">
            <v>20160</v>
          </cell>
          <cell r="AY318">
            <v>10080</v>
          </cell>
          <cell r="AZ318">
            <v>16200</v>
          </cell>
          <cell r="BA318">
            <v>6840</v>
          </cell>
          <cell r="BB318">
            <v>30852</v>
          </cell>
          <cell r="BC318">
            <v>13284</v>
          </cell>
          <cell r="BD318">
            <v>31788</v>
          </cell>
          <cell r="BE318">
            <v>26532</v>
          </cell>
          <cell r="BF318">
            <v>20067</v>
          </cell>
          <cell r="BG318">
            <v>2520</v>
          </cell>
          <cell r="BH318"/>
          <cell r="BI318">
            <v>16344</v>
          </cell>
          <cell r="BJ318">
            <v>17496</v>
          </cell>
          <cell r="BK318">
            <v>21888</v>
          </cell>
          <cell r="BL318">
            <v>7524</v>
          </cell>
          <cell r="BM318">
            <v>13680</v>
          </cell>
          <cell r="BN318">
            <v>3240</v>
          </cell>
          <cell r="BO318">
            <v>13068</v>
          </cell>
          <cell r="BP318"/>
          <cell r="BQ318">
            <v>10380</v>
          </cell>
          <cell r="BR318">
            <v>20664</v>
          </cell>
          <cell r="BS318">
            <v>14976</v>
          </cell>
          <cell r="BT318">
            <v>14364</v>
          </cell>
          <cell r="BU318">
            <v>10224</v>
          </cell>
          <cell r="BV318">
            <v>21780</v>
          </cell>
          <cell r="BW318">
            <v>20684</v>
          </cell>
          <cell r="BX318">
            <v>4788</v>
          </cell>
          <cell r="BY318">
            <v>13572</v>
          </cell>
          <cell r="BZ318"/>
          <cell r="CA318">
            <v>11448</v>
          </cell>
          <cell r="CB318">
            <v>24012</v>
          </cell>
          <cell r="CC318">
            <v>6984</v>
          </cell>
          <cell r="CD318">
            <v>10908</v>
          </cell>
          <cell r="CE318"/>
          <cell r="CF318">
            <v>1836</v>
          </cell>
          <cell r="CG318">
            <v>2576</v>
          </cell>
          <cell r="CH318">
            <v>4128</v>
          </cell>
          <cell r="CI318">
            <v>4356</v>
          </cell>
          <cell r="CJ318">
            <v>6876</v>
          </cell>
          <cell r="CK318">
            <v>9288</v>
          </cell>
          <cell r="CL318">
            <v>7200</v>
          </cell>
          <cell r="CM318">
            <v>10800</v>
          </cell>
          <cell r="CN318">
            <v>12060</v>
          </cell>
          <cell r="CO318">
            <v>4380</v>
          </cell>
          <cell r="CP318">
            <v>12420</v>
          </cell>
          <cell r="CQ318">
            <v>18684</v>
          </cell>
          <cell r="CR318">
            <v>15408</v>
          </cell>
          <cell r="CS318">
            <v>4644</v>
          </cell>
          <cell r="CT318">
            <v>9576</v>
          </cell>
          <cell r="CU318">
            <v>16884</v>
          </cell>
          <cell r="CV318">
            <v>15696</v>
          </cell>
          <cell r="CW318">
            <v>15192</v>
          </cell>
          <cell r="CX318">
            <v>12636</v>
          </cell>
          <cell r="CY318">
            <v>18216</v>
          </cell>
          <cell r="CZ318">
            <v>23868</v>
          </cell>
          <cell r="DA318">
            <v>25560</v>
          </cell>
          <cell r="DB318">
            <v>19512</v>
          </cell>
          <cell r="DC318">
            <v>14904</v>
          </cell>
          <cell r="DD318">
            <v>7416</v>
          </cell>
          <cell r="DE318">
            <v>22572</v>
          </cell>
          <cell r="DF318">
            <v>23040</v>
          </cell>
          <cell r="DG318">
            <v>20052</v>
          </cell>
          <cell r="DH318">
            <v>15408</v>
          </cell>
          <cell r="DI318">
            <v>2304</v>
          </cell>
          <cell r="DJ318">
            <v>39708</v>
          </cell>
          <cell r="DK318">
            <v>37872</v>
          </cell>
          <cell r="DL318">
            <v>28908</v>
          </cell>
          <cell r="DM318">
            <v>2988</v>
          </cell>
          <cell r="DN318">
            <v>936</v>
          </cell>
          <cell r="DO318">
            <v>1368</v>
          </cell>
          <cell r="DP318">
            <v>13968</v>
          </cell>
          <cell r="DQ318">
            <v>1548</v>
          </cell>
          <cell r="DR318">
            <v>10368</v>
          </cell>
          <cell r="DS318">
            <v>8676</v>
          </cell>
          <cell r="DT318">
            <v>11520</v>
          </cell>
          <cell r="DU318">
            <v>6912</v>
          </cell>
          <cell r="DV318">
            <v>24192</v>
          </cell>
          <cell r="DW318">
            <v>22608</v>
          </cell>
          <cell r="DX318">
            <v>15876</v>
          </cell>
          <cell r="DY318">
            <v>42876</v>
          </cell>
          <cell r="DZ318">
            <v>9072</v>
          </cell>
          <cell r="EA318"/>
          <cell r="EB318">
            <v>10800</v>
          </cell>
          <cell r="EC318">
            <v>3996</v>
          </cell>
          <cell r="ED318">
            <v>12060</v>
          </cell>
          <cell r="EE318">
            <v>4392</v>
          </cell>
          <cell r="EF318">
            <v>12420</v>
          </cell>
          <cell r="EG318">
            <v>396</v>
          </cell>
          <cell r="EH318">
            <v>9504</v>
          </cell>
          <cell r="EI318">
            <v>10080</v>
          </cell>
          <cell r="EJ318" t="str">
            <v>ACTIVO</v>
          </cell>
          <cell r="EK318" t="str">
            <v>A</v>
          </cell>
          <cell r="EL318">
            <v>864</v>
          </cell>
          <cell r="EM318">
            <v>13573.5</v>
          </cell>
          <cell r="EN318">
            <v>2262.25</v>
          </cell>
          <cell r="EO318">
            <v>6463.273422448824</v>
          </cell>
          <cell r="EP318">
            <v>18252</v>
          </cell>
          <cell r="EQ318">
            <v>14084338.32</v>
          </cell>
          <cell r="ER318">
            <v>1.3446789700519395</v>
          </cell>
          <cell r="ES318">
            <v>6786.75</v>
          </cell>
        </row>
        <row r="319">
          <cell r="F319">
            <v>405577</v>
          </cell>
          <cell r="G319" t="str">
            <v>INSUMO INTERPLANTA BIZCOCHO TIPO TRES LECHES 19 CM.</v>
          </cell>
          <cell r="H319"/>
          <cell r="I319"/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>
            <v>780</v>
          </cell>
          <cell r="CQ319">
            <v>765</v>
          </cell>
          <cell r="CR319">
            <v>1110</v>
          </cell>
          <cell r="CS319">
            <v>210</v>
          </cell>
          <cell r="CT319">
            <v>1647</v>
          </cell>
          <cell r="CU319">
            <v>852</v>
          </cell>
          <cell r="CV319">
            <v>855</v>
          </cell>
          <cell r="CW319">
            <v>1004</v>
          </cell>
          <cell r="CX319">
            <v>1050</v>
          </cell>
          <cell r="CY319">
            <v>1170</v>
          </cell>
          <cell r="CZ319">
            <v>998</v>
          </cell>
          <cell r="DA319">
            <v>1005</v>
          </cell>
          <cell r="DB319">
            <v>723</v>
          </cell>
          <cell r="DC319">
            <v>1335</v>
          </cell>
          <cell r="DD319">
            <v>1083</v>
          </cell>
          <cell r="DE319">
            <v>569</v>
          </cell>
          <cell r="DF319">
            <v>526</v>
          </cell>
          <cell r="DG319">
            <v>315</v>
          </cell>
          <cell r="DH319">
            <v>405</v>
          </cell>
          <cell r="DI319">
            <v>120</v>
          </cell>
          <cell r="DJ319">
            <v>450</v>
          </cell>
          <cell r="DK319">
            <v>1340</v>
          </cell>
          <cell r="DL319">
            <v>975</v>
          </cell>
          <cell r="DM319">
            <v>1125</v>
          </cell>
          <cell r="DN319">
            <v>900</v>
          </cell>
          <cell r="DO319">
            <v>1005</v>
          </cell>
          <cell r="DP319">
            <v>820</v>
          </cell>
          <cell r="DQ319">
            <v>1110</v>
          </cell>
          <cell r="DR319">
            <v>1095</v>
          </cell>
          <cell r="DS319">
            <v>1035</v>
          </cell>
          <cell r="DT319">
            <v>1225</v>
          </cell>
          <cell r="DU319">
            <v>1020</v>
          </cell>
          <cell r="DV319">
            <v>960</v>
          </cell>
          <cell r="DW319">
            <v>1260</v>
          </cell>
          <cell r="DX319">
            <v>1305</v>
          </cell>
          <cell r="DY319">
            <v>1440</v>
          </cell>
          <cell r="DZ319">
            <v>2009</v>
          </cell>
          <cell r="EA319">
            <v>2085</v>
          </cell>
          <cell r="EB319">
            <v>1635</v>
          </cell>
          <cell r="EC319">
            <v>1725</v>
          </cell>
          <cell r="ED319">
            <v>1470</v>
          </cell>
          <cell r="EE319">
            <v>975</v>
          </cell>
          <cell r="EF319">
            <v>945</v>
          </cell>
          <cell r="EG319">
            <v>1590</v>
          </cell>
          <cell r="EH319">
            <v>1125</v>
          </cell>
          <cell r="EI319">
            <v>1005</v>
          </cell>
          <cell r="EJ319" t="str">
            <v>ACTIVO</v>
          </cell>
          <cell r="EK319" t="str">
            <v>B</v>
          </cell>
          <cell r="EL319" t="str">
            <v/>
          </cell>
          <cell r="EM319">
            <v>1184.76</v>
          </cell>
          <cell r="EN319">
            <v>197.46</v>
          </cell>
          <cell r="EO319">
            <v>358.01114850817191</v>
          </cell>
          <cell r="EP319">
            <v>1267</v>
          </cell>
          <cell r="EQ319">
            <v>1410779.16</v>
          </cell>
          <cell r="ER319">
            <v>1.0694149025963064</v>
          </cell>
          <cell r="ES319">
            <v>394.92</v>
          </cell>
        </row>
        <row r="320">
          <cell r="F320">
            <v>107321</v>
          </cell>
          <cell r="G320" t="str">
            <v>MERENGUE CONGELABLE PURATOS</v>
          </cell>
          <cell r="H320"/>
          <cell r="I320"/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>
            <v>1500</v>
          </cell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K320"/>
          <cell r="DL320"/>
          <cell r="DM320"/>
          <cell r="DN320"/>
          <cell r="DO320"/>
          <cell r="DP320"/>
          <cell r="DQ320"/>
          <cell r="DR320"/>
          <cell r="DS320"/>
          <cell r="DT320"/>
          <cell r="DU320"/>
          <cell r="DV320"/>
          <cell r="DW320"/>
          <cell r="DX320"/>
          <cell r="DY320"/>
          <cell r="DZ320"/>
          <cell r="EA320"/>
          <cell r="EB320"/>
          <cell r="EC320"/>
          <cell r="ED320"/>
          <cell r="EE320"/>
          <cell r="EF320"/>
          <cell r="EG320"/>
          <cell r="EH320"/>
          <cell r="EI320"/>
          <cell r="EJ320" t="str">
            <v>SIN USO</v>
          </cell>
          <cell r="EK320" t="str">
            <v/>
          </cell>
          <cell r="EL320" t="str">
            <v/>
          </cell>
          <cell r="EM320">
            <v>0</v>
          </cell>
          <cell r="EN320">
            <v>0</v>
          </cell>
          <cell r="EO320">
            <v>0</v>
          </cell>
          <cell r="EP320">
            <v>0</v>
          </cell>
          <cell r="EQ320">
            <v>0</v>
          </cell>
          <cell r="ER320">
            <v>0</v>
          </cell>
          <cell r="ES320">
            <v>0</v>
          </cell>
        </row>
        <row r="321">
          <cell r="F321">
            <v>353001</v>
          </cell>
          <cell r="G321" t="str">
            <v>INSUMO SEMI-ELABORADO INTERPLANTA BIZCOCHO VAINILLA 19cm</v>
          </cell>
          <cell r="H321">
            <v>12510</v>
          </cell>
          <cell r="I321">
            <v>9826</v>
          </cell>
          <cell r="J321">
            <v>12870</v>
          </cell>
          <cell r="K321">
            <v>16554</v>
          </cell>
          <cell r="L321">
            <v>15354</v>
          </cell>
          <cell r="M321">
            <v>12222</v>
          </cell>
          <cell r="N321">
            <v>12708</v>
          </cell>
          <cell r="O321">
            <v>14310</v>
          </cell>
          <cell r="P321">
            <v>11196</v>
          </cell>
          <cell r="Q321">
            <v>10278</v>
          </cell>
          <cell r="R321">
            <v>12744</v>
          </cell>
          <cell r="S321">
            <v>5172</v>
          </cell>
          <cell r="T321">
            <v>9036.6919999999991</v>
          </cell>
          <cell r="U321">
            <v>14724</v>
          </cell>
          <cell r="V321">
            <v>15930</v>
          </cell>
          <cell r="W321">
            <v>13266</v>
          </cell>
          <cell r="X321">
            <v>12186</v>
          </cell>
          <cell r="Y321">
            <v>15066</v>
          </cell>
          <cell r="Z321">
            <v>19134</v>
          </cell>
          <cell r="AA321">
            <v>16164</v>
          </cell>
          <cell r="AB321">
            <v>15300</v>
          </cell>
          <cell r="AC321">
            <v>13752</v>
          </cell>
          <cell r="AD321">
            <v>11930</v>
          </cell>
          <cell r="AE321">
            <v>11232</v>
          </cell>
          <cell r="AF321">
            <v>13788</v>
          </cell>
          <cell r="AG321">
            <v>14202</v>
          </cell>
          <cell r="AH321">
            <v>13500</v>
          </cell>
          <cell r="AI321">
            <v>11646</v>
          </cell>
          <cell r="AJ321">
            <v>12510</v>
          </cell>
          <cell r="AK321">
            <v>12420</v>
          </cell>
          <cell r="AL321">
            <v>12924</v>
          </cell>
          <cell r="AM321">
            <v>16200</v>
          </cell>
          <cell r="AN321">
            <v>13590</v>
          </cell>
          <cell r="AO321">
            <v>11466</v>
          </cell>
          <cell r="AP321">
            <v>12636</v>
          </cell>
          <cell r="AQ321">
            <v>13842</v>
          </cell>
          <cell r="AR321">
            <v>12438</v>
          </cell>
          <cell r="AS321">
            <v>7092</v>
          </cell>
          <cell r="AT321">
            <v>14220</v>
          </cell>
          <cell r="AU321">
            <v>12726</v>
          </cell>
          <cell r="AV321">
            <v>15372</v>
          </cell>
          <cell r="AW321">
            <v>8280</v>
          </cell>
          <cell r="AX321">
            <v>17770</v>
          </cell>
          <cell r="AY321">
            <v>15210</v>
          </cell>
          <cell r="AZ321">
            <v>9702</v>
          </cell>
          <cell r="BA321">
            <v>17064</v>
          </cell>
          <cell r="BB321">
            <v>13320</v>
          </cell>
          <cell r="BC321">
            <v>14274</v>
          </cell>
          <cell r="BD321">
            <v>17262</v>
          </cell>
          <cell r="BE321">
            <v>10134</v>
          </cell>
          <cell r="BF321">
            <v>13464</v>
          </cell>
          <cell r="BG321">
            <v>14174</v>
          </cell>
          <cell r="BH321">
            <v>3528</v>
          </cell>
          <cell r="BI321">
            <v>4230</v>
          </cell>
          <cell r="BJ321">
            <v>9756</v>
          </cell>
          <cell r="BK321">
            <v>17581</v>
          </cell>
          <cell r="BL321">
            <v>9738</v>
          </cell>
          <cell r="BM321">
            <v>18108</v>
          </cell>
          <cell r="BN321">
            <v>8280</v>
          </cell>
          <cell r="BO321">
            <v>9498</v>
          </cell>
          <cell r="BP321">
            <v>7632</v>
          </cell>
          <cell r="BQ321">
            <v>14162</v>
          </cell>
          <cell r="BR321">
            <v>11173</v>
          </cell>
          <cell r="BS321">
            <v>5764</v>
          </cell>
          <cell r="BT321">
            <v>17028</v>
          </cell>
          <cell r="BU321">
            <v>5922</v>
          </cell>
          <cell r="BV321">
            <v>10962</v>
          </cell>
          <cell r="BW321">
            <v>16164</v>
          </cell>
          <cell r="BX321">
            <v>7650</v>
          </cell>
          <cell r="BY321">
            <v>13494</v>
          </cell>
          <cell r="BZ321">
            <v>18510</v>
          </cell>
          <cell r="CA321">
            <v>15354</v>
          </cell>
          <cell r="CB321">
            <v>19044</v>
          </cell>
          <cell r="CC321">
            <v>13248</v>
          </cell>
          <cell r="CD321">
            <v>10638</v>
          </cell>
          <cell r="CE321">
            <v>11880</v>
          </cell>
          <cell r="CF321">
            <v>13284</v>
          </cell>
          <cell r="CG321">
            <v>16024</v>
          </cell>
          <cell r="CH321">
            <v>5130</v>
          </cell>
          <cell r="CI321">
            <v>9648</v>
          </cell>
          <cell r="CJ321">
            <v>9090</v>
          </cell>
          <cell r="CK321">
            <v>10026</v>
          </cell>
          <cell r="CL321">
            <v>11988</v>
          </cell>
          <cell r="CM321">
            <v>14292</v>
          </cell>
          <cell r="CN321">
            <v>13894</v>
          </cell>
          <cell r="CO321">
            <v>15192</v>
          </cell>
          <cell r="CP321">
            <v>7866</v>
          </cell>
          <cell r="CQ321">
            <v>10890</v>
          </cell>
          <cell r="CR321">
            <v>20124</v>
          </cell>
          <cell r="CS321">
            <v>8460</v>
          </cell>
          <cell r="CT321">
            <v>10563</v>
          </cell>
          <cell r="CU321">
            <v>9666</v>
          </cell>
          <cell r="CV321">
            <v>13626</v>
          </cell>
          <cell r="CW321">
            <v>17658</v>
          </cell>
          <cell r="CX321">
            <v>12782</v>
          </cell>
          <cell r="CY321">
            <v>13500</v>
          </cell>
          <cell r="CZ321">
            <v>8406</v>
          </cell>
          <cell r="DA321">
            <v>10566</v>
          </cell>
          <cell r="DB321">
            <v>9630</v>
          </cell>
          <cell r="DC321">
            <v>14130</v>
          </cell>
          <cell r="DD321">
            <v>8190</v>
          </cell>
          <cell r="DE321">
            <v>7722</v>
          </cell>
          <cell r="DF321">
            <v>14221</v>
          </cell>
          <cell r="DG321">
            <v>7021</v>
          </cell>
          <cell r="DH321">
            <v>3438</v>
          </cell>
          <cell r="DI321">
            <v>3060</v>
          </cell>
          <cell r="DJ321">
            <v>11466</v>
          </cell>
          <cell r="DK321">
            <v>12366</v>
          </cell>
          <cell r="DL321">
            <v>8892</v>
          </cell>
          <cell r="DM321">
            <v>18900</v>
          </cell>
          <cell r="DN321">
            <v>12888</v>
          </cell>
          <cell r="DO321">
            <v>13662</v>
          </cell>
          <cell r="DP321">
            <v>6534</v>
          </cell>
          <cell r="DQ321">
            <v>8838</v>
          </cell>
          <cell r="DR321">
            <v>9169</v>
          </cell>
          <cell r="DS321">
            <v>14706</v>
          </cell>
          <cell r="DT321">
            <v>15336</v>
          </cell>
          <cell r="DU321">
            <v>9914</v>
          </cell>
          <cell r="DV321">
            <v>11538</v>
          </cell>
          <cell r="DW321">
            <v>5508</v>
          </cell>
          <cell r="DX321">
            <v>13681</v>
          </cell>
          <cell r="DY321">
            <v>24570</v>
          </cell>
          <cell r="DZ321">
            <v>11142</v>
          </cell>
          <cell r="EA321">
            <v>8694</v>
          </cell>
          <cell r="EB321">
            <v>14742</v>
          </cell>
          <cell r="EC321">
            <v>15678</v>
          </cell>
          <cell r="ED321">
            <v>5436</v>
          </cell>
          <cell r="EE321">
            <v>13878</v>
          </cell>
          <cell r="EF321">
            <v>11466</v>
          </cell>
          <cell r="EG321">
            <v>17622</v>
          </cell>
          <cell r="EH321">
            <v>18432</v>
          </cell>
          <cell r="EI321">
            <v>8982</v>
          </cell>
          <cell r="EJ321" t="str">
            <v>ACTIVO</v>
          </cell>
          <cell r="EK321" t="str">
            <v>A</v>
          </cell>
          <cell r="EL321">
            <v>540</v>
          </cell>
          <cell r="EM321">
            <v>11987.44</v>
          </cell>
          <cell r="EN321">
            <v>1997.9066666666668</v>
          </cell>
          <cell r="EO321">
            <v>4139.1815521459721</v>
          </cell>
          <cell r="EP321">
            <v>5976</v>
          </cell>
          <cell r="EQ321">
            <v>5026891.68</v>
          </cell>
          <cell r="ER321">
            <v>0.49852178613615583</v>
          </cell>
          <cell r="ES321">
            <v>3995.8133333333335</v>
          </cell>
        </row>
        <row r="322">
          <cell r="F322">
            <v>353009</v>
          </cell>
          <cell r="G322" t="str">
            <v>DISCO PANQUEQUE VAINILLA 19 CM. SEMI ELABORADO UND</v>
          </cell>
          <cell r="H322">
            <v>73800</v>
          </cell>
          <cell r="I322">
            <v>56016</v>
          </cell>
          <cell r="J322">
            <v>105624</v>
          </cell>
          <cell r="K322">
            <v>97848</v>
          </cell>
          <cell r="L322">
            <v>77022</v>
          </cell>
          <cell r="M322">
            <v>70704</v>
          </cell>
          <cell r="N322">
            <v>64080</v>
          </cell>
          <cell r="O322">
            <v>48168</v>
          </cell>
          <cell r="P322">
            <v>80424</v>
          </cell>
          <cell r="Q322">
            <v>58392</v>
          </cell>
          <cell r="R322">
            <v>64800</v>
          </cell>
          <cell r="S322">
            <v>40248</v>
          </cell>
          <cell r="T322">
            <v>57744</v>
          </cell>
          <cell r="U322">
            <v>71352</v>
          </cell>
          <cell r="V322">
            <v>58608</v>
          </cell>
          <cell r="W322">
            <v>75600</v>
          </cell>
          <cell r="X322">
            <v>106128</v>
          </cell>
          <cell r="Y322">
            <v>53928</v>
          </cell>
          <cell r="Z322">
            <v>39240</v>
          </cell>
          <cell r="AA322">
            <v>68976</v>
          </cell>
          <cell r="AB322">
            <v>65664</v>
          </cell>
          <cell r="AC322">
            <v>71568</v>
          </cell>
          <cell r="AD322">
            <v>73296</v>
          </cell>
          <cell r="AE322">
            <v>65880</v>
          </cell>
          <cell r="AF322">
            <v>75384</v>
          </cell>
          <cell r="AG322">
            <v>69624</v>
          </cell>
          <cell r="AH322">
            <v>74448</v>
          </cell>
          <cell r="AI322">
            <v>68688</v>
          </cell>
          <cell r="AJ322">
            <v>58464</v>
          </cell>
          <cell r="AK322">
            <v>52488</v>
          </cell>
          <cell r="AL322">
            <v>69336</v>
          </cell>
          <cell r="AM322">
            <v>69480</v>
          </cell>
          <cell r="AN322">
            <v>51408</v>
          </cell>
          <cell r="AO322">
            <v>58248</v>
          </cell>
          <cell r="AP322">
            <v>62496</v>
          </cell>
          <cell r="AQ322">
            <v>67536</v>
          </cell>
          <cell r="AR322">
            <v>63504</v>
          </cell>
          <cell r="AS322">
            <v>46440</v>
          </cell>
          <cell r="AT322">
            <v>42048</v>
          </cell>
          <cell r="AU322">
            <v>45144</v>
          </cell>
          <cell r="AV322">
            <v>67032</v>
          </cell>
          <cell r="AW322">
            <v>72504</v>
          </cell>
          <cell r="AX322">
            <v>78768</v>
          </cell>
          <cell r="AY322">
            <v>78768</v>
          </cell>
          <cell r="AZ322">
            <v>42552</v>
          </cell>
          <cell r="BA322">
            <v>42840</v>
          </cell>
          <cell r="BB322">
            <v>87696</v>
          </cell>
          <cell r="BC322">
            <v>42408</v>
          </cell>
          <cell r="BD322">
            <v>47232</v>
          </cell>
          <cell r="BE322">
            <v>64512</v>
          </cell>
          <cell r="BF322">
            <v>57744</v>
          </cell>
          <cell r="BG322">
            <v>63720</v>
          </cell>
          <cell r="BH322">
            <v>23616</v>
          </cell>
          <cell r="BI322">
            <v>35496</v>
          </cell>
          <cell r="BJ322">
            <v>55440</v>
          </cell>
          <cell r="BK322">
            <v>99603</v>
          </cell>
          <cell r="BL322">
            <v>83448</v>
          </cell>
          <cell r="BM322">
            <v>65232</v>
          </cell>
          <cell r="BN322">
            <v>74017</v>
          </cell>
          <cell r="BO322">
            <v>88704</v>
          </cell>
          <cell r="BP322">
            <v>35712</v>
          </cell>
          <cell r="BQ322">
            <v>39960</v>
          </cell>
          <cell r="BR322">
            <v>71424</v>
          </cell>
          <cell r="BS322">
            <v>96048</v>
          </cell>
          <cell r="BT322">
            <v>97272</v>
          </cell>
          <cell r="BU322">
            <v>30762</v>
          </cell>
          <cell r="BV322">
            <v>45792</v>
          </cell>
          <cell r="BW322">
            <v>55944</v>
          </cell>
          <cell r="BX322">
            <v>88632</v>
          </cell>
          <cell r="BY322">
            <v>71208</v>
          </cell>
          <cell r="BZ322">
            <v>33192</v>
          </cell>
          <cell r="CA322">
            <v>29736</v>
          </cell>
          <cell r="CB322">
            <v>81576</v>
          </cell>
          <cell r="CC322">
            <v>61560</v>
          </cell>
          <cell r="CD322">
            <v>45792</v>
          </cell>
          <cell r="CE322">
            <v>25416</v>
          </cell>
          <cell r="CF322">
            <v>34200</v>
          </cell>
          <cell r="CG322">
            <v>50400</v>
          </cell>
          <cell r="CH322">
            <v>29880</v>
          </cell>
          <cell r="CI322">
            <v>80856</v>
          </cell>
          <cell r="CJ322">
            <v>22370</v>
          </cell>
          <cell r="CK322">
            <v>79776</v>
          </cell>
          <cell r="CL322">
            <v>47520</v>
          </cell>
          <cell r="CM322">
            <v>62748</v>
          </cell>
          <cell r="CN322">
            <v>79128</v>
          </cell>
          <cell r="CO322">
            <v>54576</v>
          </cell>
          <cell r="CP322">
            <v>81900</v>
          </cell>
          <cell r="CQ322">
            <v>74808</v>
          </cell>
          <cell r="CR322">
            <v>78192</v>
          </cell>
          <cell r="CS322">
            <v>47520</v>
          </cell>
          <cell r="CT322">
            <v>62352</v>
          </cell>
          <cell r="CU322">
            <v>25992</v>
          </cell>
          <cell r="CV322">
            <v>64368</v>
          </cell>
          <cell r="CW322">
            <v>36504</v>
          </cell>
          <cell r="CX322">
            <v>94536</v>
          </cell>
          <cell r="CY322">
            <v>30024</v>
          </cell>
          <cell r="CZ322">
            <v>68400</v>
          </cell>
          <cell r="DA322">
            <v>102816</v>
          </cell>
          <cell r="DB322">
            <v>77112</v>
          </cell>
          <cell r="DC322">
            <v>57726</v>
          </cell>
          <cell r="DD322">
            <v>14832</v>
          </cell>
          <cell r="DE322">
            <v>38376</v>
          </cell>
          <cell r="DF322">
            <v>35280</v>
          </cell>
          <cell r="DG322">
            <v>17280</v>
          </cell>
          <cell r="DH322">
            <v>7560</v>
          </cell>
          <cell r="DI322">
            <v>10512</v>
          </cell>
          <cell r="DJ322">
            <v>62064</v>
          </cell>
          <cell r="DK322">
            <v>74664</v>
          </cell>
          <cell r="DL322">
            <v>58176</v>
          </cell>
          <cell r="DM322">
            <v>86184</v>
          </cell>
          <cell r="DN322">
            <v>74736</v>
          </cell>
          <cell r="DO322">
            <v>32472</v>
          </cell>
          <cell r="DP322">
            <v>45864</v>
          </cell>
          <cell r="DQ322">
            <v>55008</v>
          </cell>
          <cell r="DR322">
            <v>61632</v>
          </cell>
          <cell r="DS322">
            <v>50096</v>
          </cell>
          <cell r="DT322">
            <v>28944</v>
          </cell>
          <cell r="DU322">
            <v>47068</v>
          </cell>
          <cell r="DV322">
            <v>31464</v>
          </cell>
          <cell r="DW322">
            <v>50544</v>
          </cell>
          <cell r="DX322">
            <v>72504</v>
          </cell>
          <cell r="DY322">
            <v>131544</v>
          </cell>
          <cell r="DZ322">
            <v>38784</v>
          </cell>
          <cell r="EA322">
            <v>19032</v>
          </cell>
          <cell r="EB322">
            <v>79968</v>
          </cell>
          <cell r="EC322">
            <v>54720</v>
          </cell>
          <cell r="ED322">
            <v>63144</v>
          </cell>
          <cell r="EE322">
            <v>45984</v>
          </cell>
          <cell r="EF322">
            <v>53708</v>
          </cell>
          <cell r="EG322">
            <v>57384</v>
          </cell>
          <cell r="EH322">
            <v>43632</v>
          </cell>
          <cell r="EI322">
            <v>47880</v>
          </cell>
          <cell r="EJ322" t="str">
            <v>ACTIVO</v>
          </cell>
          <cell r="EK322" t="str">
            <v>A</v>
          </cell>
          <cell r="EL322">
            <v>2160</v>
          </cell>
          <cell r="EM322">
            <v>55448</v>
          </cell>
          <cell r="EN322">
            <v>9241.3333333333339</v>
          </cell>
          <cell r="EO322">
            <v>25248.590119384702</v>
          </cell>
          <cell r="EP322">
            <v>15984</v>
          </cell>
          <cell r="EQ322">
            <v>2363873.7599999998</v>
          </cell>
          <cell r="ER322">
            <v>0.28827009089597461</v>
          </cell>
          <cell r="ES322">
            <v>18482.666666666668</v>
          </cell>
        </row>
        <row r="323">
          <cell r="F323">
            <v>362029</v>
          </cell>
          <cell r="G323" t="str">
            <v>PLANCHA DE HOJA  42X36X1 cm (1x12)</v>
          </cell>
          <cell r="H323">
            <v>940</v>
          </cell>
          <cell r="I323">
            <v>1180</v>
          </cell>
          <cell r="J323">
            <v>1412</v>
          </cell>
          <cell r="K323">
            <v>1096</v>
          </cell>
          <cell r="L323">
            <v>1280</v>
          </cell>
          <cell r="M323">
            <v>1696</v>
          </cell>
          <cell r="N323">
            <v>1188</v>
          </cell>
          <cell r="O323">
            <v>1816</v>
          </cell>
          <cell r="P323">
            <v>864</v>
          </cell>
          <cell r="Q323">
            <v>1728</v>
          </cell>
          <cell r="R323">
            <v>1296</v>
          </cell>
          <cell r="S323">
            <v>1296</v>
          </cell>
          <cell r="T323">
            <v>864</v>
          </cell>
          <cell r="U323">
            <v>864</v>
          </cell>
          <cell r="V323">
            <v>1728</v>
          </cell>
          <cell r="W323">
            <v>1108</v>
          </cell>
          <cell r="X323">
            <v>864</v>
          </cell>
          <cell r="Y323">
            <v>864</v>
          </cell>
          <cell r="Z323">
            <v>864</v>
          </cell>
          <cell r="AA323">
            <v>432</v>
          </cell>
          <cell r="AB323">
            <v>1008</v>
          </cell>
          <cell r="AC323">
            <v>1296</v>
          </cell>
          <cell r="AD323">
            <v>1288</v>
          </cell>
          <cell r="AE323">
            <v>432</v>
          </cell>
          <cell r="AF323">
            <v>740</v>
          </cell>
          <cell r="AG323">
            <v>1296</v>
          </cell>
          <cell r="AH323">
            <v>1560</v>
          </cell>
          <cell r="AI323">
            <v>864</v>
          </cell>
          <cell r="AJ323">
            <v>1296</v>
          </cell>
          <cell r="AK323">
            <v>996</v>
          </cell>
          <cell r="AL323">
            <v>900</v>
          </cell>
          <cell r="AM323">
            <v>844</v>
          </cell>
          <cell r="AN323">
            <v>1320</v>
          </cell>
          <cell r="AO323">
            <v>1138</v>
          </cell>
          <cell r="AP323">
            <v>888</v>
          </cell>
          <cell r="AQ323">
            <v>900</v>
          </cell>
          <cell r="AR323">
            <v>736</v>
          </cell>
          <cell r="AS323"/>
          <cell r="AT323">
            <v>1356</v>
          </cell>
          <cell r="AU323">
            <v>756</v>
          </cell>
          <cell r="AV323">
            <v>310</v>
          </cell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>
            <v>904</v>
          </cell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>
            <v>1296</v>
          </cell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>
            <v>432</v>
          </cell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K323"/>
          <cell r="DL323"/>
          <cell r="DM323"/>
          <cell r="DN323"/>
          <cell r="DO323"/>
          <cell r="DP323"/>
          <cell r="DQ323">
            <v>444</v>
          </cell>
          <cell r="DR323">
            <v>444</v>
          </cell>
          <cell r="DS323"/>
          <cell r="DT323"/>
          <cell r="DU323"/>
          <cell r="DV323">
            <v>444</v>
          </cell>
          <cell r="DW323"/>
          <cell r="DX323"/>
          <cell r="DY323"/>
          <cell r="DZ323"/>
          <cell r="EA323"/>
          <cell r="EB323">
            <v>900</v>
          </cell>
          <cell r="EC323">
            <v>900</v>
          </cell>
          <cell r="ED323"/>
          <cell r="EE323">
            <v>444</v>
          </cell>
          <cell r="EF323">
            <v>432</v>
          </cell>
          <cell r="EG323"/>
          <cell r="EH323">
            <v>900</v>
          </cell>
          <cell r="EI323"/>
          <cell r="EJ323" t="str">
            <v>ACTIVO</v>
          </cell>
          <cell r="EK323" t="str">
            <v>C</v>
          </cell>
          <cell r="EL323" t="str">
            <v/>
          </cell>
          <cell r="EM323">
            <v>572.57142857142856</v>
          </cell>
          <cell r="EN323">
            <v>95.428571428571431</v>
          </cell>
          <cell r="EO323">
            <v>432.61684356175181</v>
          </cell>
          <cell r="EP323">
            <v>0</v>
          </cell>
          <cell r="EQ323">
            <v>0</v>
          </cell>
          <cell r="ER323">
            <v>0</v>
          </cell>
          <cell r="ES323">
            <v>190.85714285714286</v>
          </cell>
        </row>
        <row r="324">
          <cell r="F324">
            <v>362099</v>
          </cell>
          <cell r="G324" t="str">
            <v>GRANA DE HOJA</v>
          </cell>
          <cell r="H324">
            <v>30</v>
          </cell>
          <cell r="I324">
            <v>90</v>
          </cell>
          <cell r="J324">
            <v>135</v>
          </cell>
          <cell r="K324">
            <v>210</v>
          </cell>
          <cell r="L324">
            <v>165</v>
          </cell>
          <cell r="M324">
            <v>195</v>
          </cell>
          <cell r="N324">
            <v>210</v>
          </cell>
          <cell r="O324">
            <v>240</v>
          </cell>
          <cell r="P324">
            <v>120</v>
          </cell>
          <cell r="Q324"/>
          <cell r="R324"/>
          <cell r="S324"/>
          <cell r="T324"/>
          <cell r="U324"/>
          <cell r="V324"/>
          <cell r="W324"/>
          <cell r="X324"/>
          <cell r="Y324">
            <v>45</v>
          </cell>
          <cell r="Z324">
            <v>295</v>
          </cell>
          <cell r="AA324"/>
          <cell r="AB324"/>
          <cell r="AC324"/>
          <cell r="AD324"/>
          <cell r="AE324">
            <v>310</v>
          </cell>
          <cell r="AF324">
            <v>0</v>
          </cell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>
            <v>40</v>
          </cell>
          <cell r="AW324">
            <v>90</v>
          </cell>
          <cell r="AX324">
            <v>150</v>
          </cell>
          <cell r="AY324">
            <v>60</v>
          </cell>
          <cell r="AZ324"/>
          <cell r="BA324"/>
          <cell r="BB324"/>
          <cell r="BC324">
            <v>95</v>
          </cell>
          <cell r="BD324">
            <v>190</v>
          </cell>
          <cell r="BE324">
            <v>15</v>
          </cell>
          <cell r="BF324"/>
          <cell r="BG324">
            <v>60</v>
          </cell>
          <cell r="BH324"/>
          <cell r="BI324"/>
          <cell r="BJ324"/>
          <cell r="BK324"/>
          <cell r="BL324">
            <v>75</v>
          </cell>
          <cell r="BM324">
            <v>135</v>
          </cell>
          <cell r="BN324">
            <v>120</v>
          </cell>
          <cell r="BO324">
            <v>95</v>
          </cell>
          <cell r="BP324">
            <v>45</v>
          </cell>
          <cell r="BQ324">
            <v>135</v>
          </cell>
          <cell r="BR324">
            <v>80</v>
          </cell>
          <cell r="BS324">
            <v>45</v>
          </cell>
          <cell r="BT324">
            <v>60</v>
          </cell>
          <cell r="BU324">
            <v>15</v>
          </cell>
          <cell r="BV324">
            <v>90</v>
          </cell>
          <cell r="BW324">
            <v>115</v>
          </cell>
          <cell r="BX324">
            <v>80</v>
          </cell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>
            <v>135</v>
          </cell>
          <cell r="DF324">
            <v>88</v>
          </cell>
          <cell r="DG324"/>
          <cell r="DH324"/>
          <cell r="DI324"/>
          <cell r="DJ324"/>
          <cell r="DK324"/>
          <cell r="DL324"/>
          <cell r="DM324"/>
          <cell r="DN324"/>
          <cell r="DO324">
            <v>250</v>
          </cell>
          <cell r="DP324">
            <v>200</v>
          </cell>
          <cell r="DQ324">
            <v>98.25</v>
          </cell>
          <cell r="DR324"/>
          <cell r="DS324"/>
          <cell r="DT324"/>
          <cell r="DU324"/>
          <cell r="DV324">
            <v>147.9</v>
          </cell>
          <cell r="DW324">
            <v>182.9</v>
          </cell>
          <cell r="DX324">
            <v>67</v>
          </cell>
          <cell r="DY324"/>
          <cell r="DZ324"/>
          <cell r="EA324"/>
          <cell r="EB324"/>
          <cell r="EC324"/>
          <cell r="ED324"/>
          <cell r="EE324"/>
          <cell r="EF324"/>
          <cell r="EG324"/>
          <cell r="EH324"/>
          <cell r="EI324"/>
          <cell r="EJ324" t="str">
            <v>ACTIVO</v>
          </cell>
          <cell r="EK324" t="str">
            <v>C</v>
          </cell>
          <cell r="EL324" t="str">
            <v/>
          </cell>
          <cell r="EM324">
            <v>157.67499999999998</v>
          </cell>
          <cell r="EN324">
            <v>26.279166666666665</v>
          </cell>
          <cell r="EO324">
            <v>36.388512054270777</v>
          </cell>
          <cell r="EP324">
            <v>0</v>
          </cell>
          <cell r="EQ324">
            <v>0</v>
          </cell>
          <cell r="ER324">
            <v>0</v>
          </cell>
          <cell r="ES324">
            <v>52.55833333333333</v>
          </cell>
        </row>
        <row r="325">
          <cell r="F325">
            <v>362105</v>
          </cell>
          <cell r="G325" t="str">
            <v>HOJARASCA 19 CMS. PAVESI</v>
          </cell>
          <cell r="H325">
            <v>52380</v>
          </cell>
          <cell r="I325">
            <v>23652</v>
          </cell>
          <cell r="J325">
            <v>25812</v>
          </cell>
          <cell r="K325">
            <v>26784</v>
          </cell>
          <cell r="L325">
            <v>24354</v>
          </cell>
          <cell r="M325">
            <v>35802</v>
          </cell>
          <cell r="N325">
            <v>35532</v>
          </cell>
          <cell r="O325">
            <v>34128</v>
          </cell>
          <cell r="P325">
            <v>38664</v>
          </cell>
          <cell r="Q325">
            <v>39528</v>
          </cell>
          <cell r="R325">
            <v>45684</v>
          </cell>
          <cell r="S325">
            <v>34788</v>
          </cell>
          <cell r="T325">
            <v>37896</v>
          </cell>
          <cell r="U325">
            <v>42120</v>
          </cell>
          <cell r="V325">
            <v>49788</v>
          </cell>
          <cell r="W325">
            <v>51084</v>
          </cell>
          <cell r="X325">
            <v>52164</v>
          </cell>
          <cell r="Y325">
            <v>51948</v>
          </cell>
          <cell r="Z325">
            <v>132742.26</v>
          </cell>
          <cell r="AA325">
            <v>60480</v>
          </cell>
          <cell r="AB325">
            <v>62208</v>
          </cell>
          <cell r="AC325">
            <v>68256</v>
          </cell>
          <cell r="AD325">
            <v>68364</v>
          </cell>
          <cell r="AE325">
            <v>118044</v>
          </cell>
          <cell r="AF325">
            <v>70416</v>
          </cell>
          <cell r="AG325">
            <v>74196</v>
          </cell>
          <cell r="AH325">
            <v>76356</v>
          </cell>
          <cell r="AI325">
            <v>87588</v>
          </cell>
          <cell r="AJ325">
            <v>96552</v>
          </cell>
          <cell r="AK325">
            <v>89100</v>
          </cell>
          <cell r="AL325">
            <v>96336</v>
          </cell>
          <cell r="AM325">
            <v>102168</v>
          </cell>
          <cell r="AN325">
            <v>88776</v>
          </cell>
          <cell r="AO325">
            <v>93744</v>
          </cell>
          <cell r="AP325">
            <v>96228</v>
          </cell>
          <cell r="AQ325">
            <v>102492</v>
          </cell>
          <cell r="AR325">
            <v>100764</v>
          </cell>
          <cell r="AS325">
            <v>33264</v>
          </cell>
          <cell r="AT325">
            <v>115128</v>
          </cell>
          <cell r="AU325">
            <v>116532</v>
          </cell>
          <cell r="AV325">
            <v>100872</v>
          </cell>
          <cell r="AW325">
            <v>79857</v>
          </cell>
          <cell r="AX325">
            <v>119124</v>
          </cell>
          <cell r="AY325">
            <v>81880.524000000005</v>
          </cell>
          <cell r="AZ325">
            <v>120636</v>
          </cell>
          <cell r="BA325">
            <v>128844</v>
          </cell>
          <cell r="BB325">
            <v>104328</v>
          </cell>
          <cell r="BC325">
            <v>113832</v>
          </cell>
          <cell r="BD325">
            <v>110214</v>
          </cell>
          <cell r="BE325">
            <v>90288</v>
          </cell>
          <cell r="BF325">
            <v>105778</v>
          </cell>
          <cell r="BG325">
            <v>180476</v>
          </cell>
          <cell r="BH325">
            <v>58644</v>
          </cell>
          <cell r="BI325">
            <v>113832</v>
          </cell>
          <cell r="BJ325">
            <v>83052</v>
          </cell>
          <cell r="BK325">
            <v>112968</v>
          </cell>
          <cell r="BL325">
            <v>121392</v>
          </cell>
          <cell r="BM325">
            <v>114588</v>
          </cell>
          <cell r="BN325">
            <v>129708</v>
          </cell>
          <cell r="BO325">
            <v>90504</v>
          </cell>
          <cell r="BP325">
            <v>113940</v>
          </cell>
          <cell r="BQ325">
            <v>109188</v>
          </cell>
          <cell r="BR325">
            <v>132624</v>
          </cell>
          <cell r="BS325">
            <v>100980</v>
          </cell>
          <cell r="BT325">
            <v>116100</v>
          </cell>
          <cell r="BU325">
            <v>121500</v>
          </cell>
          <cell r="BV325">
            <v>108864</v>
          </cell>
          <cell r="BW325">
            <v>115776</v>
          </cell>
          <cell r="BX325">
            <v>110160</v>
          </cell>
          <cell r="BY325">
            <v>140076</v>
          </cell>
          <cell r="BZ325">
            <v>188568</v>
          </cell>
          <cell r="CA325">
            <v>108648</v>
          </cell>
          <cell r="CB325">
            <v>106920</v>
          </cell>
          <cell r="CC325">
            <v>106488</v>
          </cell>
          <cell r="CD325">
            <v>102924</v>
          </cell>
          <cell r="CE325">
            <v>217080</v>
          </cell>
          <cell r="CF325">
            <v>97524</v>
          </cell>
          <cell r="CG325">
            <v>115344</v>
          </cell>
          <cell r="CH325">
            <v>102816</v>
          </cell>
          <cell r="CI325">
            <v>114480</v>
          </cell>
          <cell r="CJ325">
            <v>108540</v>
          </cell>
          <cell r="CK325">
            <v>108000</v>
          </cell>
          <cell r="CL325">
            <v>109404</v>
          </cell>
          <cell r="CM325">
            <v>106056</v>
          </cell>
          <cell r="CN325">
            <v>151408</v>
          </cell>
          <cell r="CO325">
            <v>104760</v>
          </cell>
          <cell r="CP325">
            <v>120204</v>
          </cell>
          <cell r="CQ325">
            <v>111996</v>
          </cell>
          <cell r="CR325">
            <v>126468</v>
          </cell>
          <cell r="CS325">
            <v>59076</v>
          </cell>
          <cell r="CT325">
            <v>115668</v>
          </cell>
          <cell r="CU325">
            <v>103356</v>
          </cell>
          <cell r="CV325">
            <v>101196</v>
          </cell>
          <cell r="CW325">
            <v>103572</v>
          </cell>
          <cell r="CX325">
            <v>109944</v>
          </cell>
          <cell r="CY325">
            <v>85968</v>
          </cell>
          <cell r="CZ325">
            <v>89964</v>
          </cell>
          <cell r="DA325">
            <v>111564</v>
          </cell>
          <cell r="DB325">
            <v>102276</v>
          </cell>
          <cell r="DC325">
            <v>132300</v>
          </cell>
          <cell r="DD325">
            <v>90288</v>
          </cell>
          <cell r="DE325">
            <v>69444</v>
          </cell>
          <cell r="DF325">
            <v>120636</v>
          </cell>
          <cell r="DG325">
            <v>106920</v>
          </cell>
          <cell r="DH325">
            <v>46224</v>
          </cell>
          <cell r="DI325">
            <v>30240</v>
          </cell>
          <cell r="DJ325">
            <v>79056</v>
          </cell>
          <cell r="DK325">
            <v>72468</v>
          </cell>
          <cell r="DL325">
            <v>101520</v>
          </cell>
          <cell r="DM325">
            <v>97524</v>
          </cell>
          <cell r="DN325">
            <v>98496</v>
          </cell>
          <cell r="DO325">
            <v>105516</v>
          </cell>
          <cell r="DP325">
            <v>74304</v>
          </cell>
          <cell r="DQ325">
            <v>92448</v>
          </cell>
          <cell r="DR325">
            <v>84448</v>
          </cell>
          <cell r="DS325">
            <v>99468</v>
          </cell>
          <cell r="DT325">
            <v>81324</v>
          </cell>
          <cell r="DU325">
            <v>110376</v>
          </cell>
          <cell r="DV325">
            <v>106812</v>
          </cell>
          <cell r="DW325">
            <v>127440</v>
          </cell>
          <cell r="DX325">
            <v>121896</v>
          </cell>
          <cell r="DY325">
            <v>125496</v>
          </cell>
          <cell r="DZ325">
            <v>203580</v>
          </cell>
          <cell r="EA325">
            <v>128628</v>
          </cell>
          <cell r="EB325">
            <v>129600</v>
          </cell>
          <cell r="EC325">
            <v>176472</v>
          </cell>
          <cell r="ED325">
            <v>90936</v>
          </cell>
          <cell r="EE325">
            <v>96876</v>
          </cell>
          <cell r="EF325">
            <v>103572</v>
          </cell>
          <cell r="EG325">
            <v>148824</v>
          </cell>
          <cell r="EH325">
            <v>136836</v>
          </cell>
          <cell r="EI325">
            <v>65988</v>
          </cell>
          <cell r="EJ325" t="str">
            <v>ACTIVO</v>
          </cell>
          <cell r="EK325" t="str">
            <v>A</v>
          </cell>
          <cell r="EL325">
            <v>2592</v>
          </cell>
          <cell r="EM325">
            <v>107492.8</v>
          </cell>
          <cell r="EN325">
            <v>17915.466666666667</v>
          </cell>
          <cell r="EO325">
            <v>26558.794550520895</v>
          </cell>
          <cell r="EP325">
            <v>71604</v>
          </cell>
          <cell r="EQ325">
            <v>12777017.76</v>
          </cell>
          <cell r="ER325">
            <v>0.66612833603739041</v>
          </cell>
          <cell r="ES325">
            <v>53746.400000000001</v>
          </cell>
        </row>
        <row r="326">
          <cell r="F326">
            <v>393040</v>
          </cell>
          <cell r="G326" t="str">
            <v>SUB DISCO HOJA 15 PP</v>
          </cell>
          <cell r="H326">
            <v>48960</v>
          </cell>
          <cell r="I326">
            <v>45900</v>
          </cell>
          <cell r="J326">
            <v>66465</v>
          </cell>
          <cell r="K326">
            <v>35460</v>
          </cell>
          <cell r="L326">
            <v>44775</v>
          </cell>
          <cell r="M326">
            <v>57375</v>
          </cell>
          <cell r="N326">
            <v>48375</v>
          </cell>
          <cell r="O326">
            <v>55260</v>
          </cell>
          <cell r="P326">
            <v>42615</v>
          </cell>
          <cell r="Q326">
            <v>60030</v>
          </cell>
          <cell r="R326">
            <v>42390</v>
          </cell>
          <cell r="S326">
            <v>28125</v>
          </cell>
          <cell r="T326">
            <v>60390</v>
          </cell>
          <cell r="U326">
            <v>35055</v>
          </cell>
          <cell r="V326">
            <v>39960</v>
          </cell>
          <cell r="W326">
            <v>73170</v>
          </cell>
          <cell r="X326">
            <v>65295</v>
          </cell>
          <cell r="Y326">
            <v>73260</v>
          </cell>
          <cell r="Z326">
            <v>56385</v>
          </cell>
          <cell r="AA326">
            <v>43875</v>
          </cell>
          <cell r="AB326">
            <v>49275</v>
          </cell>
          <cell r="AC326">
            <v>63630</v>
          </cell>
          <cell r="AD326">
            <v>89775</v>
          </cell>
          <cell r="AE326">
            <v>45000</v>
          </cell>
          <cell r="AF326">
            <v>50580</v>
          </cell>
          <cell r="AG326">
            <v>44865</v>
          </cell>
          <cell r="AH326">
            <v>44640</v>
          </cell>
          <cell r="AI326">
            <v>49320</v>
          </cell>
          <cell r="AJ326">
            <v>45810</v>
          </cell>
          <cell r="AK326">
            <v>65925</v>
          </cell>
          <cell r="AL326">
            <v>48870</v>
          </cell>
          <cell r="AM326">
            <v>70245</v>
          </cell>
          <cell r="AN326">
            <v>38115</v>
          </cell>
          <cell r="AO326">
            <v>54810</v>
          </cell>
          <cell r="AP326">
            <v>41940</v>
          </cell>
          <cell r="AQ326">
            <v>59265</v>
          </cell>
          <cell r="AR326">
            <v>44415</v>
          </cell>
          <cell r="AS326">
            <v>29880</v>
          </cell>
          <cell r="AT326">
            <v>50985</v>
          </cell>
          <cell r="AU326">
            <v>53010</v>
          </cell>
          <cell r="AV326">
            <v>47475</v>
          </cell>
          <cell r="AW326">
            <v>37980</v>
          </cell>
          <cell r="AX326">
            <v>60210</v>
          </cell>
          <cell r="AY326">
            <v>50175</v>
          </cell>
          <cell r="AZ326">
            <v>36945</v>
          </cell>
          <cell r="BA326">
            <v>76725</v>
          </cell>
          <cell r="BB326">
            <v>42525</v>
          </cell>
          <cell r="BC326">
            <v>72810</v>
          </cell>
          <cell r="BD326">
            <v>32175</v>
          </cell>
          <cell r="BE326">
            <v>20250</v>
          </cell>
          <cell r="BF326">
            <v>32670</v>
          </cell>
          <cell r="BG326">
            <v>23940</v>
          </cell>
          <cell r="BH326">
            <v>12735</v>
          </cell>
          <cell r="BI326">
            <v>45000</v>
          </cell>
          <cell r="BJ326">
            <v>33165</v>
          </cell>
          <cell r="BK326">
            <v>61110</v>
          </cell>
          <cell r="BL326">
            <v>43605</v>
          </cell>
          <cell r="BM326">
            <v>43335</v>
          </cell>
          <cell r="BN326">
            <v>42840</v>
          </cell>
          <cell r="BO326">
            <v>44280</v>
          </cell>
          <cell r="BP326">
            <v>35280</v>
          </cell>
          <cell r="BQ326">
            <v>28800</v>
          </cell>
          <cell r="BR326">
            <v>29385</v>
          </cell>
          <cell r="BS326">
            <v>31455</v>
          </cell>
          <cell r="BT326">
            <v>32850</v>
          </cell>
          <cell r="BU326">
            <v>36180</v>
          </cell>
          <cell r="BV326">
            <v>29070</v>
          </cell>
          <cell r="BW326">
            <v>46845</v>
          </cell>
          <cell r="BX326">
            <v>56295</v>
          </cell>
          <cell r="BY326">
            <v>67770</v>
          </cell>
          <cell r="BZ326">
            <v>77580</v>
          </cell>
          <cell r="CA326">
            <v>43785</v>
          </cell>
          <cell r="CB326">
            <v>40050</v>
          </cell>
          <cell r="CC326">
            <v>48195</v>
          </cell>
          <cell r="CD326">
            <v>59805</v>
          </cell>
          <cell r="CE326">
            <v>67590</v>
          </cell>
          <cell r="CF326">
            <v>32355</v>
          </cell>
          <cell r="CG326">
            <v>61965</v>
          </cell>
          <cell r="CH326">
            <v>43200</v>
          </cell>
          <cell r="CI326">
            <v>34965</v>
          </cell>
          <cell r="CJ326">
            <v>37575</v>
          </cell>
          <cell r="CK326">
            <v>40590</v>
          </cell>
          <cell r="CL326">
            <v>36270</v>
          </cell>
          <cell r="CM326">
            <v>28035</v>
          </cell>
          <cell r="CN326">
            <v>46755</v>
          </cell>
          <cell r="CO326">
            <v>37440</v>
          </cell>
          <cell r="CP326">
            <v>32850</v>
          </cell>
          <cell r="CQ326">
            <v>51030</v>
          </cell>
          <cell r="CR326">
            <v>39690</v>
          </cell>
          <cell r="CS326">
            <v>18405</v>
          </cell>
          <cell r="CT326">
            <v>31320</v>
          </cell>
          <cell r="CU326">
            <v>45180</v>
          </cell>
          <cell r="CV326">
            <v>37345</v>
          </cell>
          <cell r="CW326">
            <v>30745</v>
          </cell>
          <cell r="CX326">
            <v>28800</v>
          </cell>
          <cell r="CY326">
            <v>30105</v>
          </cell>
          <cell r="CZ326">
            <v>41535</v>
          </cell>
          <cell r="DA326">
            <v>41994</v>
          </cell>
          <cell r="DB326">
            <v>38205</v>
          </cell>
          <cell r="DC326">
            <v>43965</v>
          </cell>
          <cell r="DD326">
            <v>33570</v>
          </cell>
          <cell r="DE326">
            <v>23400</v>
          </cell>
          <cell r="DF326">
            <v>54135</v>
          </cell>
          <cell r="DG326">
            <v>39375</v>
          </cell>
          <cell r="DH326">
            <v>8730</v>
          </cell>
          <cell r="DI326">
            <v>14985</v>
          </cell>
          <cell r="DJ326">
            <v>18320</v>
          </cell>
          <cell r="DK326">
            <v>33075</v>
          </cell>
          <cell r="DL326">
            <v>38835</v>
          </cell>
          <cell r="DM326">
            <v>38430</v>
          </cell>
          <cell r="DN326">
            <v>36090</v>
          </cell>
          <cell r="DO326">
            <v>39780</v>
          </cell>
          <cell r="DP326">
            <v>36225</v>
          </cell>
          <cell r="DQ326">
            <v>39150</v>
          </cell>
          <cell r="DR326">
            <v>42840</v>
          </cell>
          <cell r="DS326">
            <v>39915</v>
          </cell>
          <cell r="DT326">
            <v>29160</v>
          </cell>
          <cell r="DU326">
            <v>32130</v>
          </cell>
          <cell r="DV326">
            <v>33885</v>
          </cell>
          <cell r="DW326">
            <v>24165</v>
          </cell>
          <cell r="DX326">
            <v>27090</v>
          </cell>
          <cell r="DY326">
            <v>21465</v>
          </cell>
          <cell r="DZ326">
            <v>28800</v>
          </cell>
          <cell r="EA326">
            <v>54405</v>
          </cell>
          <cell r="EB326">
            <v>34470</v>
          </cell>
          <cell r="EC326">
            <v>29025</v>
          </cell>
          <cell r="ED326">
            <v>22185</v>
          </cell>
          <cell r="EE326">
            <v>24525</v>
          </cell>
          <cell r="EF326">
            <v>21555</v>
          </cell>
          <cell r="EG326">
            <v>36315</v>
          </cell>
          <cell r="EH326">
            <v>26765</v>
          </cell>
          <cell r="EI326">
            <v>23265</v>
          </cell>
          <cell r="EJ326" t="str">
            <v>ACTIVO</v>
          </cell>
          <cell r="EK326" t="str">
            <v>A</v>
          </cell>
          <cell r="EL326">
            <v>1350</v>
          </cell>
          <cell r="EM326">
            <v>31872.799999999999</v>
          </cell>
          <cell r="EN326">
            <v>5312.1333333333332</v>
          </cell>
          <cell r="EO326">
            <v>13104.156309791058</v>
          </cell>
          <cell r="EP326">
            <v>0</v>
          </cell>
          <cell r="EQ326">
            <v>0</v>
          </cell>
          <cell r="ER326">
            <v>0</v>
          </cell>
          <cell r="ES326">
            <v>10624.266666666666</v>
          </cell>
        </row>
        <row r="327">
          <cell r="F327">
            <v>393222</v>
          </cell>
          <cell r="G327" t="str">
            <v>PLANCHA PANQUEQUE VAINILLA TERCEROS PAVESI</v>
          </cell>
          <cell r="H327">
            <v>600</v>
          </cell>
          <cell r="I327">
            <v>660</v>
          </cell>
          <cell r="J327">
            <v>660</v>
          </cell>
          <cell r="K327">
            <v>720</v>
          </cell>
          <cell r="L327">
            <v>900</v>
          </cell>
          <cell r="M327">
            <v>840</v>
          </cell>
          <cell r="N327">
            <v>680</v>
          </cell>
          <cell r="O327">
            <v>660</v>
          </cell>
          <cell r="P327">
            <v>1060</v>
          </cell>
          <cell r="Q327"/>
          <cell r="R327"/>
          <cell r="S327">
            <v>400</v>
          </cell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K327"/>
          <cell r="DL327"/>
          <cell r="DM327"/>
          <cell r="DN327"/>
          <cell r="DO327"/>
          <cell r="DP327"/>
          <cell r="DQ327"/>
          <cell r="DR327"/>
          <cell r="DS327"/>
          <cell r="DT327"/>
          <cell r="DU327"/>
          <cell r="DV327"/>
          <cell r="DW327"/>
          <cell r="DX327"/>
          <cell r="DY327"/>
          <cell r="DZ327"/>
          <cell r="EA327"/>
          <cell r="EB327"/>
          <cell r="EC327"/>
          <cell r="ED327"/>
          <cell r="EE327"/>
          <cell r="EF327"/>
          <cell r="EG327"/>
          <cell r="EH327"/>
          <cell r="EI327"/>
          <cell r="EJ327" t="str">
            <v>SIN USO</v>
          </cell>
          <cell r="EK327" t="str">
            <v/>
          </cell>
          <cell r="EL327" t="str">
            <v/>
          </cell>
          <cell r="EM327">
            <v>0</v>
          </cell>
          <cell r="EN327">
            <v>0</v>
          </cell>
          <cell r="EO327">
            <v>0</v>
          </cell>
          <cell r="EP327">
            <v>0</v>
          </cell>
          <cell r="EQ327">
            <v>0</v>
          </cell>
          <cell r="ER327">
            <v>0</v>
          </cell>
          <cell r="ES327">
            <v>0</v>
          </cell>
        </row>
        <row r="328">
          <cell r="F328">
            <v>393410</v>
          </cell>
          <cell r="G328" t="str">
            <v>DISCO PANQUEQUE CHOCOLATE 16 CM SEMI ELABORADO</v>
          </cell>
          <cell r="H328"/>
          <cell r="I328"/>
          <cell r="J328"/>
          <cell r="K328">
            <v>4732</v>
          </cell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>
            <v>8208</v>
          </cell>
          <cell r="W328"/>
          <cell r="X328"/>
          <cell r="Y328"/>
          <cell r="Z328"/>
          <cell r="AA328"/>
          <cell r="AB328">
            <v>1293</v>
          </cell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K328"/>
          <cell r="DL328"/>
          <cell r="DM328"/>
          <cell r="DN328"/>
          <cell r="DO328"/>
          <cell r="DP328"/>
          <cell r="DQ328"/>
          <cell r="DR328"/>
          <cell r="DS328"/>
          <cell r="DT328"/>
          <cell r="DU328"/>
          <cell r="DV328"/>
          <cell r="DW328"/>
          <cell r="DX328"/>
          <cell r="DY328"/>
          <cell r="DZ328"/>
          <cell r="EA328"/>
          <cell r="EB328"/>
          <cell r="EC328"/>
          <cell r="ED328"/>
          <cell r="EE328"/>
          <cell r="EF328"/>
          <cell r="EG328"/>
          <cell r="EH328"/>
          <cell r="EI328"/>
          <cell r="EJ328" t="str">
            <v>ACTIVO</v>
          </cell>
          <cell r="EK328" t="str">
            <v/>
          </cell>
          <cell r="EL328"/>
          <cell r="EM328">
            <v>0</v>
          </cell>
          <cell r="EN328">
            <v>0</v>
          </cell>
          <cell r="EO328">
            <v>0</v>
          </cell>
          <cell r="EP328">
            <v>0</v>
          </cell>
          <cell r="EQ328">
            <v>0</v>
          </cell>
          <cell r="ER328">
            <v>0</v>
          </cell>
          <cell r="ES328">
            <v>0</v>
          </cell>
        </row>
        <row r="329">
          <cell r="F329">
            <v>405340</v>
          </cell>
          <cell r="G329" t="str">
            <v>INSUMO SEMIELABORADO GALLETA OREO MOLIDA</v>
          </cell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>
            <v>28</v>
          </cell>
          <cell r="AR329">
            <v>8</v>
          </cell>
          <cell r="AS329">
            <v>16</v>
          </cell>
          <cell r="AT329">
            <v>48</v>
          </cell>
          <cell r="AU329">
            <v>75</v>
          </cell>
          <cell r="AV329"/>
          <cell r="AW329">
            <v>80</v>
          </cell>
          <cell r="AX329"/>
          <cell r="AY329">
            <v>80</v>
          </cell>
          <cell r="AZ329">
            <v>48</v>
          </cell>
          <cell r="BA329"/>
          <cell r="BB329"/>
          <cell r="BC329">
            <v>145</v>
          </cell>
          <cell r="BD329">
            <v>50</v>
          </cell>
          <cell r="BE329">
            <v>15</v>
          </cell>
          <cell r="BF329"/>
          <cell r="BG329"/>
          <cell r="BH329"/>
          <cell r="BI329">
            <v>60</v>
          </cell>
          <cell r="BJ329">
            <v>40</v>
          </cell>
          <cell r="BK329">
            <v>140</v>
          </cell>
          <cell r="BL329">
            <v>40</v>
          </cell>
          <cell r="BM329">
            <v>40</v>
          </cell>
          <cell r="BN329">
            <v>20</v>
          </cell>
          <cell r="BO329">
            <v>120</v>
          </cell>
          <cell r="BP329"/>
          <cell r="BQ329">
            <v>40</v>
          </cell>
          <cell r="BR329">
            <v>68</v>
          </cell>
          <cell r="BS329">
            <v>40</v>
          </cell>
          <cell r="BT329">
            <v>100</v>
          </cell>
          <cell r="BU329"/>
          <cell r="BV329"/>
          <cell r="BW329"/>
          <cell r="BX329">
            <v>96</v>
          </cell>
          <cell r="BY329"/>
          <cell r="BZ329"/>
          <cell r="CA329"/>
          <cell r="CB329">
            <v>20</v>
          </cell>
          <cell r="CC329">
            <v>112</v>
          </cell>
          <cell r="CD329"/>
          <cell r="CE329">
            <v>68</v>
          </cell>
          <cell r="CF329"/>
          <cell r="CG329"/>
          <cell r="CH329"/>
          <cell r="CI329"/>
          <cell r="CJ329">
            <v>72</v>
          </cell>
          <cell r="CK329"/>
          <cell r="CL329">
            <v>30</v>
          </cell>
          <cell r="CM329">
            <v>30</v>
          </cell>
          <cell r="CN329">
            <v>38.049999999999997</v>
          </cell>
          <cell r="CO329">
            <v>8</v>
          </cell>
          <cell r="CP329">
            <v>88</v>
          </cell>
          <cell r="CQ329"/>
          <cell r="CR329"/>
          <cell r="CS329"/>
          <cell r="CT329">
            <v>80</v>
          </cell>
          <cell r="CU329"/>
          <cell r="CV329">
            <v>20</v>
          </cell>
          <cell r="CW329">
            <v>64</v>
          </cell>
          <cell r="CX329">
            <v>40</v>
          </cell>
          <cell r="CY329">
            <v>40</v>
          </cell>
          <cell r="CZ329">
            <v>20</v>
          </cell>
          <cell r="DA329">
            <v>20</v>
          </cell>
          <cell r="DB329"/>
          <cell r="DC329">
            <v>80</v>
          </cell>
          <cell r="DD329"/>
          <cell r="DE329"/>
          <cell r="DF329">
            <v>60</v>
          </cell>
          <cell r="DG329"/>
          <cell r="DH329"/>
          <cell r="DI329"/>
          <cell r="DJ329">
            <v>79.349999999999994</v>
          </cell>
          <cell r="DK329"/>
          <cell r="DL329">
            <v>40</v>
          </cell>
          <cell r="DM329">
            <v>40</v>
          </cell>
          <cell r="DN329">
            <v>50</v>
          </cell>
          <cell r="DO329">
            <v>60</v>
          </cell>
          <cell r="DP329">
            <v>80</v>
          </cell>
          <cell r="DQ329">
            <v>40</v>
          </cell>
          <cell r="DR329">
            <v>11</v>
          </cell>
          <cell r="DS329">
            <v>40</v>
          </cell>
          <cell r="DT329"/>
          <cell r="DU329">
            <v>77</v>
          </cell>
          <cell r="DV329">
            <v>11.12</v>
          </cell>
          <cell r="DW329">
            <v>88.88</v>
          </cell>
          <cell r="DX329"/>
          <cell r="DY329">
            <v>40.65</v>
          </cell>
          <cell r="DZ329"/>
          <cell r="EA329"/>
          <cell r="EB329">
            <v>40</v>
          </cell>
          <cell r="EC329">
            <v>20</v>
          </cell>
          <cell r="ED329">
            <v>80</v>
          </cell>
          <cell r="EE329">
            <v>20</v>
          </cell>
          <cell r="EF329">
            <v>40</v>
          </cell>
          <cell r="EG329">
            <v>80</v>
          </cell>
          <cell r="EH329">
            <v>52</v>
          </cell>
          <cell r="EI329"/>
          <cell r="EJ329" t="str">
            <v>ACTIVO</v>
          </cell>
          <cell r="EK329" t="str">
            <v>C</v>
          </cell>
          <cell r="EL329">
            <v>0</v>
          </cell>
          <cell r="EM329">
            <v>49.368421052631582</v>
          </cell>
          <cell r="EN329">
            <v>8.2280701754385976</v>
          </cell>
          <cell r="EO329">
            <v>33.673699148858248</v>
          </cell>
          <cell r="EP329">
            <v>11.55</v>
          </cell>
          <cell r="EQ329">
            <v>61368.961499999998</v>
          </cell>
          <cell r="ER329">
            <v>0.233955223880597</v>
          </cell>
          <cell r="ES329">
            <v>16.456140350877195</v>
          </cell>
        </row>
        <row r="330">
          <cell r="F330">
            <v>405408</v>
          </cell>
          <cell r="G330" t="str">
            <v>MEDIA HOJARASCA OBERENA</v>
          </cell>
          <cell r="H330">
            <v>198</v>
          </cell>
          <cell r="I330"/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>
            <v>72</v>
          </cell>
          <cell r="AU330">
            <v>588</v>
          </cell>
          <cell r="AV330">
            <v>1044</v>
          </cell>
          <cell r="AW330">
            <v>342</v>
          </cell>
          <cell r="AX330">
            <v>758</v>
          </cell>
          <cell r="AY330">
            <v>824</v>
          </cell>
          <cell r="AZ330">
            <v>176</v>
          </cell>
          <cell r="BA330">
            <v>650</v>
          </cell>
          <cell r="BB330">
            <v>756</v>
          </cell>
          <cell r="BC330">
            <v>594</v>
          </cell>
          <cell r="BD330">
            <v>400</v>
          </cell>
          <cell r="BE330">
            <v>954</v>
          </cell>
          <cell r="BF330">
            <v>568</v>
          </cell>
          <cell r="BG330">
            <v>450</v>
          </cell>
          <cell r="BH330">
            <v>252</v>
          </cell>
          <cell r="BI330">
            <v>378</v>
          </cell>
          <cell r="BJ330">
            <v>306</v>
          </cell>
          <cell r="BK330">
            <v>522</v>
          </cell>
          <cell r="BL330">
            <v>480</v>
          </cell>
          <cell r="BM330">
            <v>544</v>
          </cell>
          <cell r="BN330">
            <v>558</v>
          </cell>
          <cell r="BO330">
            <v>718</v>
          </cell>
          <cell r="BP330">
            <v>500</v>
          </cell>
          <cell r="BQ330">
            <v>1100</v>
          </cell>
          <cell r="BR330">
            <v>738</v>
          </cell>
          <cell r="BS330">
            <v>396</v>
          </cell>
          <cell r="BT330">
            <v>648</v>
          </cell>
          <cell r="BU330">
            <v>738</v>
          </cell>
          <cell r="BV330">
            <v>734</v>
          </cell>
          <cell r="BW330">
            <v>990</v>
          </cell>
          <cell r="BX330">
            <v>666</v>
          </cell>
          <cell r="BY330">
            <v>720</v>
          </cell>
          <cell r="BZ330">
            <v>162</v>
          </cell>
          <cell r="CA330">
            <v>804</v>
          </cell>
          <cell r="CB330">
            <v>700</v>
          </cell>
          <cell r="CC330">
            <v>600</v>
          </cell>
          <cell r="CD330">
            <v>570</v>
          </cell>
          <cell r="CE330">
            <v>742</v>
          </cell>
          <cell r="CF330">
            <v>540</v>
          </cell>
          <cell r="CG330">
            <v>846</v>
          </cell>
          <cell r="CH330">
            <v>504</v>
          </cell>
          <cell r="CI330">
            <v>630</v>
          </cell>
          <cell r="CJ330">
            <v>720</v>
          </cell>
          <cell r="CK330">
            <v>648</v>
          </cell>
          <cell r="CL330">
            <v>306</v>
          </cell>
          <cell r="CM330">
            <v>468</v>
          </cell>
          <cell r="CN330">
            <v>810</v>
          </cell>
          <cell r="CO330">
            <v>666</v>
          </cell>
          <cell r="CP330">
            <v>918</v>
          </cell>
          <cell r="CQ330">
            <v>684</v>
          </cell>
          <cell r="CR330">
            <v>442</v>
          </cell>
          <cell r="CS330">
            <v>198</v>
          </cell>
          <cell r="CT330">
            <v>648</v>
          </cell>
          <cell r="CU330">
            <v>1080</v>
          </cell>
          <cell r="CV330">
            <v>810</v>
          </cell>
          <cell r="CW330">
            <v>504</v>
          </cell>
          <cell r="CX330">
            <v>720</v>
          </cell>
          <cell r="CY330">
            <v>540</v>
          </cell>
          <cell r="CZ330">
            <v>774</v>
          </cell>
          <cell r="DA330">
            <v>756</v>
          </cell>
          <cell r="DB330">
            <v>738</v>
          </cell>
          <cell r="DC330">
            <v>793</v>
          </cell>
          <cell r="DD330">
            <v>522</v>
          </cell>
          <cell r="DE330">
            <v>738</v>
          </cell>
          <cell r="DF330">
            <v>630</v>
          </cell>
          <cell r="DG330">
            <v>828</v>
          </cell>
          <cell r="DH330">
            <v>360</v>
          </cell>
          <cell r="DI330">
            <v>90</v>
          </cell>
          <cell r="DJ330">
            <v>648</v>
          </cell>
          <cell r="DK330">
            <v>864</v>
          </cell>
          <cell r="DL330">
            <v>664</v>
          </cell>
          <cell r="DM330">
            <v>648</v>
          </cell>
          <cell r="DN330">
            <v>756</v>
          </cell>
          <cell r="DO330">
            <v>414</v>
          </cell>
          <cell r="DP330">
            <v>630</v>
          </cell>
          <cell r="DQ330">
            <v>666</v>
          </cell>
          <cell r="DR330">
            <v>828</v>
          </cell>
          <cell r="DS330">
            <v>918</v>
          </cell>
          <cell r="DT330">
            <v>1134</v>
          </cell>
          <cell r="DU330">
            <v>1044</v>
          </cell>
          <cell r="DV330">
            <v>1116</v>
          </cell>
          <cell r="DW330">
            <v>954</v>
          </cell>
          <cell r="DX330">
            <v>846</v>
          </cell>
          <cell r="DY330">
            <v>1080</v>
          </cell>
          <cell r="DZ330">
            <v>1566</v>
          </cell>
          <cell r="EA330">
            <v>990</v>
          </cell>
          <cell r="EB330">
            <v>1170</v>
          </cell>
          <cell r="EC330">
            <v>1458</v>
          </cell>
          <cell r="ED330">
            <v>1226</v>
          </cell>
          <cell r="EE330">
            <v>1170</v>
          </cell>
          <cell r="EF330">
            <v>1278</v>
          </cell>
          <cell r="EG330">
            <v>1836</v>
          </cell>
          <cell r="EH330">
            <v>1872</v>
          </cell>
          <cell r="EI330">
            <v>1062</v>
          </cell>
          <cell r="EJ330" t="str">
            <v>ACTIVO</v>
          </cell>
          <cell r="EK330" t="str">
            <v>C</v>
          </cell>
          <cell r="EL330" t="str">
            <v/>
          </cell>
          <cell r="EM330">
            <v>959.76</v>
          </cell>
          <cell r="EN330">
            <v>159.96</v>
          </cell>
          <cell r="EO330">
            <v>202.50796898795974</v>
          </cell>
          <cell r="EP330">
            <v>252</v>
          </cell>
          <cell r="EQ330">
            <v>29433.599999999999</v>
          </cell>
          <cell r="ER330">
            <v>0.2625656414103526</v>
          </cell>
          <cell r="ES330">
            <v>319.92</v>
          </cell>
        </row>
        <row r="331">
          <cell r="F331">
            <v>362106</v>
          </cell>
          <cell r="G331" t="str">
            <v>HOJARASCA OBERENA</v>
          </cell>
          <cell r="H331">
            <v>2160</v>
          </cell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>
            <v>11772</v>
          </cell>
          <cell r="BG331">
            <v>11880</v>
          </cell>
          <cell r="BH331">
            <v>21600</v>
          </cell>
          <cell r="BI331">
            <v>1836</v>
          </cell>
          <cell r="BJ331">
            <v>8964</v>
          </cell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K331"/>
          <cell r="DL331">
            <v>9000</v>
          </cell>
          <cell r="DM331"/>
          <cell r="DN331"/>
          <cell r="DO331"/>
          <cell r="DP331"/>
          <cell r="DQ331"/>
          <cell r="DR331"/>
          <cell r="DS331"/>
          <cell r="DT331"/>
          <cell r="DU331"/>
          <cell r="DV331"/>
          <cell r="DW331"/>
          <cell r="DX331"/>
          <cell r="DY331"/>
          <cell r="DZ331"/>
          <cell r="EA331"/>
          <cell r="EB331"/>
          <cell r="EC331"/>
          <cell r="ED331"/>
          <cell r="EE331"/>
          <cell r="EF331"/>
          <cell r="EG331"/>
          <cell r="EH331"/>
          <cell r="EI331"/>
          <cell r="EJ331" t="str">
            <v>SIN USO</v>
          </cell>
          <cell r="EK331" t="str">
            <v>C</v>
          </cell>
          <cell r="EL331" t="str">
            <v/>
          </cell>
          <cell r="EM331">
            <v>9000</v>
          </cell>
          <cell r="EN331">
            <v>1500</v>
          </cell>
          <cell r="EO331">
            <v>10009.100658900379</v>
          </cell>
          <cell r="EP331">
            <v>0</v>
          </cell>
          <cell r="EQ331">
            <v>0</v>
          </cell>
          <cell r="ER331">
            <v>0</v>
          </cell>
          <cell r="ES331">
            <v>3000</v>
          </cell>
        </row>
        <row r="332">
          <cell r="F332">
            <v>362113</v>
          </cell>
          <cell r="G332" t="str">
            <v>BIZCOCHO RED VELVET 1 X 4</v>
          </cell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K332"/>
          <cell r="DL332"/>
          <cell r="DM332"/>
          <cell r="DN332"/>
          <cell r="DO332"/>
          <cell r="DP332"/>
          <cell r="DQ332"/>
          <cell r="DR332"/>
          <cell r="DS332">
            <v>63</v>
          </cell>
          <cell r="DT332">
            <v>23</v>
          </cell>
          <cell r="DU332">
            <v>12</v>
          </cell>
          <cell r="DV332"/>
          <cell r="DW332">
            <v>24</v>
          </cell>
          <cell r="DX332">
            <v>12</v>
          </cell>
          <cell r="DY332">
            <v>104</v>
          </cell>
          <cell r="DZ332"/>
          <cell r="EA332"/>
          <cell r="EB332"/>
          <cell r="EC332"/>
          <cell r="ED332"/>
          <cell r="EE332"/>
          <cell r="EF332"/>
          <cell r="EG332"/>
          <cell r="EH332"/>
          <cell r="EI332"/>
          <cell r="EJ332" t="str">
            <v>SIN USO</v>
          </cell>
          <cell r="EK332" t="str">
            <v/>
          </cell>
          <cell r="EL332" t="str">
            <v/>
          </cell>
          <cell r="EM332">
            <v>39.666666666666664</v>
          </cell>
          <cell r="EN332">
            <v>6.6111111111111107</v>
          </cell>
          <cell r="EO332">
            <v>0</v>
          </cell>
          <cell r="EP332">
            <v>0</v>
          </cell>
          <cell r="EQ332">
            <v>0</v>
          </cell>
          <cell r="ER332">
            <v>0</v>
          </cell>
          <cell r="ES332">
            <v>13.222222222222221</v>
          </cell>
        </row>
        <row r="333">
          <cell r="F333">
            <v>405344</v>
          </cell>
          <cell r="G333" t="str">
            <v>DISCO DE PANQUEQUE VAINILLA 18 CM ENCOMIENDA TOTTUS</v>
          </cell>
          <cell r="H333"/>
          <cell r="I333"/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>
            <v>3600</v>
          </cell>
          <cell r="BU333"/>
          <cell r="BV333"/>
          <cell r="BW333">
            <v>2016</v>
          </cell>
          <cell r="BX333"/>
          <cell r="BY333"/>
          <cell r="BZ333"/>
          <cell r="CA333">
            <v>5040</v>
          </cell>
          <cell r="CB333"/>
          <cell r="CC333"/>
          <cell r="CD333"/>
          <cell r="CE333"/>
          <cell r="CF333"/>
          <cell r="CG333">
            <v>12096</v>
          </cell>
          <cell r="CH333"/>
          <cell r="CI333"/>
          <cell r="CJ333"/>
          <cell r="CK333"/>
          <cell r="CL333"/>
          <cell r="CM333">
            <v>5472</v>
          </cell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K333"/>
          <cell r="DL333"/>
          <cell r="DM333"/>
          <cell r="DN333"/>
          <cell r="DO333"/>
          <cell r="DP333"/>
          <cell r="DQ333"/>
          <cell r="DR333"/>
          <cell r="DS333"/>
          <cell r="DT333"/>
          <cell r="DU333">
            <v>4824</v>
          </cell>
          <cell r="DV333"/>
          <cell r="DW333">
            <v>144</v>
          </cell>
          <cell r="DX333"/>
          <cell r="DY333"/>
          <cell r="DZ333"/>
          <cell r="EA333"/>
          <cell r="EB333"/>
          <cell r="EC333"/>
          <cell r="ED333"/>
          <cell r="EE333"/>
          <cell r="EF333"/>
          <cell r="EG333"/>
          <cell r="EH333"/>
          <cell r="EI333"/>
          <cell r="EJ333" t="str">
            <v>SIN USO</v>
          </cell>
          <cell r="EK333" t="str">
            <v>C</v>
          </cell>
          <cell r="EL333" t="str">
            <v/>
          </cell>
          <cell r="EM333">
            <v>2484</v>
          </cell>
          <cell r="EN333">
            <v>414</v>
          </cell>
          <cell r="EO333">
            <v>3852.3700756806843</v>
          </cell>
          <cell r="EP333">
            <v>0</v>
          </cell>
          <cell r="EQ333">
            <v>0</v>
          </cell>
          <cell r="ER333">
            <v>0</v>
          </cell>
          <cell r="ES333">
            <v>828</v>
          </cell>
        </row>
        <row r="334">
          <cell r="F334">
            <v>393253</v>
          </cell>
          <cell r="G334" t="str">
            <v>SUB DISCO HOJA 10 PP</v>
          </cell>
          <cell r="H334"/>
          <cell r="I334"/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>
            <v>2700</v>
          </cell>
          <cell r="DC334"/>
          <cell r="DD334"/>
          <cell r="DE334"/>
          <cell r="DF334"/>
          <cell r="DG334"/>
          <cell r="DH334"/>
          <cell r="DI334"/>
          <cell r="DJ334"/>
          <cell r="DK334"/>
          <cell r="DL334">
            <v>5400</v>
          </cell>
          <cell r="DM334"/>
          <cell r="DN334">
            <v>1260</v>
          </cell>
          <cell r="DO334">
            <v>90</v>
          </cell>
          <cell r="DP334"/>
          <cell r="DQ334"/>
          <cell r="DR334"/>
          <cell r="DS334"/>
          <cell r="DT334"/>
          <cell r="DU334"/>
          <cell r="DV334">
            <v>5400</v>
          </cell>
          <cell r="DW334"/>
          <cell r="DX334"/>
          <cell r="DY334"/>
          <cell r="DZ334"/>
          <cell r="EA334"/>
          <cell r="EB334"/>
          <cell r="EC334"/>
          <cell r="ED334">
            <v>4050</v>
          </cell>
          <cell r="EE334">
            <v>8100</v>
          </cell>
          <cell r="EF334"/>
          <cell r="EG334"/>
          <cell r="EH334">
            <v>5580</v>
          </cell>
          <cell r="EI334"/>
          <cell r="EJ334" t="str">
            <v>SIN USO</v>
          </cell>
          <cell r="EK334" t="str">
            <v/>
          </cell>
          <cell r="EL334" t="str">
            <v/>
          </cell>
          <cell r="EM334">
            <v>4050</v>
          </cell>
          <cell r="EN334">
            <v>675</v>
          </cell>
          <cell r="EO334">
            <v>0</v>
          </cell>
          <cell r="EP334">
            <v>0</v>
          </cell>
          <cell r="EQ334">
            <v>0</v>
          </cell>
          <cell r="ER334">
            <v>0</v>
          </cell>
          <cell r="ES334">
            <v>1350</v>
          </cell>
        </row>
        <row r="335">
          <cell r="F335">
            <v>405645</v>
          </cell>
          <cell r="G335" t="str">
            <v>BIZCOCHO # 20 BLANCO C/AMAPOLAS PAVESI</v>
          </cell>
          <cell r="H335"/>
          <cell r="I335"/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K335"/>
          <cell r="DL335"/>
          <cell r="DM335"/>
          <cell r="DN335"/>
          <cell r="DO335"/>
          <cell r="DP335"/>
          <cell r="DQ335"/>
          <cell r="DR335">
            <v>32</v>
          </cell>
          <cell r="DS335">
            <v>90</v>
          </cell>
          <cell r="DT335">
            <v>80</v>
          </cell>
          <cell r="DU335">
            <v>185</v>
          </cell>
          <cell r="DV335">
            <v>100</v>
          </cell>
          <cell r="DW335">
            <v>106</v>
          </cell>
          <cell r="DX335">
            <v>45</v>
          </cell>
          <cell r="DY335">
            <v>188</v>
          </cell>
          <cell r="DZ335">
            <v>217</v>
          </cell>
          <cell r="EA335">
            <v>144</v>
          </cell>
          <cell r="EB335">
            <v>107</v>
          </cell>
          <cell r="EC335">
            <v>75</v>
          </cell>
          <cell r="ED335">
            <v>104</v>
          </cell>
          <cell r="EE335">
            <v>96</v>
          </cell>
          <cell r="EF335">
            <v>93</v>
          </cell>
          <cell r="EG335">
            <v>136</v>
          </cell>
          <cell r="EH335">
            <v>127</v>
          </cell>
          <cell r="EI335">
            <v>72</v>
          </cell>
          <cell r="EJ335" t="str">
            <v>ACTIVO</v>
          </cell>
          <cell r="EK335" t="str">
            <v>C</v>
          </cell>
          <cell r="EL335" t="str">
            <v/>
          </cell>
          <cell r="EM335">
            <v>112.375</v>
          </cell>
          <cell r="EN335">
            <v>18.729166666666668</v>
          </cell>
          <cell r="EO335">
            <v>0</v>
          </cell>
          <cell r="EP335">
            <v>0</v>
          </cell>
          <cell r="EQ335">
            <v>0</v>
          </cell>
          <cell r="ER335">
            <v>0</v>
          </cell>
          <cell r="ES335">
            <v>56.1875</v>
          </cell>
        </row>
        <row r="336">
          <cell r="F336">
            <v>405658</v>
          </cell>
          <cell r="G336" t="str">
            <v>SUB DISCO PANQUEQUE VAINILLA 16 CM</v>
          </cell>
          <cell r="H336"/>
          <cell r="I336"/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K336"/>
          <cell r="DL336">
            <v>9384</v>
          </cell>
          <cell r="DM336"/>
          <cell r="DN336"/>
          <cell r="DO336"/>
          <cell r="DP336"/>
          <cell r="DQ336"/>
          <cell r="DR336"/>
          <cell r="DS336"/>
          <cell r="DT336"/>
          <cell r="DU336"/>
          <cell r="DV336"/>
          <cell r="DW336"/>
          <cell r="DX336">
            <v>11160</v>
          </cell>
          <cell r="DY336">
            <v>15000</v>
          </cell>
          <cell r="DZ336"/>
          <cell r="EA336"/>
          <cell r="EB336"/>
          <cell r="EC336"/>
          <cell r="ED336">
            <v>12840</v>
          </cell>
          <cell r="EE336"/>
          <cell r="EF336"/>
          <cell r="EG336"/>
          <cell r="EH336">
            <v>10320</v>
          </cell>
          <cell r="EI336"/>
          <cell r="EJ336" t="str">
            <v>ACTIVO</v>
          </cell>
          <cell r="EK336" t="str">
            <v/>
          </cell>
          <cell r="EL336" t="str">
            <v/>
          </cell>
          <cell r="EM336">
            <v>12096</v>
          </cell>
          <cell r="EN336">
            <v>2016</v>
          </cell>
          <cell r="EO336">
            <v>0</v>
          </cell>
          <cell r="EP336">
            <v>0</v>
          </cell>
          <cell r="EQ336">
            <v>0</v>
          </cell>
          <cell r="ER336">
            <v>0</v>
          </cell>
          <cell r="ES336">
            <v>4032</v>
          </cell>
        </row>
        <row r="337">
          <cell r="F337">
            <v>405701</v>
          </cell>
          <cell r="G337" t="str">
            <v>GRANA SECA RED VELVET</v>
          </cell>
          <cell r="H337"/>
          <cell r="I337"/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K337"/>
          <cell r="DL337"/>
          <cell r="DM337"/>
          <cell r="DN337"/>
          <cell r="DO337"/>
          <cell r="DP337"/>
          <cell r="DQ337"/>
          <cell r="DR337"/>
          <cell r="DS337"/>
          <cell r="DT337">
            <v>44</v>
          </cell>
          <cell r="DU337">
            <v>14.4</v>
          </cell>
          <cell r="DV337">
            <v>84</v>
          </cell>
          <cell r="DW337">
            <v>67.430000000000007</v>
          </cell>
          <cell r="DX337">
            <v>40</v>
          </cell>
          <cell r="DY337">
            <v>20</v>
          </cell>
          <cell r="DZ337"/>
          <cell r="EA337">
            <v>20</v>
          </cell>
          <cell r="EB337"/>
          <cell r="EC337"/>
          <cell r="ED337"/>
          <cell r="EE337"/>
          <cell r="EF337"/>
          <cell r="EG337">
            <v>20</v>
          </cell>
          <cell r="EH337"/>
          <cell r="EI337"/>
          <cell r="EJ337" t="str">
            <v>ACTIVO</v>
          </cell>
          <cell r="EK337" t="str">
            <v/>
          </cell>
          <cell r="EL337"/>
          <cell r="EM337">
            <v>38.728750000000005</v>
          </cell>
          <cell r="EN337">
            <v>6.4547916666666678</v>
          </cell>
          <cell r="EO337">
            <v>0</v>
          </cell>
          <cell r="EP337">
            <v>0</v>
          </cell>
          <cell r="EQ337">
            <v>0</v>
          </cell>
          <cell r="ER337">
            <v>0</v>
          </cell>
          <cell r="ES337">
            <v>12.909583333333336</v>
          </cell>
        </row>
        <row r="338">
          <cell r="F338">
            <v>405702</v>
          </cell>
          <cell r="G338" t="str">
            <v>INSUMO INTERPLANTA BIZCOCHO RED VELVET 19 CM</v>
          </cell>
          <cell r="H338"/>
          <cell r="I338"/>
          <cell r="J338"/>
          <cell r="K338"/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K338"/>
          <cell r="DL338"/>
          <cell r="DM338"/>
          <cell r="DN338"/>
          <cell r="DO338"/>
          <cell r="DP338"/>
          <cell r="DQ338"/>
          <cell r="DR338"/>
          <cell r="DS338"/>
          <cell r="DT338"/>
          <cell r="DU338"/>
          <cell r="DV338">
            <v>193</v>
          </cell>
          <cell r="DW338">
            <v>107</v>
          </cell>
          <cell r="DX338">
            <v>24</v>
          </cell>
          <cell r="DY338">
            <v>96</v>
          </cell>
          <cell r="DZ338">
            <v>216</v>
          </cell>
          <cell r="EA338">
            <v>336</v>
          </cell>
          <cell r="EB338">
            <v>202</v>
          </cell>
          <cell r="EC338">
            <v>204</v>
          </cell>
          <cell r="ED338">
            <v>202.982</v>
          </cell>
          <cell r="EE338">
            <v>66</v>
          </cell>
          <cell r="EF338">
            <v>105</v>
          </cell>
          <cell r="EG338">
            <v>79</v>
          </cell>
          <cell r="EH338">
            <v>125</v>
          </cell>
          <cell r="EI338">
            <v>34</v>
          </cell>
          <cell r="EJ338" t="str">
            <v>ACTIVO</v>
          </cell>
          <cell r="EK338" t="str">
            <v/>
          </cell>
          <cell r="EL338" t="str">
            <v/>
          </cell>
          <cell r="EM338">
            <v>152.58183333333332</v>
          </cell>
          <cell r="EN338">
            <v>25.430305555555552</v>
          </cell>
          <cell r="EO338">
            <v>0</v>
          </cell>
          <cell r="EP338">
            <v>6</v>
          </cell>
          <cell r="EQ338">
            <v>12069</v>
          </cell>
          <cell r="ER338">
            <v>3.9323161014144327E-2</v>
          </cell>
          <cell r="ES338">
            <v>50.860611111111105</v>
          </cell>
        </row>
        <row r="339">
          <cell r="F339">
            <v>405691</v>
          </cell>
          <cell r="G339" t="str">
            <v>GRANA SECA BIZCOCHO AMAPOLA</v>
          </cell>
          <cell r="H339"/>
          <cell r="I339"/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K339"/>
          <cell r="DL339"/>
          <cell r="DM339"/>
          <cell r="DN339"/>
          <cell r="DO339"/>
          <cell r="DP339"/>
          <cell r="DQ339"/>
          <cell r="DR339"/>
          <cell r="DS339"/>
          <cell r="DT339"/>
          <cell r="DU339"/>
          <cell r="DV339"/>
          <cell r="DW339">
            <v>3</v>
          </cell>
          <cell r="DX339">
            <v>20</v>
          </cell>
          <cell r="DY339"/>
          <cell r="DZ339">
            <v>8</v>
          </cell>
          <cell r="EA339"/>
          <cell r="EB339"/>
          <cell r="EC339">
            <v>8.1</v>
          </cell>
          <cell r="ED339"/>
          <cell r="EE339"/>
          <cell r="EF339">
            <v>5</v>
          </cell>
          <cell r="EG339"/>
          <cell r="EH339"/>
          <cell r="EI339"/>
          <cell r="EJ339" t="str">
            <v>ACTIVO</v>
          </cell>
          <cell r="EK339" t="str">
            <v/>
          </cell>
          <cell r="EL339" t="str">
            <v/>
          </cell>
          <cell r="EM339">
            <v>8.82</v>
          </cell>
          <cell r="EN339">
            <v>1.47</v>
          </cell>
          <cell r="EO339">
            <v>0</v>
          </cell>
          <cell r="EP339">
            <v>0</v>
          </cell>
          <cell r="EQ339">
            <v>0</v>
          </cell>
          <cell r="ER339">
            <v>0</v>
          </cell>
          <cell r="ES339">
            <v>2.94</v>
          </cell>
        </row>
        <row r="340">
          <cell r="F340"/>
          <cell r="G340"/>
          <cell r="H340">
            <v>224095</v>
          </cell>
          <cell r="I340">
            <v>185236.5</v>
          </cell>
          <cell r="J340">
            <v>242916</v>
          </cell>
          <cell r="K340">
            <v>216093</v>
          </cell>
          <cell r="L340">
            <v>199020</v>
          </cell>
          <cell r="M340">
            <v>225242</v>
          </cell>
          <cell r="N340">
            <v>201783</v>
          </cell>
          <cell r="O340">
            <v>189344</v>
          </cell>
          <cell r="P340">
            <v>201255</v>
          </cell>
          <cell r="Q340">
            <v>201997</v>
          </cell>
          <cell r="R340">
            <v>206832.5</v>
          </cell>
          <cell r="S340">
            <v>132987</v>
          </cell>
          <cell r="T340">
            <v>190305.692002</v>
          </cell>
          <cell r="U340">
            <v>203099</v>
          </cell>
          <cell r="V340">
            <v>204450</v>
          </cell>
          <cell r="W340">
            <v>248696</v>
          </cell>
          <cell r="X340">
            <v>297382</v>
          </cell>
          <cell r="Y340">
            <v>223098</v>
          </cell>
          <cell r="Z340">
            <v>266160.26</v>
          </cell>
          <cell r="AA340">
            <v>225005</v>
          </cell>
          <cell r="AB340">
            <v>247186</v>
          </cell>
          <cell r="AC340">
            <v>253585</v>
          </cell>
          <cell r="AD340">
            <v>301563</v>
          </cell>
          <cell r="AE340">
            <v>271805</v>
          </cell>
          <cell r="AF340">
            <v>253751</v>
          </cell>
          <cell r="AG340">
            <v>252732.5</v>
          </cell>
          <cell r="AH340">
            <v>246678</v>
          </cell>
          <cell r="AI340">
            <v>255922</v>
          </cell>
          <cell r="AJ340">
            <v>259814</v>
          </cell>
          <cell r="AK340">
            <v>285662</v>
          </cell>
          <cell r="AL340">
            <v>269215</v>
          </cell>
          <cell r="AM340">
            <v>294478</v>
          </cell>
          <cell r="AN340">
            <v>239094</v>
          </cell>
          <cell r="AO340">
            <v>270931</v>
          </cell>
          <cell r="AP340">
            <v>249420</v>
          </cell>
          <cell r="AQ340">
            <v>285044</v>
          </cell>
          <cell r="AR340">
            <v>260820</v>
          </cell>
          <cell r="AS340">
            <v>135437</v>
          </cell>
          <cell r="AT340">
            <v>265466.61900000001</v>
          </cell>
          <cell r="AU340">
            <v>265312.5</v>
          </cell>
          <cell r="AV340">
            <v>279302</v>
          </cell>
          <cell r="AW340">
            <v>250707</v>
          </cell>
          <cell r="AX340">
            <v>335242</v>
          </cell>
          <cell r="AY340">
            <v>268021.52399999998</v>
          </cell>
          <cell r="AZ340">
            <v>271826</v>
          </cell>
          <cell r="BA340">
            <v>309624</v>
          </cell>
          <cell r="BB340">
            <v>321802</v>
          </cell>
          <cell r="BC340">
            <v>298435.00000100001</v>
          </cell>
          <cell r="BD340">
            <v>273823.5</v>
          </cell>
          <cell r="BE340">
            <v>246337.99999899999</v>
          </cell>
          <cell r="BF340">
            <v>287785.90500000003</v>
          </cell>
          <cell r="BG340">
            <v>328706.09499999997</v>
          </cell>
          <cell r="BH340">
            <v>132919</v>
          </cell>
          <cell r="BI340">
            <v>233578</v>
          </cell>
          <cell r="BJ340">
            <v>231570.54</v>
          </cell>
          <cell r="BK340">
            <v>358646</v>
          </cell>
          <cell r="BL340">
            <v>310918</v>
          </cell>
          <cell r="BM340">
            <v>292236</v>
          </cell>
          <cell r="BN340">
            <v>294547</v>
          </cell>
          <cell r="BO340">
            <v>289345</v>
          </cell>
          <cell r="BP340">
            <v>222792</v>
          </cell>
          <cell r="BQ340">
            <v>239825</v>
          </cell>
          <cell r="BR340">
            <v>313134</v>
          </cell>
          <cell r="BS340">
            <v>288625.5</v>
          </cell>
          <cell r="BT340">
            <v>319738</v>
          </cell>
          <cell r="BU340">
            <v>247386</v>
          </cell>
          <cell r="BV340">
            <v>276299</v>
          </cell>
          <cell r="BW340">
            <v>287194</v>
          </cell>
          <cell r="BX340">
            <v>312462.5</v>
          </cell>
          <cell r="BY340">
            <v>342463.5</v>
          </cell>
          <cell r="BZ340">
            <v>344034</v>
          </cell>
          <cell r="CA340">
            <v>257633</v>
          </cell>
          <cell r="CB340">
            <v>300840</v>
          </cell>
          <cell r="CC340">
            <v>281083</v>
          </cell>
          <cell r="CD340">
            <v>272472.5</v>
          </cell>
          <cell r="CE340">
            <v>358393.255</v>
          </cell>
          <cell r="CF340">
            <v>209519</v>
          </cell>
          <cell r="CG340">
            <v>326921</v>
          </cell>
          <cell r="CH340">
            <v>223747</v>
          </cell>
          <cell r="CI340">
            <v>280705.5</v>
          </cell>
          <cell r="CJ340">
            <v>225875</v>
          </cell>
          <cell r="CK340">
            <v>283069.5</v>
          </cell>
          <cell r="CL340">
            <v>256056</v>
          </cell>
          <cell r="CM340">
            <v>271633</v>
          </cell>
          <cell r="CN340">
            <v>359987.3</v>
          </cell>
          <cell r="CO340">
            <v>277575.75</v>
          </cell>
          <cell r="CP340">
            <v>324474</v>
          </cell>
          <cell r="CQ340">
            <v>310913.5</v>
          </cell>
          <cell r="CR340">
            <v>319020.25</v>
          </cell>
          <cell r="CS340">
            <v>161073.29999999999</v>
          </cell>
          <cell r="CT340">
            <v>280995.5</v>
          </cell>
          <cell r="CU340">
            <v>227700</v>
          </cell>
          <cell r="CV340">
            <v>272402</v>
          </cell>
          <cell r="CW340">
            <v>238814</v>
          </cell>
          <cell r="CX340">
            <v>298765</v>
          </cell>
          <cell r="CY340">
            <v>207771</v>
          </cell>
          <cell r="CZ340">
            <v>274271.5</v>
          </cell>
          <cell r="DA340">
            <v>321256</v>
          </cell>
          <cell r="DB340">
            <v>287468</v>
          </cell>
          <cell r="DC340">
            <v>298085</v>
          </cell>
          <cell r="DD340">
            <v>200489</v>
          </cell>
          <cell r="DE340">
            <v>183227</v>
          </cell>
          <cell r="DF340">
            <v>274497.5</v>
          </cell>
          <cell r="DG340">
            <v>209135</v>
          </cell>
          <cell r="DH340">
            <v>92384.5</v>
          </cell>
          <cell r="DI340">
            <v>64276</v>
          </cell>
          <cell r="DJ340">
            <v>235040.75</v>
          </cell>
          <cell r="DK340">
            <v>247853.75</v>
          </cell>
          <cell r="DL340">
            <v>290708</v>
          </cell>
          <cell r="DM340">
            <v>271136</v>
          </cell>
          <cell r="DN340">
            <v>252563</v>
          </cell>
          <cell r="DO340">
            <v>233071</v>
          </cell>
          <cell r="DP340">
            <v>209897.5</v>
          </cell>
          <cell r="DQ340">
            <v>225741.8</v>
          </cell>
          <cell r="DR340">
            <v>234467</v>
          </cell>
          <cell r="DS340">
            <v>243860.3</v>
          </cell>
          <cell r="DT340">
            <v>203216.6</v>
          </cell>
          <cell r="DU340">
            <v>246748.4</v>
          </cell>
          <cell r="DV340">
            <v>238791.52</v>
          </cell>
          <cell r="DW340">
            <v>268815.21000000002</v>
          </cell>
          <cell r="DX340">
            <v>297188.14500000002</v>
          </cell>
          <cell r="DY340">
            <v>390981.05000000005</v>
          </cell>
          <cell r="DZ340">
            <v>342217.5</v>
          </cell>
          <cell r="EA340">
            <v>224127</v>
          </cell>
          <cell r="EB340">
            <v>304424.05</v>
          </cell>
          <cell r="EC340">
            <v>316506.09999999998</v>
          </cell>
          <cell r="ED340">
            <v>250685.31199999998</v>
          </cell>
          <cell r="EE340">
            <v>238593.35</v>
          </cell>
          <cell r="EF340">
            <v>244453.75</v>
          </cell>
          <cell r="EG340">
            <v>292100</v>
          </cell>
          <cell r="EH340">
            <v>291992</v>
          </cell>
          <cell r="EI340">
            <v>183045.2</v>
          </cell>
          <cell r="EJ340" t="str">
            <v>ACTIVO</v>
          </cell>
          <cell r="EK340" t="str">
            <v/>
          </cell>
          <cell r="EL340" t="str">
            <v/>
          </cell>
          <cell r="EM340">
            <v>254698.52347999995</v>
          </cell>
          <cell r="EN340">
            <v>42449.753913333327</v>
          </cell>
          <cell r="EO340">
            <v>55528.724375798694</v>
          </cell>
          <cell r="EP340">
            <v>0</v>
          </cell>
          <cell r="EQ340">
            <v>0</v>
          </cell>
          <cell r="ER340">
            <v>0</v>
          </cell>
          <cell r="ES340">
            <v>0</v>
          </cell>
        </row>
        <row r="341">
          <cell r="F341">
            <v>405370</v>
          </cell>
          <cell r="G341" t="str">
            <v>LECHE CONDENSADA MONACO</v>
          </cell>
          <cell r="H341"/>
          <cell r="I341"/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>
            <v>898.11</v>
          </cell>
          <cell r="AL341">
            <v>837</v>
          </cell>
          <cell r="AM341">
            <v>495</v>
          </cell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K341"/>
          <cell r="DL341"/>
          <cell r="DM341"/>
          <cell r="DN341"/>
          <cell r="DO341"/>
          <cell r="DP341"/>
          <cell r="DQ341"/>
          <cell r="DR341"/>
          <cell r="DS341"/>
          <cell r="DT341"/>
          <cell r="DU341"/>
          <cell r="DV341"/>
          <cell r="DW341"/>
          <cell r="DX341"/>
          <cell r="DY341"/>
          <cell r="DZ341"/>
          <cell r="EA341"/>
          <cell r="EB341"/>
          <cell r="EC341"/>
          <cell r="ED341"/>
          <cell r="EE341"/>
          <cell r="EF341"/>
          <cell r="EG341"/>
          <cell r="EH341"/>
          <cell r="EI341"/>
          <cell r="EJ341" t="str">
            <v>SIN USO</v>
          </cell>
          <cell r="EK341" t="str">
            <v/>
          </cell>
          <cell r="EL341" t="str">
            <v/>
          </cell>
          <cell r="EM341">
            <v>0</v>
          </cell>
          <cell r="EN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</row>
        <row r="342">
          <cell r="F342">
            <v>107215</v>
          </cell>
          <cell r="G342" t="str">
            <v>LECHE CONDENSADA NESTLE</v>
          </cell>
          <cell r="H342">
            <v>225</v>
          </cell>
          <cell r="I342">
            <v>162</v>
          </cell>
          <cell r="J342"/>
          <cell r="K342"/>
          <cell r="L342">
            <v>90</v>
          </cell>
          <cell r="M342">
            <v>45</v>
          </cell>
          <cell r="N342">
            <v>90</v>
          </cell>
          <cell r="O342">
            <v>90</v>
          </cell>
          <cell r="P342"/>
          <cell r="Q342"/>
          <cell r="R342"/>
          <cell r="S342">
            <v>45</v>
          </cell>
          <cell r="T342"/>
          <cell r="U342"/>
          <cell r="V342"/>
          <cell r="W342"/>
          <cell r="X342"/>
          <cell r="Y342"/>
          <cell r="Z342"/>
          <cell r="AA342"/>
          <cell r="AB342">
            <v>31.5</v>
          </cell>
          <cell r="AC342">
            <v>112.5</v>
          </cell>
          <cell r="AD342">
            <v>193.5</v>
          </cell>
          <cell r="AE342">
            <v>1318.5</v>
          </cell>
          <cell r="AF342">
            <v>369</v>
          </cell>
          <cell r="AG342">
            <v>630</v>
          </cell>
          <cell r="AH342">
            <v>670.5</v>
          </cell>
          <cell r="AI342">
            <v>1123.1100000000001</v>
          </cell>
          <cell r="AJ342">
            <v>823.5</v>
          </cell>
          <cell r="AK342">
            <v>51.39</v>
          </cell>
          <cell r="AL342"/>
          <cell r="AM342">
            <v>837</v>
          </cell>
          <cell r="AN342">
            <v>1012.5</v>
          </cell>
          <cell r="AO342">
            <v>1120.5</v>
          </cell>
          <cell r="AP342">
            <v>1080</v>
          </cell>
          <cell r="AQ342">
            <v>1165.5</v>
          </cell>
          <cell r="AR342">
            <v>886.5</v>
          </cell>
          <cell r="AS342">
            <v>666</v>
          </cell>
          <cell r="AT342">
            <v>1336.5</v>
          </cell>
          <cell r="AU342">
            <v>1188</v>
          </cell>
          <cell r="AV342">
            <v>1120.5</v>
          </cell>
          <cell r="AW342">
            <v>904.5</v>
          </cell>
          <cell r="AX342">
            <v>1179</v>
          </cell>
          <cell r="AY342">
            <v>1107</v>
          </cell>
          <cell r="AZ342">
            <v>1107</v>
          </cell>
          <cell r="BA342">
            <v>1201.5</v>
          </cell>
          <cell r="BB342">
            <v>994.5</v>
          </cell>
          <cell r="BC342">
            <v>1027</v>
          </cell>
          <cell r="BD342">
            <v>1057.5</v>
          </cell>
          <cell r="BE342">
            <v>1102.5</v>
          </cell>
          <cell r="BF342">
            <v>1062</v>
          </cell>
          <cell r="BG342">
            <v>972</v>
          </cell>
          <cell r="BH342">
            <v>598.5</v>
          </cell>
          <cell r="BI342">
            <v>1057.5</v>
          </cell>
          <cell r="BJ342">
            <v>679.5</v>
          </cell>
          <cell r="BK342">
            <v>846</v>
          </cell>
          <cell r="BL342">
            <v>913.5</v>
          </cell>
          <cell r="BM342">
            <v>936</v>
          </cell>
          <cell r="BN342">
            <v>1025.5</v>
          </cell>
          <cell r="BO342">
            <v>987</v>
          </cell>
          <cell r="BP342">
            <v>901.5</v>
          </cell>
          <cell r="BQ342">
            <v>955.5</v>
          </cell>
          <cell r="BR342">
            <v>1085</v>
          </cell>
          <cell r="BS342">
            <v>1087.5</v>
          </cell>
          <cell r="BT342">
            <v>1003.5</v>
          </cell>
          <cell r="BU342">
            <v>1234.5</v>
          </cell>
          <cell r="BV342">
            <v>1462.5</v>
          </cell>
          <cell r="BW342">
            <v>349.5</v>
          </cell>
          <cell r="BX342"/>
          <cell r="BY342">
            <v>898.5</v>
          </cell>
          <cell r="BZ342">
            <v>2316</v>
          </cell>
          <cell r="CA342">
            <v>1116</v>
          </cell>
          <cell r="CB342">
            <v>1152</v>
          </cell>
          <cell r="CC342">
            <v>1518</v>
          </cell>
          <cell r="CD342">
            <v>1554</v>
          </cell>
          <cell r="CE342">
            <v>2077.0500000000002</v>
          </cell>
          <cell r="CF342"/>
          <cell r="CG342"/>
          <cell r="CH342"/>
          <cell r="CI342"/>
          <cell r="CJ342"/>
          <cell r="CK342">
            <v>921</v>
          </cell>
          <cell r="CL342">
            <v>1404</v>
          </cell>
          <cell r="CM342">
            <v>1374</v>
          </cell>
          <cell r="CN342">
            <v>1368</v>
          </cell>
          <cell r="CO342">
            <v>1278</v>
          </cell>
          <cell r="CP342">
            <v>1380</v>
          </cell>
          <cell r="CQ342">
            <v>1176</v>
          </cell>
          <cell r="CR342">
            <v>1278</v>
          </cell>
          <cell r="CS342">
            <v>492</v>
          </cell>
          <cell r="CT342">
            <v>1236</v>
          </cell>
          <cell r="CU342">
            <v>1110</v>
          </cell>
          <cell r="CV342">
            <v>1206</v>
          </cell>
          <cell r="CW342">
            <v>984</v>
          </cell>
          <cell r="CX342">
            <v>924</v>
          </cell>
          <cell r="CY342">
            <v>954</v>
          </cell>
          <cell r="CZ342">
            <v>900</v>
          </cell>
          <cell r="DA342">
            <v>888</v>
          </cell>
          <cell r="DB342">
            <v>708</v>
          </cell>
          <cell r="DC342">
            <v>1056</v>
          </cell>
          <cell r="DD342">
            <v>840</v>
          </cell>
          <cell r="DE342">
            <v>846</v>
          </cell>
          <cell r="DF342">
            <v>1002</v>
          </cell>
          <cell r="DG342">
            <v>786</v>
          </cell>
          <cell r="DH342">
            <v>468</v>
          </cell>
          <cell r="DI342">
            <v>264</v>
          </cell>
          <cell r="DJ342">
            <v>858</v>
          </cell>
          <cell r="DK342">
            <v>864</v>
          </cell>
          <cell r="DL342">
            <v>740</v>
          </cell>
          <cell r="DM342">
            <v>768</v>
          </cell>
          <cell r="DN342">
            <v>690</v>
          </cell>
          <cell r="DO342">
            <v>750</v>
          </cell>
          <cell r="DP342">
            <v>630</v>
          </cell>
          <cell r="DQ342">
            <v>684</v>
          </cell>
          <cell r="DR342">
            <v>744</v>
          </cell>
          <cell r="DS342">
            <v>786</v>
          </cell>
          <cell r="DT342">
            <v>540</v>
          </cell>
          <cell r="DU342">
            <v>780</v>
          </cell>
          <cell r="DV342">
            <v>810</v>
          </cell>
          <cell r="DW342">
            <v>726</v>
          </cell>
          <cell r="DX342">
            <v>774</v>
          </cell>
          <cell r="DY342">
            <v>762</v>
          </cell>
          <cell r="DZ342">
            <v>1266</v>
          </cell>
          <cell r="EA342">
            <v>1038</v>
          </cell>
          <cell r="EB342">
            <v>828</v>
          </cell>
          <cell r="EC342">
            <v>840</v>
          </cell>
          <cell r="ED342">
            <v>810</v>
          </cell>
          <cell r="EE342">
            <v>798</v>
          </cell>
          <cell r="EF342">
            <v>876</v>
          </cell>
          <cell r="EG342">
            <v>1488</v>
          </cell>
          <cell r="EH342">
            <v>804</v>
          </cell>
          <cell r="EI342">
            <v>522</v>
          </cell>
          <cell r="EJ342" t="str">
            <v>ACTIVO</v>
          </cell>
          <cell r="EK342" t="str">
            <v>A</v>
          </cell>
          <cell r="EL342">
            <v>1000</v>
          </cell>
          <cell r="EM342">
            <v>804.56</v>
          </cell>
          <cell r="EN342">
            <v>134.09333333333333</v>
          </cell>
          <cell r="EO342">
            <v>359.33972055204214</v>
          </cell>
          <cell r="EP342">
            <v>276</v>
          </cell>
          <cell r="EQ342">
            <v>830070</v>
          </cell>
          <cell r="ER342">
            <v>0.34304464552053299</v>
          </cell>
          <cell r="ES342">
            <v>402.28</v>
          </cell>
        </row>
        <row r="343">
          <cell r="F343">
            <v>107270</v>
          </cell>
          <cell r="G343" t="str">
            <v>LECHE CONDENSADA NESTLE</v>
          </cell>
          <cell r="H343"/>
          <cell r="I343"/>
          <cell r="J343"/>
          <cell r="K343"/>
          <cell r="L343"/>
          <cell r="M343"/>
          <cell r="N343"/>
          <cell r="O343"/>
          <cell r="P343"/>
          <cell r="Q343"/>
          <cell r="R343">
            <v>90</v>
          </cell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>
            <v>78</v>
          </cell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K343"/>
          <cell r="DL343"/>
          <cell r="DM343"/>
          <cell r="DN343"/>
          <cell r="DO343"/>
          <cell r="DP343"/>
          <cell r="DQ343"/>
          <cell r="DR343"/>
          <cell r="DS343"/>
          <cell r="DT343"/>
          <cell r="DU343"/>
          <cell r="DV343"/>
          <cell r="DW343"/>
          <cell r="DX343"/>
          <cell r="DY343"/>
          <cell r="DZ343"/>
          <cell r="EA343"/>
          <cell r="EB343"/>
          <cell r="EC343"/>
          <cell r="ED343"/>
          <cell r="EE343"/>
          <cell r="EF343"/>
          <cell r="EG343"/>
          <cell r="EH343"/>
          <cell r="EI343"/>
          <cell r="EJ343" t="str">
            <v>SIN USO</v>
          </cell>
          <cell r="EK343" t="str">
            <v>A</v>
          </cell>
          <cell r="EL343" t="str">
            <v/>
          </cell>
          <cell r="EM343">
            <v>0</v>
          </cell>
          <cell r="EN343">
            <v>0</v>
          </cell>
          <cell r="EO343">
            <v>0</v>
          </cell>
          <cell r="EP343">
            <v>0</v>
          </cell>
          <cell r="EQ343">
            <v>0</v>
          </cell>
          <cell r="ER343">
            <v>0</v>
          </cell>
          <cell r="ES343">
            <v>0</v>
          </cell>
        </row>
        <row r="344">
          <cell r="F344">
            <v>405382</v>
          </cell>
          <cell r="G344" t="str">
            <v>LECHE CONDENSADA EGC</v>
          </cell>
          <cell r="H344"/>
          <cell r="I344"/>
          <cell r="J344"/>
          <cell r="K344"/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>
            <v>40.5</v>
          </cell>
          <cell r="AQ344"/>
          <cell r="AR344">
            <v>229.5</v>
          </cell>
          <cell r="AS344">
            <v>180</v>
          </cell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>
            <v>162</v>
          </cell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K344"/>
          <cell r="DL344"/>
          <cell r="DM344"/>
          <cell r="DN344"/>
          <cell r="DO344"/>
          <cell r="DP344"/>
          <cell r="DQ344"/>
          <cell r="DR344"/>
          <cell r="DS344"/>
          <cell r="DT344"/>
          <cell r="DU344"/>
          <cell r="DV344"/>
          <cell r="DW344"/>
          <cell r="DX344"/>
          <cell r="DY344"/>
          <cell r="DZ344"/>
          <cell r="EA344"/>
          <cell r="EB344"/>
          <cell r="EC344"/>
          <cell r="ED344"/>
          <cell r="EE344"/>
          <cell r="EF344"/>
          <cell r="EG344"/>
          <cell r="EH344"/>
          <cell r="EI344"/>
          <cell r="EJ344" t="str">
            <v>SIN USO</v>
          </cell>
          <cell r="EK344" t="str">
            <v>C</v>
          </cell>
          <cell r="EL344" t="str">
            <v/>
          </cell>
          <cell r="EM344">
            <v>0</v>
          </cell>
          <cell r="EN344">
            <v>0</v>
          </cell>
          <cell r="EO344">
            <v>0</v>
          </cell>
          <cell r="EP344">
            <v>0</v>
          </cell>
          <cell r="EQ344">
            <v>0</v>
          </cell>
          <cell r="ER344">
            <v>0</v>
          </cell>
          <cell r="ES344">
            <v>0</v>
          </cell>
        </row>
        <row r="345">
          <cell r="F345">
            <v>107333</v>
          </cell>
          <cell r="G345" t="str">
            <v>LECHE CONDENSADA UNTABLE NESTLE</v>
          </cell>
          <cell r="H345"/>
          <cell r="I345"/>
          <cell r="J345"/>
          <cell r="K345"/>
          <cell r="L345">
            <v>54</v>
          </cell>
          <cell r="M345">
            <v>130.6</v>
          </cell>
          <cell r="N345"/>
          <cell r="O345"/>
          <cell r="P345"/>
          <cell r="Q345"/>
          <cell r="R345"/>
          <cell r="S345"/>
          <cell r="T345"/>
          <cell r="U345"/>
          <cell r="V345">
            <v>130.5</v>
          </cell>
          <cell r="W345">
            <v>88.740000000000009</v>
          </cell>
          <cell r="X345">
            <v>20.88</v>
          </cell>
          <cell r="Y345"/>
          <cell r="Z345"/>
          <cell r="AA345"/>
          <cell r="AB345">
            <v>36.54</v>
          </cell>
          <cell r="AC345">
            <v>91.35</v>
          </cell>
          <cell r="AD345">
            <v>46.98</v>
          </cell>
          <cell r="AE345">
            <v>121.50999999999999</v>
          </cell>
          <cell r="AF345">
            <v>23.49</v>
          </cell>
          <cell r="AG345">
            <v>2.6</v>
          </cell>
          <cell r="AH345">
            <v>28.7</v>
          </cell>
          <cell r="AI345">
            <v>46.980000000000004</v>
          </cell>
          <cell r="AJ345">
            <v>23.49</v>
          </cell>
          <cell r="AK345">
            <v>44.37</v>
          </cell>
          <cell r="AL345">
            <v>41.76</v>
          </cell>
          <cell r="AM345"/>
          <cell r="AN345">
            <v>23.49</v>
          </cell>
          <cell r="AO345">
            <v>23.49</v>
          </cell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>
            <v>41.76</v>
          </cell>
          <cell r="BM345">
            <v>20.88</v>
          </cell>
          <cell r="BN345">
            <v>54.81</v>
          </cell>
          <cell r="BO345">
            <v>54.81</v>
          </cell>
          <cell r="BP345">
            <v>54.81</v>
          </cell>
          <cell r="BQ345">
            <v>36.54</v>
          </cell>
          <cell r="BR345">
            <v>18.72</v>
          </cell>
          <cell r="BS345">
            <v>73.08</v>
          </cell>
          <cell r="BT345">
            <v>36.54</v>
          </cell>
          <cell r="BU345">
            <v>18.27</v>
          </cell>
          <cell r="BV345">
            <v>101.35</v>
          </cell>
          <cell r="BW345">
            <v>133.4</v>
          </cell>
          <cell r="BX345">
            <v>36.54</v>
          </cell>
          <cell r="BY345">
            <v>18.27</v>
          </cell>
          <cell r="BZ345"/>
          <cell r="CA345">
            <v>18.27</v>
          </cell>
          <cell r="CB345">
            <v>57.42</v>
          </cell>
          <cell r="CC345">
            <v>83.52</v>
          </cell>
          <cell r="CD345">
            <v>49.589999999999996</v>
          </cell>
          <cell r="CE345">
            <v>18.27</v>
          </cell>
          <cell r="CF345">
            <v>73.08</v>
          </cell>
          <cell r="CG345">
            <v>86.13</v>
          </cell>
          <cell r="CH345">
            <v>10.44</v>
          </cell>
          <cell r="CI345">
            <v>20.88</v>
          </cell>
          <cell r="CJ345">
            <v>10.44</v>
          </cell>
          <cell r="CK345"/>
          <cell r="CL345">
            <v>18.27</v>
          </cell>
          <cell r="CM345">
            <v>78.3</v>
          </cell>
          <cell r="CN345">
            <v>60.03</v>
          </cell>
          <cell r="CO345">
            <v>18.27</v>
          </cell>
          <cell r="CP345">
            <v>41.76</v>
          </cell>
          <cell r="CQ345">
            <v>59.89</v>
          </cell>
          <cell r="CR345">
            <v>56.16</v>
          </cell>
          <cell r="CS345">
            <v>36.54</v>
          </cell>
          <cell r="CT345">
            <v>31.32</v>
          </cell>
          <cell r="CU345">
            <v>41.760000000000005</v>
          </cell>
          <cell r="CV345">
            <v>27</v>
          </cell>
          <cell r="CW345">
            <v>86.58</v>
          </cell>
          <cell r="CX345"/>
          <cell r="CY345">
            <v>66.16</v>
          </cell>
          <cell r="CZ345">
            <v>73.53</v>
          </cell>
          <cell r="DA345">
            <v>77.94</v>
          </cell>
          <cell r="DB345">
            <v>27.38</v>
          </cell>
          <cell r="DC345">
            <v>55.71</v>
          </cell>
          <cell r="DD345">
            <v>67.5</v>
          </cell>
          <cell r="DE345">
            <v>26.1</v>
          </cell>
          <cell r="DF345"/>
          <cell r="DG345"/>
          <cell r="DH345"/>
          <cell r="DI345"/>
          <cell r="DJ345"/>
          <cell r="DK345">
            <v>36.54</v>
          </cell>
          <cell r="DL345"/>
          <cell r="DM345">
            <v>33.93</v>
          </cell>
          <cell r="DN345">
            <v>33.93</v>
          </cell>
          <cell r="DO345">
            <v>15.66</v>
          </cell>
          <cell r="DP345">
            <v>67.86</v>
          </cell>
          <cell r="DQ345"/>
          <cell r="DR345"/>
          <cell r="DS345"/>
          <cell r="DT345"/>
          <cell r="DU345"/>
          <cell r="DV345">
            <v>36.54</v>
          </cell>
          <cell r="DW345">
            <v>62.64</v>
          </cell>
          <cell r="DX345">
            <v>91.35</v>
          </cell>
          <cell r="DY345">
            <v>86.13</v>
          </cell>
          <cell r="DZ345">
            <v>18.27</v>
          </cell>
          <cell r="EA345">
            <v>18</v>
          </cell>
          <cell r="EB345"/>
          <cell r="EC345"/>
          <cell r="ED345"/>
          <cell r="EE345"/>
          <cell r="EF345"/>
          <cell r="EG345"/>
          <cell r="EH345"/>
          <cell r="EI345">
            <v>36.54</v>
          </cell>
          <cell r="EJ345" t="str">
            <v>ACTIVO</v>
          </cell>
          <cell r="EK345" t="str">
            <v>C</v>
          </cell>
          <cell r="EL345">
            <v>156.6</v>
          </cell>
          <cell r="EM345">
            <v>45.531818181818181</v>
          </cell>
          <cell r="EN345">
            <v>7.5886363636363638</v>
          </cell>
          <cell r="EO345">
            <v>27.660717042967597</v>
          </cell>
          <cell r="EP345">
            <v>54.81</v>
          </cell>
          <cell r="EQ345">
            <v>242506.845</v>
          </cell>
          <cell r="ER345">
            <v>1.2037735849056603</v>
          </cell>
          <cell r="ES345">
            <v>22.765909090909091</v>
          </cell>
        </row>
        <row r="346">
          <cell r="F346">
            <v>405539</v>
          </cell>
          <cell r="G346" t="str">
            <v>LECHE CONDENSADA WATTS</v>
          </cell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>
            <v>682.6</v>
          </cell>
          <cell r="BX346">
            <v>1239</v>
          </cell>
          <cell r="BY346">
            <v>432.5</v>
          </cell>
          <cell r="BZ346"/>
          <cell r="CA346"/>
          <cell r="CB346"/>
          <cell r="CC346"/>
          <cell r="CD346"/>
          <cell r="CE346">
            <v>274.95</v>
          </cell>
          <cell r="CF346">
            <v>1214</v>
          </cell>
          <cell r="CG346">
            <v>1420</v>
          </cell>
          <cell r="CH346">
            <v>1317</v>
          </cell>
          <cell r="CI346">
            <v>1291</v>
          </cell>
          <cell r="CJ346">
            <v>1380</v>
          </cell>
          <cell r="CK346">
            <v>812</v>
          </cell>
          <cell r="CL346"/>
          <cell r="CM346"/>
          <cell r="CN346"/>
          <cell r="CO346"/>
          <cell r="CP346"/>
          <cell r="CQ346"/>
          <cell r="CR346"/>
          <cell r="CS346"/>
          <cell r="CT346"/>
          <cell r="CU346">
            <v>55</v>
          </cell>
          <cell r="CV346"/>
          <cell r="CW346"/>
          <cell r="CX346"/>
          <cell r="CY346"/>
          <cell r="CZ346"/>
          <cell r="DA346"/>
          <cell r="DB346">
            <v>109</v>
          </cell>
          <cell r="DC346">
            <v>15</v>
          </cell>
          <cell r="DD346"/>
          <cell r="DE346">
            <v>85</v>
          </cell>
          <cell r="DF346">
            <v>95</v>
          </cell>
          <cell r="DG346">
            <v>20</v>
          </cell>
          <cell r="DH346">
            <v>60</v>
          </cell>
          <cell r="DI346"/>
          <cell r="DJ346">
            <v>190</v>
          </cell>
          <cell r="DK346"/>
          <cell r="DL346">
            <v>65</v>
          </cell>
          <cell r="DM346">
            <v>45</v>
          </cell>
          <cell r="DN346"/>
          <cell r="DO346"/>
          <cell r="DP346"/>
          <cell r="DQ346"/>
          <cell r="DR346"/>
          <cell r="DS346"/>
          <cell r="DT346">
            <v>300</v>
          </cell>
          <cell r="DU346">
            <v>32.4</v>
          </cell>
          <cell r="DV346">
            <v>215</v>
          </cell>
          <cell r="DW346">
            <v>175</v>
          </cell>
          <cell r="DX346"/>
          <cell r="DY346"/>
          <cell r="DZ346"/>
          <cell r="EA346"/>
          <cell r="EB346"/>
          <cell r="EC346"/>
          <cell r="ED346"/>
          <cell r="EE346">
            <v>30</v>
          </cell>
          <cell r="EF346">
            <v>30</v>
          </cell>
          <cell r="EG346">
            <v>25</v>
          </cell>
          <cell r="EH346"/>
          <cell r="EI346"/>
          <cell r="EJ346" t="str">
            <v>SIN USO</v>
          </cell>
          <cell r="EK346" t="str">
            <v>B</v>
          </cell>
          <cell r="EL346" t="str">
            <v/>
          </cell>
          <cell r="EM346">
            <v>110.74000000000001</v>
          </cell>
          <cell r="EN346">
            <v>18.456666666666667</v>
          </cell>
          <cell r="EO346">
            <v>573.71496596229531</v>
          </cell>
          <cell r="EP346">
            <v>85</v>
          </cell>
          <cell r="EQ346">
            <v>250750</v>
          </cell>
          <cell r="ER346">
            <v>0.76756366263319475</v>
          </cell>
          <cell r="ES346">
            <v>55.370000000000005</v>
          </cell>
        </row>
        <row r="347">
          <cell r="F347"/>
          <cell r="G347"/>
          <cell r="H347">
            <v>225</v>
          </cell>
          <cell r="I347">
            <v>162</v>
          </cell>
          <cell r="J347"/>
          <cell r="K347"/>
          <cell r="L347">
            <v>144</v>
          </cell>
          <cell r="M347">
            <v>175.6</v>
          </cell>
          <cell r="N347">
            <v>90</v>
          </cell>
          <cell r="O347">
            <v>90</v>
          </cell>
          <cell r="P347"/>
          <cell r="Q347"/>
          <cell r="R347">
            <v>90</v>
          </cell>
          <cell r="S347">
            <v>45</v>
          </cell>
          <cell r="T347"/>
          <cell r="U347"/>
          <cell r="V347">
            <v>130.5</v>
          </cell>
          <cell r="W347">
            <v>88.740000000000009</v>
          </cell>
          <cell r="X347">
            <v>20.88</v>
          </cell>
          <cell r="Y347"/>
          <cell r="Z347"/>
          <cell r="AA347"/>
          <cell r="AB347">
            <v>68.039999999999992</v>
          </cell>
          <cell r="AC347">
            <v>203.85</v>
          </cell>
          <cell r="AD347">
            <v>240.48</v>
          </cell>
          <cell r="AE347">
            <v>1440.01</v>
          </cell>
          <cell r="AF347">
            <v>392.49</v>
          </cell>
          <cell r="AG347">
            <v>632.6</v>
          </cell>
          <cell r="AH347">
            <v>699.2</v>
          </cell>
          <cell r="AI347">
            <v>1170.0900000000001</v>
          </cell>
          <cell r="AJ347">
            <v>846.99</v>
          </cell>
          <cell r="AK347">
            <v>993.87</v>
          </cell>
          <cell r="AL347">
            <v>878.76</v>
          </cell>
          <cell r="AM347">
            <v>1332</v>
          </cell>
          <cell r="AN347">
            <v>1035.99</v>
          </cell>
          <cell r="AO347">
            <v>1143.99</v>
          </cell>
          <cell r="AP347">
            <v>1120.5</v>
          </cell>
          <cell r="AQ347">
            <v>1165.5</v>
          </cell>
          <cell r="AR347">
            <v>1116</v>
          </cell>
          <cell r="AS347">
            <v>846</v>
          </cell>
          <cell r="AT347">
            <v>1336.5</v>
          </cell>
          <cell r="AU347">
            <v>1188</v>
          </cell>
          <cell r="AV347">
            <v>1120.5</v>
          </cell>
          <cell r="AW347">
            <v>904.5</v>
          </cell>
          <cell r="AX347">
            <v>1179</v>
          </cell>
          <cell r="AY347">
            <v>1107</v>
          </cell>
          <cell r="AZ347">
            <v>1107</v>
          </cell>
          <cell r="BA347">
            <v>1201.5</v>
          </cell>
          <cell r="BB347">
            <v>994.5</v>
          </cell>
          <cell r="BC347">
            <v>1027</v>
          </cell>
          <cell r="BD347">
            <v>1057.5</v>
          </cell>
          <cell r="BE347">
            <v>1102.5</v>
          </cell>
          <cell r="BF347">
            <v>1062</v>
          </cell>
          <cell r="BG347">
            <v>972</v>
          </cell>
          <cell r="BH347">
            <v>598.5</v>
          </cell>
          <cell r="BI347">
            <v>1057.5</v>
          </cell>
          <cell r="BJ347">
            <v>679.5</v>
          </cell>
          <cell r="BK347">
            <v>846</v>
          </cell>
          <cell r="BL347">
            <v>955.26</v>
          </cell>
          <cell r="BM347">
            <v>956.88</v>
          </cell>
          <cell r="BN347">
            <v>1080.31</v>
          </cell>
          <cell r="BO347">
            <v>1041.81</v>
          </cell>
          <cell r="BP347">
            <v>956.31</v>
          </cell>
          <cell r="BQ347">
            <v>992.04</v>
          </cell>
          <cell r="BR347">
            <v>1103.72</v>
          </cell>
          <cell r="BS347">
            <v>1160.58</v>
          </cell>
          <cell r="BT347">
            <v>1202.04</v>
          </cell>
          <cell r="BU347">
            <v>1252.77</v>
          </cell>
          <cell r="BV347">
            <v>1563.85</v>
          </cell>
          <cell r="BW347">
            <v>1243.5</v>
          </cell>
          <cell r="BX347">
            <v>1275.54</v>
          </cell>
          <cell r="BY347">
            <v>1349.27</v>
          </cell>
          <cell r="BZ347">
            <v>2316</v>
          </cell>
          <cell r="CA347">
            <v>1134.27</v>
          </cell>
          <cell r="CB347">
            <v>1209.42</v>
          </cell>
          <cell r="CC347">
            <v>1601.52</v>
          </cell>
          <cell r="CD347">
            <v>1603.59</v>
          </cell>
          <cell r="CE347">
            <v>2370.27</v>
          </cell>
          <cell r="CF347">
            <v>1287.08</v>
          </cell>
          <cell r="CG347">
            <v>1506.13</v>
          </cell>
          <cell r="CH347">
            <v>1327.44</v>
          </cell>
          <cell r="CI347">
            <v>1311.88</v>
          </cell>
          <cell r="CJ347">
            <v>1390.44</v>
          </cell>
          <cell r="CK347">
            <v>1733</v>
          </cell>
          <cell r="CL347">
            <v>1422.27</v>
          </cell>
          <cell r="CM347">
            <v>1452.3</v>
          </cell>
          <cell r="CN347">
            <v>1428.03</v>
          </cell>
          <cell r="CO347">
            <v>1296.27</v>
          </cell>
          <cell r="CP347">
            <v>1421.76</v>
          </cell>
          <cell r="CQ347">
            <v>1235.8900000000001</v>
          </cell>
          <cell r="CR347">
            <v>1334.16</v>
          </cell>
          <cell r="CS347">
            <v>528.54</v>
          </cell>
          <cell r="CT347">
            <v>1267.32</v>
          </cell>
          <cell r="CU347">
            <v>1206.76</v>
          </cell>
          <cell r="CV347">
            <v>1233</v>
          </cell>
          <cell r="CW347">
            <v>1070.58</v>
          </cell>
          <cell r="CX347">
            <v>924</v>
          </cell>
          <cell r="CY347">
            <v>1020.16</v>
          </cell>
          <cell r="CZ347">
            <v>973.53</v>
          </cell>
          <cell r="DA347">
            <v>965.94</v>
          </cell>
          <cell r="DB347">
            <v>844.38</v>
          </cell>
          <cell r="DC347">
            <v>1126.71</v>
          </cell>
          <cell r="DD347">
            <v>907.5</v>
          </cell>
          <cell r="DE347">
            <v>957.1</v>
          </cell>
          <cell r="DF347">
            <v>1097</v>
          </cell>
          <cell r="DG347">
            <v>806</v>
          </cell>
          <cell r="DH347">
            <v>528</v>
          </cell>
          <cell r="DI347">
            <v>264</v>
          </cell>
          <cell r="DJ347">
            <v>1048</v>
          </cell>
          <cell r="DK347">
            <v>900.54</v>
          </cell>
          <cell r="DL347">
            <v>805</v>
          </cell>
          <cell r="DM347">
            <v>846.93</v>
          </cell>
          <cell r="DN347">
            <v>723.93</v>
          </cell>
          <cell r="DO347">
            <v>765.66</v>
          </cell>
          <cell r="DP347">
            <v>697.86</v>
          </cell>
          <cell r="DQ347">
            <v>684</v>
          </cell>
          <cell r="DR347">
            <v>744</v>
          </cell>
          <cell r="DS347">
            <v>786</v>
          </cell>
          <cell r="DT347">
            <v>840</v>
          </cell>
          <cell r="DU347">
            <v>812.4</v>
          </cell>
          <cell r="DV347">
            <v>1061.54</v>
          </cell>
          <cell r="DW347">
            <v>963.64</v>
          </cell>
          <cell r="DX347">
            <v>865.35</v>
          </cell>
          <cell r="DY347">
            <v>848.13</v>
          </cell>
          <cell r="DZ347">
            <v>1284.27</v>
          </cell>
          <cell r="EA347">
            <v>1056</v>
          </cell>
          <cell r="EB347">
            <v>828</v>
          </cell>
          <cell r="EC347">
            <v>840</v>
          </cell>
          <cell r="ED347">
            <v>810</v>
          </cell>
          <cell r="EE347">
            <v>828</v>
          </cell>
          <cell r="EF347">
            <v>906</v>
          </cell>
          <cell r="EG347">
            <v>1513</v>
          </cell>
          <cell r="EH347">
            <v>804</v>
          </cell>
          <cell r="EI347">
            <v>558.54</v>
          </cell>
          <cell r="EJ347" t="str">
            <v>ACTIVO</v>
          </cell>
          <cell r="EK347" t="str">
            <v/>
          </cell>
          <cell r="EL347" t="str">
            <v/>
          </cell>
          <cell r="EM347">
            <v>868.88999999999987</v>
          </cell>
          <cell r="EN347">
            <v>144.81499999999997</v>
          </cell>
          <cell r="EO347">
            <v>351.64019039704135</v>
          </cell>
          <cell r="EP347">
            <v>0</v>
          </cell>
          <cell r="EQ347">
            <v>0</v>
          </cell>
          <cell r="ER347">
            <v>0</v>
          </cell>
          <cell r="ES347">
            <v>0</v>
          </cell>
        </row>
        <row r="348">
          <cell r="F348">
            <v>107181</v>
          </cell>
          <cell r="G348" t="str">
            <v>RELLENO PIE DE LIMON SAN CRISTOBAL</v>
          </cell>
          <cell r="H348">
            <v>607.5</v>
          </cell>
          <cell r="I348">
            <v>594</v>
          </cell>
          <cell r="J348">
            <v>589.5</v>
          </cell>
          <cell r="K348">
            <v>567</v>
          </cell>
          <cell r="L348">
            <v>549</v>
          </cell>
          <cell r="M348">
            <v>603</v>
          </cell>
          <cell r="N348">
            <v>567</v>
          </cell>
          <cell r="O348">
            <v>562.5</v>
          </cell>
          <cell r="P348">
            <v>531</v>
          </cell>
          <cell r="Q348">
            <v>531</v>
          </cell>
          <cell r="R348">
            <v>549</v>
          </cell>
          <cell r="S348">
            <v>724.5</v>
          </cell>
          <cell r="T348">
            <v>670.5</v>
          </cell>
          <cell r="U348">
            <v>639</v>
          </cell>
          <cell r="V348">
            <v>823.5</v>
          </cell>
          <cell r="W348">
            <v>630</v>
          </cell>
          <cell r="X348">
            <v>652.5</v>
          </cell>
          <cell r="Y348">
            <v>675</v>
          </cell>
          <cell r="Z348">
            <v>1030.5</v>
          </cell>
          <cell r="AA348">
            <v>553.5</v>
          </cell>
          <cell r="AB348">
            <v>760.5</v>
          </cell>
          <cell r="AC348">
            <v>778.5</v>
          </cell>
          <cell r="AD348">
            <v>702</v>
          </cell>
          <cell r="AE348">
            <v>1017</v>
          </cell>
          <cell r="AF348">
            <v>760.5</v>
          </cell>
          <cell r="AG348">
            <v>877.5</v>
          </cell>
          <cell r="AH348">
            <v>927</v>
          </cell>
          <cell r="AI348">
            <v>1089</v>
          </cell>
          <cell r="AJ348">
            <v>1012.5</v>
          </cell>
          <cell r="AK348">
            <v>859.5</v>
          </cell>
          <cell r="AL348">
            <v>554.5</v>
          </cell>
          <cell r="AM348">
            <v>819</v>
          </cell>
          <cell r="AN348">
            <v>787.5</v>
          </cell>
          <cell r="AO348">
            <v>765</v>
          </cell>
          <cell r="AP348">
            <v>612</v>
          </cell>
          <cell r="AQ348">
            <v>594</v>
          </cell>
          <cell r="AR348">
            <v>630</v>
          </cell>
          <cell r="AS348">
            <v>481.5</v>
          </cell>
          <cell r="AT348">
            <v>756</v>
          </cell>
          <cell r="AU348">
            <v>697.5</v>
          </cell>
          <cell r="AV348">
            <v>648</v>
          </cell>
          <cell r="AW348">
            <v>648</v>
          </cell>
          <cell r="AX348">
            <v>775.5</v>
          </cell>
          <cell r="AY348">
            <v>513</v>
          </cell>
          <cell r="AZ348">
            <v>990</v>
          </cell>
          <cell r="BA348">
            <v>769.5</v>
          </cell>
          <cell r="BB348">
            <v>792</v>
          </cell>
          <cell r="BC348">
            <v>823.5</v>
          </cell>
          <cell r="BD348">
            <v>724.5</v>
          </cell>
          <cell r="BE348">
            <v>697.5</v>
          </cell>
          <cell r="BF348">
            <v>801</v>
          </cell>
          <cell r="BG348">
            <v>607.5</v>
          </cell>
          <cell r="BH348">
            <v>342</v>
          </cell>
          <cell r="BI348">
            <v>553.5</v>
          </cell>
          <cell r="BJ348">
            <v>486</v>
          </cell>
          <cell r="BK348">
            <v>846</v>
          </cell>
          <cell r="BL348">
            <v>607.5</v>
          </cell>
          <cell r="BM348">
            <v>706.5</v>
          </cell>
          <cell r="BN348">
            <v>715.5</v>
          </cell>
          <cell r="BO348">
            <v>549</v>
          </cell>
          <cell r="BP348">
            <v>571.5</v>
          </cell>
          <cell r="BQ348">
            <v>558</v>
          </cell>
          <cell r="BR348">
            <v>737</v>
          </cell>
          <cell r="BS348">
            <v>676</v>
          </cell>
          <cell r="BT348">
            <v>580.5</v>
          </cell>
          <cell r="BU348">
            <v>688.5</v>
          </cell>
          <cell r="BV348">
            <v>576</v>
          </cell>
          <cell r="BW348">
            <v>711</v>
          </cell>
          <cell r="BX348">
            <v>625.5</v>
          </cell>
          <cell r="BY348">
            <v>796.5</v>
          </cell>
          <cell r="BZ348">
            <v>751.5</v>
          </cell>
          <cell r="CA348">
            <v>562.5</v>
          </cell>
          <cell r="CB348">
            <v>639</v>
          </cell>
          <cell r="CC348">
            <v>711</v>
          </cell>
          <cell r="CD348">
            <v>769.5</v>
          </cell>
          <cell r="CE348">
            <v>877.5</v>
          </cell>
          <cell r="CF348">
            <v>571.5</v>
          </cell>
          <cell r="CG348">
            <v>625.5</v>
          </cell>
          <cell r="CH348">
            <v>657</v>
          </cell>
          <cell r="CI348">
            <v>954</v>
          </cell>
          <cell r="CJ348">
            <v>1017</v>
          </cell>
          <cell r="CK348">
            <v>562.5</v>
          </cell>
          <cell r="CL348">
            <v>405</v>
          </cell>
          <cell r="CM348">
            <v>540</v>
          </cell>
          <cell r="CN348">
            <v>805.5</v>
          </cell>
          <cell r="CO348">
            <v>778.5</v>
          </cell>
          <cell r="CP348">
            <v>886.5</v>
          </cell>
          <cell r="CQ348">
            <v>200.47</v>
          </cell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K348"/>
          <cell r="DL348"/>
          <cell r="DM348"/>
          <cell r="DN348"/>
          <cell r="DO348"/>
          <cell r="DP348"/>
          <cell r="DQ348"/>
          <cell r="DR348"/>
          <cell r="DS348"/>
          <cell r="DT348"/>
          <cell r="DU348"/>
          <cell r="DV348"/>
          <cell r="DW348"/>
          <cell r="DX348"/>
          <cell r="DY348"/>
          <cell r="DZ348"/>
          <cell r="EA348"/>
          <cell r="EB348"/>
          <cell r="EC348"/>
          <cell r="ED348"/>
          <cell r="EE348"/>
          <cell r="EF348"/>
          <cell r="EG348"/>
          <cell r="EH348"/>
          <cell r="EI348"/>
          <cell r="EJ348" t="str">
            <v>SIN USO</v>
          </cell>
          <cell r="EK348" t="str">
            <v>B</v>
          </cell>
          <cell r="EL348">
            <v>540</v>
          </cell>
          <cell r="EM348">
            <v>0</v>
          </cell>
          <cell r="EN348">
            <v>0</v>
          </cell>
          <cell r="EO348">
            <v>164.5812878992846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</row>
        <row r="349">
          <cell r="F349">
            <v>107204</v>
          </cell>
          <cell r="G349" t="str">
            <v>RELLENO PIE MARACUYÁ BALDE 4,5 Kg</v>
          </cell>
          <cell r="H349">
            <v>63</v>
          </cell>
          <cell r="I349"/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>
            <v>31.5</v>
          </cell>
          <cell r="AC349">
            <v>90</v>
          </cell>
          <cell r="AD349">
            <v>171</v>
          </cell>
          <cell r="AE349">
            <v>409.5</v>
          </cell>
          <cell r="AF349">
            <v>265.5</v>
          </cell>
          <cell r="AG349">
            <v>351</v>
          </cell>
          <cell r="AH349">
            <v>400.5</v>
          </cell>
          <cell r="AI349">
            <v>490.5</v>
          </cell>
          <cell r="AJ349">
            <v>436.5</v>
          </cell>
          <cell r="AK349">
            <v>486</v>
          </cell>
          <cell r="AL349">
            <v>412.5</v>
          </cell>
          <cell r="AM349">
            <v>571.5</v>
          </cell>
          <cell r="AN349">
            <v>441</v>
          </cell>
          <cell r="AO349">
            <v>423</v>
          </cell>
          <cell r="AP349">
            <v>517.5</v>
          </cell>
          <cell r="AQ349">
            <v>454.5</v>
          </cell>
          <cell r="AR349">
            <v>418.5</v>
          </cell>
          <cell r="AS349">
            <v>126</v>
          </cell>
          <cell r="AT349">
            <v>459</v>
          </cell>
          <cell r="AU349">
            <v>380</v>
          </cell>
          <cell r="AV349">
            <v>355.5</v>
          </cell>
          <cell r="AW349">
            <v>301.5</v>
          </cell>
          <cell r="AX349">
            <v>342</v>
          </cell>
          <cell r="AY349">
            <v>351</v>
          </cell>
          <cell r="AZ349">
            <v>346.5</v>
          </cell>
          <cell r="BA349">
            <v>409.5</v>
          </cell>
          <cell r="BB349">
            <v>387</v>
          </cell>
          <cell r="BC349">
            <v>409.5</v>
          </cell>
          <cell r="BD349">
            <v>409.5</v>
          </cell>
          <cell r="BE349">
            <v>409.5</v>
          </cell>
          <cell r="BF349">
            <v>355.5</v>
          </cell>
          <cell r="BG349">
            <v>270</v>
          </cell>
          <cell r="BH349">
            <v>198</v>
          </cell>
          <cell r="BI349">
            <v>382.5</v>
          </cell>
          <cell r="BJ349">
            <v>286</v>
          </cell>
          <cell r="BK349">
            <v>387.5</v>
          </cell>
          <cell r="BL349">
            <v>369</v>
          </cell>
          <cell r="BM349">
            <v>306</v>
          </cell>
          <cell r="BN349">
            <v>342</v>
          </cell>
          <cell r="BO349">
            <v>328.5</v>
          </cell>
          <cell r="BP349">
            <v>333</v>
          </cell>
          <cell r="BQ349">
            <v>283.5</v>
          </cell>
          <cell r="BR349">
            <v>432</v>
          </cell>
          <cell r="BS349">
            <v>310.5</v>
          </cell>
          <cell r="BT349">
            <v>333</v>
          </cell>
          <cell r="BU349">
            <v>306</v>
          </cell>
          <cell r="BV349">
            <v>324</v>
          </cell>
          <cell r="BW349">
            <v>328.5</v>
          </cell>
          <cell r="BX349">
            <v>301.5</v>
          </cell>
          <cell r="BY349">
            <v>216</v>
          </cell>
          <cell r="BZ349">
            <v>4.5</v>
          </cell>
          <cell r="CA349">
            <v>49.5</v>
          </cell>
          <cell r="CB349">
            <v>40.5</v>
          </cell>
          <cell r="CC349">
            <v>49.5</v>
          </cell>
          <cell r="CD349">
            <v>58.5</v>
          </cell>
          <cell r="CE349">
            <v>49.5</v>
          </cell>
          <cell r="CF349">
            <v>36</v>
          </cell>
          <cell r="CG349">
            <v>49.5</v>
          </cell>
          <cell r="CH349">
            <v>112.5</v>
          </cell>
          <cell r="CI349">
            <v>306</v>
          </cell>
          <cell r="CJ349">
            <v>288</v>
          </cell>
          <cell r="CK349">
            <v>256.5</v>
          </cell>
          <cell r="CL349">
            <v>229.5</v>
          </cell>
          <cell r="CM349">
            <v>243</v>
          </cell>
          <cell r="CN349">
            <v>297</v>
          </cell>
          <cell r="CO349">
            <v>346.5</v>
          </cell>
          <cell r="CP349">
            <v>324</v>
          </cell>
          <cell r="CQ349">
            <v>270</v>
          </cell>
          <cell r="CR349">
            <v>283.5</v>
          </cell>
          <cell r="CS349">
            <v>49.5</v>
          </cell>
          <cell r="CT349">
            <v>256.5</v>
          </cell>
          <cell r="CU349">
            <v>207</v>
          </cell>
          <cell r="CV349">
            <v>175.5</v>
          </cell>
          <cell r="CW349">
            <v>162</v>
          </cell>
          <cell r="CX349">
            <v>162</v>
          </cell>
          <cell r="CY349">
            <v>162</v>
          </cell>
          <cell r="CZ349">
            <v>148.5</v>
          </cell>
          <cell r="DA349">
            <v>135</v>
          </cell>
          <cell r="DB349">
            <v>144</v>
          </cell>
          <cell r="DC349">
            <v>175.5</v>
          </cell>
          <cell r="DD349">
            <v>153</v>
          </cell>
          <cell r="DE349">
            <v>108</v>
          </cell>
          <cell r="DF349">
            <v>184.5</v>
          </cell>
          <cell r="DG349">
            <v>153</v>
          </cell>
          <cell r="DH349">
            <v>85.5</v>
          </cell>
          <cell r="DI349">
            <v>45</v>
          </cell>
          <cell r="DJ349">
            <v>139.5</v>
          </cell>
          <cell r="DK349">
            <v>130.5</v>
          </cell>
          <cell r="DL349">
            <v>135</v>
          </cell>
          <cell r="DM349">
            <v>130.5</v>
          </cell>
          <cell r="DN349">
            <v>117</v>
          </cell>
          <cell r="DO349">
            <v>112.5</v>
          </cell>
          <cell r="DP349">
            <v>126</v>
          </cell>
          <cell r="DQ349">
            <v>135</v>
          </cell>
          <cell r="DR349">
            <v>135</v>
          </cell>
          <cell r="DS349">
            <v>180</v>
          </cell>
          <cell r="DT349">
            <v>117</v>
          </cell>
          <cell r="DU349">
            <v>148.5</v>
          </cell>
          <cell r="DV349">
            <v>130.5</v>
          </cell>
          <cell r="DW349">
            <v>112.5</v>
          </cell>
          <cell r="DX349">
            <v>108</v>
          </cell>
          <cell r="DY349">
            <v>126</v>
          </cell>
          <cell r="DZ349">
            <v>112.5</v>
          </cell>
          <cell r="EA349">
            <v>85.5</v>
          </cell>
          <cell r="EB349">
            <v>117</v>
          </cell>
          <cell r="EC349">
            <v>90</v>
          </cell>
          <cell r="ED349">
            <v>121.5</v>
          </cell>
          <cell r="EE349">
            <v>135</v>
          </cell>
          <cell r="EF349">
            <v>121.5</v>
          </cell>
          <cell r="EG349">
            <v>103.5</v>
          </cell>
          <cell r="EH349">
            <v>108</v>
          </cell>
          <cell r="EI349">
            <v>67.5</v>
          </cell>
          <cell r="EJ349" t="str">
            <v>ACTIVO</v>
          </cell>
          <cell r="EK349" t="str">
            <v>B</v>
          </cell>
          <cell r="EL349">
            <v>540</v>
          </cell>
          <cell r="EM349">
            <v>120.6</v>
          </cell>
          <cell r="EN349">
            <v>20.099999999999998</v>
          </cell>
          <cell r="EO349">
            <v>112.47609728332097</v>
          </cell>
          <cell r="EP349">
            <v>297</v>
          </cell>
          <cell r="EQ349">
            <v>981469.17</v>
          </cell>
          <cell r="ER349">
            <v>2.4626865671641793</v>
          </cell>
          <cell r="ES349">
            <v>40.199999999999996</v>
          </cell>
        </row>
        <row r="350">
          <cell r="F350">
            <v>107360</v>
          </cell>
          <cell r="G350" t="str">
            <v>RELLENO PIE DE FRAMBUESA</v>
          </cell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>
            <v>14.5</v>
          </cell>
          <cell r="AC350">
            <v>85.5</v>
          </cell>
          <cell r="AD350">
            <v>144</v>
          </cell>
          <cell r="AE350">
            <v>332.5</v>
          </cell>
          <cell r="AF350">
            <v>274</v>
          </cell>
          <cell r="AG350">
            <v>358.5</v>
          </cell>
          <cell r="AH350">
            <v>313</v>
          </cell>
          <cell r="AI350">
            <v>368.5</v>
          </cell>
          <cell r="AJ350">
            <v>333</v>
          </cell>
          <cell r="AK350">
            <v>471</v>
          </cell>
          <cell r="AL350">
            <v>347.5</v>
          </cell>
          <cell r="AM350">
            <v>500.5</v>
          </cell>
          <cell r="AN350">
            <v>407</v>
          </cell>
          <cell r="AO350">
            <v>382.5</v>
          </cell>
          <cell r="AP350">
            <v>398</v>
          </cell>
          <cell r="AQ350">
            <v>383</v>
          </cell>
          <cell r="AR350">
            <v>349</v>
          </cell>
          <cell r="AS350">
            <v>115</v>
          </cell>
          <cell r="AT350">
            <v>85</v>
          </cell>
          <cell r="AU350">
            <v>180</v>
          </cell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>
            <v>355.5</v>
          </cell>
          <cell r="BM350">
            <v>252</v>
          </cell>
          <cell r="BN350">
            <v>229.5</v>
          </cell>
          <cell r="BO350">
            <v>171</v>
          </cell>
          <cell r="BP350">
            <v>193.5</v>
          </cell>
          <cell r="BQ350">
            <v>148.5</v>
          </cell>
          <cell r="BR350">
            <v>220.5</v>
          </cell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K350"/>
          <cell r="DL350"/>
          <cell r="DM350"/>
          <cell r="DN350"/>
          <cell r="DO350"/>
          <cell r="DP350"/>
          <cell r="DQ350"/>
          <cell r="DR350"/>
          <cell r="DS350"/>
          <cell r="DT350"/>
          <cell r="DU350"/>
          <cell r="DV350"/>
          <cell r="DW350"/>
          <cell r="DX350"/>
          <cell r="DY350"/>
          <cell r="DZ350"/>
          <cell r="EA350"/>
          <cell r="EB350"/>
          <cell r="EC350"/>
          <cell r="ED350"/>
          <cell r="EE350"/>
          <cell r="EF350"/>
          <cell r="EG350"/>
          <cell r="EH350"/>
          <cell r="EI350"/>
          <cell r="EJ350" t="str">
            <v>SIN USO</v>
          </cell>
          <cell r="EK350" t="str">
            <v>C</v>
          </cell>
          <cell r="EL350">
            <v>540</v>
          </cell>
          <cell r="EM350">
            <v>0</v>
          </cell>
          <cell r="EN350">
            <v>0</v>
          </cell>
          <cell r="EO350">
            <v>67.770885025524493</v>
          </cell>
          <cell r="EP350">
            <v>0</v>
          </cell>
          <cell r="EQ350">
            <v>0</v>
          </cell>
          <cell r="ER350">
            <v>0</v>
          </cell>
          <cell r="ES350">
            <v>0</v>
          </cell>
        </row>
        <row r="351">
          <cell r="F351">
            <v>107294</v>
          </cell>
          <cell r="G351" t="str">
            <v>DULCE DE RELLENO DIWATTS</v>
          </cell>
          <cell r="H351">
            <v>840</v>
          </cell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>
            <v>852</v>
          </cell>
          <cell r="W351">
            <v>270</v>
          </cell>
          <cell r="X351">
            <v>168</v>
          </cell>
          <cell r="Y351">
            <v>102</v>
          </cell>
          <cell r="Z351"/>
          <cell r="AA351">
            <v>420</v>
          </cell>
          <cell r="AB351">
            <v>426</v>
          </cell>
          <cell r="AC351">
            <v>2509</v>
          </cell>
          <cell r="AD351">
            <v>4230</v>
          </cell>
          <cell r="AE351">
            <v>4470</v>
          </cell>
          <cell r="AF351">
            <v>1164</v>
          </cell>
          <cell r="AG351">
            <v>2470</v>
          </cell>
          <cell r="AH351">
            <v>1512</v>
          </cell>
          <cell r="AI351">
            <v>1650</v>
          </cell>
          <cell r="AJ351">
            <v>3684</v>
          </cell>
          <cell r="AK351">
            <v>2508</v>
          </cell>
          <cell r="AL351">
            <v>978</v>
          </cell>
          <cell r="AM351">
            <v>1566</v>
          </cell>
          <cell r="AN351">
            <v>1386</v>
          </cell>
          <cell r="AO351">
            <v>1356</v>
          </cell>
          <cell r="AP351">
            <v>1668</v>
          </cell>
          <cell r="AQ351">
            <v>1888</v>
          </cell>
          <cell r="AR351">
            <v>1944</v>
          </cell>
          <cell r="AS351">
            <v>210</v>
          </cell>
          <cell r="AT351">
            <v>1596</v>
          </cell>
          <cell r="AU351">
            <v>1698</v>
          </cell>
          <cell r="AV351">
            <v>1038</v>
          </cell>
          <cell r="AW351">
            <v>1266</v>
          </cell>
          <cell r="AX351">
            <v>4152</v>
          </cell>
          <cell r="AY351">
            <v>1548</v>
          </cell>
          <cell r="AZ351">
            <v>1002</v>
          </cell>
          <cell r="BA351">
            <v>3636</v>
          </cell>
          <cell r="BB351">
            <v>822</v>
          </cell>
          <cell r="BC351">
            <v>1242</v>
          </cell>
          <cell r="BD351">
            <v>2382</v>
          </cell>
          <cell r="BE351">
            <v>3480</v>
          </cell>
          <cell r="BF351">
            <v>1147</v>
          </cell>
          <cell r="BG351">
            <v>780</v>
          </cell>
          <cell r="BH351">
            <v>486</v>
          </cell>
          <cell r="BI351">
            <v>1002</v>
          </cell>
          <cell r="BJ351">
            <v>2976</v>
          </cell>
          <cell r="BK351">
            <v>1404</v>
          </cell>
          <cell r="BL351">
            <v>2472</v>
          </cell>
          <cell r="BM351">
            <v>1878</v>
          </cell>
          <cell r="BN351">
            <v>1170</v>
          </cell>
          <cell r="BO351">
            <v>3654</v>
          </cell>
          <cell r="BP351">
            <v>900</v>
          </cell>
          <cell r="BQ351">
            <v>3276</v>
          </cell>
          <cell r="BR351">
            <v>2718</v>
          </cell>
          <cell r="BS351">
            <v>3948</v>
          </cell>
          <cell r="BT351">
            <v>1866</v>
          </cell>
          <cell r="BU351">
            <v>2154</v>
          </cell>
          <cell r="BV351">
            <v>846</v>
          </cell>
          <cell r="BW351">
            <v>2624</v>
          </cell>
          <cell r="BX351">
            <v>2134</v>
          </cell>
          <cell r="BY351">
            <v>2082</v>
          </cell>
          <cell r="BZ351">
            <v>2004</v>
          </cell>
          <cell r="CA351">
            <v>2034</v>
          </cell>
          <cell r="CB351">
            <v>2136</v>
          </cell>
          <cell r="CC351">
            <v>2682</v>
          </cell>
          <cell r="CD351">
            <v>2118</v>
          </cell>
          <cell r="CE351">
            <v>2658</v>
          </cell>
          <cell r="CF351">
            <v>2376</v>
          </cell>
          <cell r="CG351">
            <v>1218</v>
          </cell>
          <cell r="CH351">
            <v>2004</v>
          </cell>
          <cell r="CI351">
            <v>2742</v>
          </cell>
          <cell r="CJ351">
            <v>2352</v>
          </cell>
          <cell r="CK351">
            <v>1908</v>
          </cell>
          <cell r="CL351">
            <v>1476</v>
          </cell>
          <cell r="CM351">
            <v>192</v>
          </cell>
          <cell r="CN351">
            <v>2646</v>
          </cell>
          <cell r="CO351">
            <v>2298</v>
          </cell>
          <cell r="CP351">
            <v>3774</v>
          </cell>
          <cell r="CQ351">
            <v>1296</v>
          </cell>
          <cell r="CR351">
            <v>3414</v>
          </cell>
          <cell r="CS351">
            <v>1344</v>
          </cell>
          <cell r="CT351">
            <v>1752</v>
          </cell>
          <cell r="CU351">
            <v>2214</v>
          </cell>
          <cell r="CV351">
            <v>1284</v>
          </cell>
          <cell r="CW351">
            <v>3505</v>
          </cell>
          <cell r="CX351">
            <v>2094</v>
          </cell>
          <cell r="CY351">
            <v>1146</v>
          </cell>
          <cell r="CZ351">
            <v>1536</v>
          </cell>
          <cell r="DA351">
            <v>2154</v>
          </cell>
          <cell r="DB351">
            <v>8070</v>
          </cell>
          <cell r="DC351">
            <v>1728</v>
          </cell>
          <cell r="DD351">
            <v>1110</v>
          </cell>
          <cell r="DE351">
            <v>1296</v>
          </cell>
          <cell r="DF351">
            <v>2094</v>
          </cell>
          <cell r="DG351">
            <v>390</v>
          </cell>
          <cell r="DH351">
            <v>1116</v>
          </cell>
          <cell r="DI351">
            <v>114</v>
          </cell>
          <cell r="DJ351">
            <v>1458</v>
          </cell>
          <cell r="DK351">
            <v>1986</v>
          </cell>
          <cell r="DL351">
            <v>2550</v>
          </cell>
          <cell r="DM351">
            <v>1680</v>
          </cell>
          <cell r="DN351">
            <v>2028</v>
          </cell>
          <cell r="DO351">
            <v>2406</v>
          </cell>
          <cell r="DP351">
            <v>1148</v>
          </cell>
          <cell r="DQ351">
            <v>1470</v>
          </cell>
          <cell r="DR351">
            <v>2592</v>
          </cell>
          <cell r="DS351">
            <v>1998</v>
          </cell>
          <cell r="DT351">
            <v>2376</v>
          </cell>
          <cell r="DU351">
            <v>1674</v>
          </cell>
          <cell r="DV351">
            <v>1428</v>
          </cell>
          <cell r="DW351">
            <v>2346</v>
          </cell>
          <cell r="DX351">
            <v>3744</v>
          </cell>
          <cell r="DY351">
            <v>4656</v>
          </cell>
          <cell r="DZ351">
            <v>1772</v>
          </cell>
          <cell r="EA351">
            <v>1476</v>
          </cell>
          <cell r="EB351">
            <v>3600</v>
          </cell>
          <cell r="EC351">
            <v>3288</v>
          </cell>
          <cell r="ED351">
            <v>1776</v>
          </cell>
          <cell r="EE351">
            <v>2556</v>
          </cell>
          <cell r="EF351">
            <v>2658</v>
          </cell>
          <cell r="EG351">
            <v>2622</v>
          </cell>
          <cell r="EH351">
            <v>2322</v>
          </cell>
          <cell r="EI351">
            <v>1482</v>
          </cell>
          <cell r="EJ351" t="str">
            <v>ACTIVO</v>
          </cell>
          <cell r="EK351" t="str">
            <v>A</v>
          </cell>
          <cell r="EL351">
            <v>1200</v>
          </cell>
          <cell r="EM351">
            <v>2216.08</v>
          </cell>
          <cell r="EN351">
            <v>369.34666666666664</v>
          </cell>
          <cell r="EO351">
            <v>1197.0374909404388</v>
          </cell>
          <cell r="EP351">
            <v>1866</v>
          </cell>
          <cell r="EQ351">
            <v>3097560</v>
          </cell>
          <cell r="ER351">
            <v>0.84202736363308184</v>
          </cell>
          <cell r="ES351">
            <v>1108.04</v>
          </cell>
        </row>
        <row r="352">
          <cell r="F352">
            <v>107129</v>
          </cell>
          <cell r="G352" t="str">
            <v>MERM. MEL FRAMBUESA QUINTA BALDE 5 Kg</v>
          </cell>
          <cell r="H352">
            <v>2020</v>
          </cell>
          <cell r="I352">
            <v>1650</v>
          </cell>
          <cell r="J352">
            <v>1450</v>
          </cell>
          <cell r="K352">
            <v>1400</v>
          </cell>
          <cell r="L352">
            <v>1630</v>
          </cell>
          <cell r="M352">
            <v>2350</v>
          </cell>
          <cell r="N352">
            <v>1700</v>
          </cell>
          <cell r="O352">
            <v>1210</v>
          </cell>
          <cell r="P352">
            <v>1490</v>
          </cell>
          <cell r="Q352">
            <v>1810</v>
          </cell>
          <cell r="R352">
            <v>2210</v>
          </cell>
          <cell r="S352">
            <v>1425</v>
          </cell>
          <cell r="T352">
            <v>1330</v>
          </cell>
          <cell r="U352">
            <v>1705</v>
          </cell>
          <cell r="V352">
            <v>2005</v>
          </cell>
          <cell r="W352">
            <v>1965</v>
          </cell>
          <cell r="X352">
            <v>2470</v>
          </cell>
          <cell r="Y352">
            <v>1930</v>
          </cell>
          <cell r="Z352">
            <v>2580</v>
          </cell>
          <cell r="AA352">
            <v>1590</v>
          </cell>
          <cell r="AB352">
            <v>2080</v>
          </cell>
          <cell r="AC352">
            <v>1600</v>
          </cell>
          <cell r="AD352">
            <v>2630</v>
          </cell>
          <cell r="AE352">
            <v>2160</v>
          </cell>
          <cell r="AF352">
            <v>1660</v>
          </cell>
          <cell r="AG352">
            <v>2060</v>
          </cell>
          <cell r="AH352">
            <v>1530</v>
          </cell>
          <cell r="AI352">
            <v>1660</v>
          </cell>
          <cell r="AJ352">
            <v>2175</v>
          </cell>
          <cell r="AK352">
            <v>2145</v>
          </cell>
          <cell r="AL352">
            <v>1806.6</v>
          </cell>
          <cell r="AM352">
            <v>1930</v>
          </cell>
          <cell r="AN352">
            <v>1530</v>
          </cell>
          <cell r="AO352">
            <v>1790</v>
          </cell>
          <cell r="AP352">
            <v>1675</v>
          </cell>
          <cell r="AQ352">
            <v>1815</v>
          </cell>
          <cell r="AR352">
            <v>1600</v>
          </cell>
          <cell r="AS352">
            <v>875</v>
          </cell>
          <cell r="AT352">
            <v>1405</v>
          </cell>
          <cell r="AU352">
            <v>1641</v>
          </cell>
          <cell r="AV352">
            <v>1390</v>
          </cell>
          <cell r="AW352">
            <v>1480</v>
          </cell>
          <cell r="AX352">
            <v>1725</v>
          </cell>
          <cell r="AY352">
            <v>1515</v>
          </cell>
          <cell r="AZ352">
            <v>1495</v>
          </cell>
          <cell r="BA352">
            <v>1505</v>
          </cell>
          <cell r="BB352">
            <v>1305</v>
          </cell>
          <cell r="BC352">
            <v>1600</v>
          </cell>
          <cell r="BD352">
            <v>1320</v>
          </cell>
          <cell r="BE352">
            <v>1445</v>
          </cell>
          <cell r="BF352">
            <v>2010</v>
          </cell>
          <cell r="BG352">
            <v>1765</v>
          </cell>
          <cell r="BH352">
            <v>795</v>
          </cell>
          <cell r="BI352">
            <v>1525</v>
          </cell>
          <cell r="BJ352">
            <v>1225</v>
          </cell>
          <cell r="BK352">
            <v>1555</v>
          </cell>
          <cell r="BL352">
            <v>1430</v>
          </cell>
          <cell r="BM352">
            <v>1595</v>
          </cell>
          <cell r="BN352">
            <v>1690</v>
          </cell>
          <cell r="BO352">
            <v>1854.5</v>
          </cell>
          <cell r="BP352">
            <v>1480</v>
          </cell>
          <cell r="BQ352">
            <v>1590</v>
          </cell>
          <cell r="BR352">
            <v>1560</v>
          </cell>
          <cell r="BS352">
            <v>1010</v>
          </cell>
          <cell r="BT352">
            <v>1200</v>
          </cell>
          <cell r="BU352">
            <v>1730</v>
          </cell>
          <cell r="BV352">
            <v>1165</v>
          </cell>
          <cell r="BW352">
            <v>1620</v>
          </cell>
          <cell r="BX352">
            <v>1665</v>
          </cell>
          <cell r="BY352">
            <v>2110</v>
          </cell>
          <cell r="BZ352">
            <v>2465</v>
          </cell>
          <cell r="CA352">
            <v>1740</v>
          </cell>
          <cell r="CB352">
            <v>1075</v>
          </cell>
          <cell r="CC352">
            <v>1290</v>
          </cell>
          <cell r="CD352">
            <v>1340</v>
          </cell>
          <cell r="CE352">
            <v>2080</v>
          </cell>
          <cell r="CF352">
            <v>1850</v>
          </cell>
          <cell r="CG352">
            <v>1305</v>
          </cell>
          <cell r="CH352">
            <v>1910</v>
          </cell>
          <cell r="CI352">
            <v>1310</v>
          </cell>
          <cell r="CJ352">
            <v>1275</v>
          </cell>
          <cell r="CK352">
            <v>1395</v>
          </cell>
          <cell r="CL352">
            <v>1430</v>
          </cell>
          <cell r="CM352">
            <v>1810</v>
          </cell>
          <cell r="CN352">
            <v>1685</v>
          </cell>
          <cell r="CO352">
            <v>1535</v>
          </cell>
          <cell r="CP352">
            <v>1380</v>
          </cell>
          <cell r="CQ352">
            <v>2050</v>
          </cell>
          <cell r="CR352">
            <v>1685</v>
          </cell>
          <cell r="CS352">
            <v>1095</v>
          </cell>
          <cell r="CT352">
            <v>1880</v>
          </cell>
          <cell r="CU352">
            <v>2005</v>
          </cell>
          <cell r="CV352">
            <v>1695</v>
          </cell>
          <cell r="CW352">
            <v>1720</v>
          </cell>
          <cell r="CX352">
            <v>1765</v>
          </cell>
          <cell r="CY352">
            <v>2040</v>
          </cell>
          <cell r="CZ352">
            <v>1740</v>
          </cell>
          <cell r="DA352">
            <v>1305</v>
          </cell>
          <cell r="DB352">
            <v>2730</v>
          </cell>
          <cell r="DC352">
            <v>1330</v>
          </cell>
          <cell r="DD352">
            <v>1480</v>
          </cell>
          <cell r="DE352">
            <v>1030</v>
          </cell>
          <cell r="DF352">
            <v>2865</v>
          </cell>
          <cell r="DG352">
            <v>2325</v>
          </cell>
          <cell r="DH352">
            <v>1080</v>
          </cell>
          <cell r="DI352">
            <v>330</v>
          </cell>
          <cell r="DJ352">
            <v>2150</v>
          </cell>
          <cell r="DK352">
            <v>2535</v>
          </cell>
          <cell r="DL352">
            <v>1620</v>
          </cell>
          <cell r="DM352">
            <v>1440</v>
          </cell>
          <cell r="DN352">
            <v>1175</v>
          </cell>
          <cell r="DO352">
            <v>1700</v>
          </cell>
          <cell r="DP352">
            <v>1600</v>
          </cell>
          <cell r="DQ352">
            <v>1050</v>
          </cell>
          <cell r="DR352">
            <v>2010</v>
          </cell>
          <cell r="DS352">
            <v>1442</v>
          </cell>
          <cell r="DT352">
            <v>1935</v>
          </cell>
          <cell r="DU352">
            <v>1485</v>
          </cell>
          <cell r="DV352">
            <v>1585</v>
          </cell>
          <cell r="DW352">
            <v>1960</v>
          </cell>
          <cell r="DX352">
            <v>1895</v>
          </cell>
          <cell r="DY352">
            <v>3155</v>
          </cell>
          <cell r="DZ352">
            <v>2020</v>
          </cell>
          <cell r="EA352">
            <v>2005</v>
          </cell>
          <cell r="EB352">
            <v>2135</v>
          </cell>
          <cell r="EC352">
            <v>1260</v>
          </cell>
          <cell r="ED352">
            <v>1950</v>
          </cell>
          <cell r="EE352">
            <v>1665</v>
          </cell>
          <cell r="EF352">
            <v>1690</v>
          </cell>
          <cell r="EG352">
            <v>1940</v>
          </cell>
          <cell r="EH352">
            <v>1730</v>
          </cell>
          <cell r="EI352">
            <v>1340</v>
          </cell>
          <cell r="EJ352" t="str">
            <v>ACTIVO</v>
          </cell>
          <cell r="EK352" t="str">
            <v>A</v>
          </cell>
          <cell r="EL352">
            <v>600</v>
          </cell>
          <cell r="EM352">
            <v>1749.28</v>
          </cell>
          <cell r="EN352">
            <v>291.54666666666668</v>
          </cell>
          <cell r="EO352">
            <v>417.76004520550043</v>
          </cell>
          <cell r="EP352">
            <v>1455</v>
          </cell>
          <cell r="EQ352">
            <v>6280245.5999999996</v>
          </cell>
          <cell r="ER352">
            <v>0.83177078569468588</v>
          </cell>
          <cell r="ES352">
            <v>583.09333333333336</v>
          </cell>
        </row>
        <row r="353">
          <cell r="F353">
            <v>403407</v>
          </cell>
          <cell r="G353" t="str">
            <v>MERM. LAMARKA FRAMBUESA BALDE 5 Kg</v>
          </cell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>
            <v>235</v>
          </cell>
          <cell r="AG353">
            <v>200</v>
          </cell>
          <cell r="AH353">
            <v>195</v>
          </cell>
          <cell r="AI353">
            <v>220</v>
          </cell>
          <cell r="AJ353">
            <v>205</v>
          </cell>
          <cell r="AK353">
            <v>195</v>
          </cell>
          <cell r="AL353">
            <v>607</v>
          </cell>
          <cell r="AM353">
            <v>50</v>
          </cell>
          <cell r="AN353">
            <v>175</v>
          </cell>
          <cell r="AO353">
            <v>360</v>
          </cell>
          <cell r="AP353">
            <v>175</v>
          </cell>
          <cell r="AQ353">
            <v>170</v>
          </cell>
          <cell r="AR353">
            <v>165</v>
          </cell>
          <cell r="AS353"/>
          <cell r="AT353">
            <v>150</v>
          </cell>
          <cell r="AU353">
            <v>160</v>
          </cell>
          <cell r="AV353">
            <v>145</v>
          </cell>
          <cell r="AW353">
            <v>100</v>
          </cell>
          <cell r="AX353"/>
          <cell r="AY353"/>
          <cell r="AZ353"/>
          <cell r="BA353">
            <v>600</v>
          </cell>
          <cell r="BB353"/>
          <cell r="BC353">
            <v>1885</v>
          </cell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K353"/>
          <cell r="DL353"/>
          <cell r="DM353"/>
          <cell r="DN353"/>
          <cell r="DO353"/>
          <cell r="DP353"/>
          <cell r="DQ353"/>
          <cell r="DR353"/>
          <cell r="DS353"/>
          <cell r="DT353"/>
          <cell r="DU353"/>
          <cell r="DV353"/>
          <cell r="DW353"/>
          <cell r="DX353"/>
          <cell r="DY353"/>
          <cell r="DZ353"/>
          <cell r="EA353"/>
          <cell r="EB353"/>
          <cell r="EC353"/>
          <cell r="ED353"/>
          <cell r="EE353"/>
          <cell r="EF353"/>
          <cell r="EG353"/>
          <cell r="EH353"/>
          <cell r="EI353"/>
          <cell r="EJ353" t="str">
            <v>SIN USO</v>
          </cell>
          <cell r="EK353" t="str">
            <v/>
          </cell>
          <cell r="EL353">
            <v>600</v>
          </cell>
          <cell r="EM353">
            <v>0</v>
          </cell>
          <cell r="EN353">
            <v>0</v>
          </cell>
          <cell r="EO353">
            <v>0</v>
          </cell>
          <cell r="EP353">
            <v>0</v>
          </cell>
          <cell r="EQ353">
            <v>0</v>
          </cell>
          <cell r="ER353">
            <v>0</v>
          </cell>
          <cell r="ES353">
            <v>0</v>
          </cell>
        </row>
        <row r="354">
          <cell r="F354">
            <v>107193</v>
          </cell>
          <cell r="G354" t="str">
            <v>MERMELADA DE FRAMBUESA EBEL</v>
          </cell>
          <cell r="H354">
            <v>790</v>
          </cell>
          <cell r="I354">
            <v>1305</v>
          </cell>
          <cell r="J354">
            <v>1150</v>
          </cell>
          <cell r="K354">
            <v>975</v>
          </cell>
          <cell r="L354">
            <v>1115</v>
          </cell>
          <cell r="M354">
            <v>2050</v>
          </cell>
          <cell r="N354">
            <v>930</v>
          </cell>
          <cell r="O354">
            <v>775</v>
          </cell>
          <cell r="P354">
            <v>1080</v>
          </cell>
          <cell r="Q354">
            <v>1040</v>
          </cell>
          <cell r="R354">
            <v>1050</v>
          </cell>
          <cell r="S354">
            <v>670</v>
          </cell>
          <cell r="T354">
            <v>970</v>
          </cell>
          <cell r="U354">
            <v>1295</v>
          </cell>
          <cell r="V354">
            <v>875</v>
          </cell>
          <cell r="W354">
            <v>755</v>
          </cell>
          <cell r="X354">
            <v>1210</v>
          </cell>
          <cell r="Y354">
            <v>1630</v>
          </cell>
          <cell r="Z354">
            <v>1085</v>
          </cell>
          <cell r="AA354">
            <v>990</v>
          </cell>
          <cell r="AB354">
            <v>1120</v>
          </cell>
          <cell r="AC354">
            <v>1000</v>
          </cell>
          <cell r="AD354">
            <v>1985</v>
          </cell>
          <cell r="AE354">
            <v>1455.5</v>
          </cell>
          <cell r="AF354">
            <v>865</v>
          </cell>
          <cell r="AG354">
            <v>970</v>
          </cell>
          <cell r="AH354">
            <v>930</v>
          </cell>
          <cell r="AI354">
            <v>1135</v>
          </cell>
          <cell r="AJ354">
            <v>1050</v>
          </cell>
          <cell r="AK354">
            <v>1130</v>
          </cell>
          <cell r="AL354">
            <v>1330</v>
          </cell>
          <cell r="AM354">
            <v>935</v>
          </cell>
          <cell r="AN354">
            <v>1070</v>
          </cell>
          <cell r="AO354">
            <v>845</v>
          </cell>
          <cell r="AP354">
            <v>770</v>
          </cell>
          <cell r="AQ354">
            <v>799.5</v>
          </cell>
          <cell r="AR354">
            <v>850</v>
          </cell>
          <cell r="AS354">
            <v>400</v>
          </cell>
          <cell r="AT354">
            <v>675</v>
          </cell>
          <cell r="AU354">
            <v>800.5</v>
          </cell>
          <cell r="AV354">
            <v>665</v>
          </cell>
          <cell r="AW354">
            <v>570</v>
          </cell>
          <cell r="AX354">
            <v>2340</v>
          </cell>
          <cell r="AY354">
            <v>1160</v>
          </cell>
          <cell r="AZ354">
            <v>1110</v>
          </cell>
          <cell r="BA354">
            <v>910</v>
          </cell>
          <cell r="BB354">
            <v>1275</v>
          </cell>
          <cell r="BC354">
            <v>850</v>
          </cell>
          <cell r="BD354">
            <v>710</v>
          </cell>
          <cell r="BE354">
            <v>810</v>
          </cell>
          <cell r="BF354">
            <v>1570</v>
          </cell>
          <cell r="BG354">
            <v>545</v>
          </cell>
          <cell r="BH354">
            <v>230</v>
          </cell>
          <cell r="BI354">
            <v>1140</v>
          </cell>
          <cell r="BJ354">
            <v>920</v>
          </cell>
          <cell r="BK354">
            <v>1200</v>
          </cell>
          <cell r="BL354">
            <v>915</v>
          </cell>
          <cell r="BM354">
            <v>1235</v>
          </cell>
          <cell r="BN354">
            <v>990</v>
          </cell>
          <cell r="BO354">
            <v>935</v>
          </cell>
          <cell r="BP354">
            <v>645</v>
          </cell>
          <cell r="BQ354">
            <v>965</v>
          </cell>
          <cell r="BR354">
            <v>1465</v>
          </cell>
          <cell r="BS354">
            <v>985</v>
          </cell>
          <cell r="BT354">
            <v>945</v>
          </cell>
          <cell r="BU354">
            <v>835</v>
          </cell>
          <cell r="BV354">
            <v>930</v>
          </cell>
          <cell r="BW354">
            <v>1540</v>
          </cell>
          <cell r="BX354">
            <v>635</v>
          </cell>
          <cell r="BY354">
            <v>1110</v>
          </cell>
          <cell r="BZ354">
            <v>1110</v>
          </cell>
          <cell r="CA354">
            <v>650</v>
          </cell>
          <cell r="CB354">
            <v>1530</v>
          </cell>
          <cell r="CC354">
            <v>1220</v>
          </cell>
          <cell r="CD354">
            <v>770</v>
          </cell>
          <cell r="CE354">
            <v>1720</v>
          </cell>
          <cell r="CF354">
            <v>545</v>
          </cell>
          <cell r="CG354">
            <v>630</v>
          </cell>
          <cell r="CH354">
            <v>695</v>
          </cell>
          <cell r="CI354">
            <v>940</v>
          </cell>
          <cell r="CJ354">
            <v>1070</v>
          </cell>
          <cell r="CK354">
            <v>815</v>
          </cell>
          <cell r="CL354">
            <v>805</v>
          </cell>
          <cell r="CM354">
            <v>970</v>
          </cell>
          <cell r="CN354">
            <v>1125</v>
          </cell>
          <cell r="CO354">
            <v>880</v>
          </cell>
          <cell r="CP354">
            <v>1015</v>
          </cell>
          <cell r="CQ354">
            <v>855</v>
          </cell>
          <cell r="CR354">
            <v>1000</v>
          </cell>
          <cell r="CS354">
            <v>580</v>
          </cell>
          <cell r="CT354">
            <v>1155</v>
          </cell>
          <cell r="CU354">
            <v>1215</v>
          </cell>
          <cell r="CV354">
            <v>1005</v>
          </cell>
          <cell r="CW354">
            <v>965</v>
          </cell>
          <cell r="CX354">
            <v>1210</v>
          </cell>
          <cell r="CY354">
            <v>1335</v>
          </cell>
          <cell r="CZ354">
            <v>1105</v>
          </cell>
          <cell r="DA354">
            <v>1520</v>
          </cell>
          <cell r="DB354">
            <v>945</v>
          </cell>
          <cell r="DC354">
            <v>1080</v>
          </cell>
          <cell r="DD354">
            <v>880</v>
          </cell>
          <cell r="DE354">
            <v>635</v>
          </cell>
          <cell r="DF354">
            <v>1165</v>
          </cell>
          <cell r="DG354">
            <v>815</v>
          </cell>
          <cell r="DH354">
            <v>605</v>
          </cell>
          <cell r="DI354">
            <v>190</v>
          </cell>
          <cell r="DJ354">
            <v>1156</v>
          </cell>
          <cell r="DK354">
            <v>1320</v>
          </cell>
          <cell r="DL354">
            <v>1180</v>
          </cell>
          <cell r="DM354">
            <v>700</v>
          </cell>
          <cell r="DN354">
            <v>775</v>
          </cell>
          <cell r="DO354">
            <v>920</v>
          </cell>
          <cell r="DP354">
            <v>885</v>
          </cell>
          <cell r="DQ354">
            <v>765</v>
          </cell>
          <cell r="DR354">
            <v>825</v>
          </cell>
          <cell r="DS354">
            <v>860</v>
          </cell>
          <cell r="DT354">
            <v>755</v>
          </cell>
          <cell r="DU354">
            <v>875</v>
          </cell>
          <cell r="DV354">
            <v>1015</v>
          </cell>
          <cell r="DW354">
            <v>830</v>
          </cell>
          <cell r="DX354">
            <v>895</v>
          </cell>
          <cell r="DY354">
            <v>1480</v>
          </cell>
          <cell r="DZ354">
            <v>2070</v>
          </cell>
          <cell r="EA354">
            <v>1055</v>
          </cell>
          <cell r="EB354">
            <v>1040</v>
          </cell>
          <cell r="EC354">
            <v>830</v>
          </cell>
          <cell r="ED354">
            <v>940</v>
          </cell>
          <cell r="EE354">
            <v>835</v>
          </cell>
          <cell r="EF354">
            <v>790</v>
          </cell>
          <cell r="EG354">
            <v>2040</v>
          </cell>
          <cell r="EH354">
            <v>825</v>
          </cell>
          <cell r="EI354">
            <v>700</v>
          </cell>
          <cell r="EJ354" t="str">
            <v>ACTIVO</v>
          </cell>
          <cell r="EK354" t="str">
            <v>A</v>
          </cell>
          <cell r="EL354">
            <v>600</v>
          </cell>
          <cell r="EM354">
            <v>1001.04</v>
          </cell>
          <cell r="EN354">
            <v>166.84</v>
          </cell>
          <cell r="EO354">
            <v>283.99665516540495</v>
          </cell>
          <cell r="EP354">
            <v>1970</v>
          </cell>
          <cell r="EQ354">
            <v>7559284</v>
          </cell>
          <cell r="ER354">
            <v>1.9679533285383202</v>
          </cell>
          <cell r="ES354">
            <v>333.68</v>
          </cell>
        </row>
        <row r="355">
          <cell r="F355">
            <v>107275</v>
          </cell>
          <cell r="G355" t="str">
            <v>SALSA DE GUINDA BALDE 5 Kg</v>
          </cell>
          <cell r="H355">
            <v>488.5</v>
          </cell>
          <cell r="I355">
            <v>300</v>
          </cell>
          <cell r="J355">
            <v>255</v>
          </cell>
          <cell r="K355">
            <v>305</v>
          </cell>
          <cell r="L355">
            <v>285</v>
          </cell>
          <cell r="M355">
            <v>330</v>
          </cell>
          <cell r="N355">
            <v>485</v>
          </cell>
          <cell r="O355">
            <v>350</v>
          </cell>
          <cell r="P355">
            <v>375</v>
          </cell>
          <cell r="Q355">
            <v>380</v>
          </cell>
          <cell r="R355">
            <v>395</v>
          </cell>
          <cell r="S355">
            <v>125</v>
          </cell>
          <cell r="T355">
            <v>105</v>
          </cell>
          <cell r="U355">
            <v>365</v>
          </cell>
          <cell r="V355">
            <v>450</v>
          </cell>
          <cell r="W355">
            <v>410</v>
          </cell>
          <cell r="X355">
            <v>445</v>
          </cell>
          <cell r="Y355">
            <v>485</v>
          </cell>
          <cell r="Z355">
            <v>1090</v>
          </cell>
          <cell r="AA355">
            <v>495</v>
          </cell>
          <cell r="AB355">
            <v>490</v>
          </cell>
          <cell r="AC355">
            <v>485</v>
          </cell>
          <cell r="AD355">
            <v>540</v>
          </cell>
          <cell r="AE355">
            <v>755</v>
          </cell>
          <cell r="AF355">
            <v>520</v>
          </cell>
          <cell r="AG355">
            <v>570</v>
          </cell>
          <cell r="AH355">
            <v>610</v>
          </cell>
          <cell r="AI355">
            <v>640</v>
          </cell>
          <cell r="AJ355">
            <v>740</v>
          </cell>
          <cell r="AK355">
            <v>635</v>
          </cell>
          <cell r="AL355">
            <v>633.32999999999993</v>
          </cell>
          <cell r="AM355">
            <v>735</v>
          </cell>
          <cell r="AN355">
            <v>640</v>
          </cell>
          <cell r="AO355">
            <v>670</v>
          </cell>
          <cell r="AP355">
            <v>715</v>
          </cell>
          <cell r="AQ355">
            <v>755</v>
          </cell>
          <cell r="AR355">
            <v>705</v>
          </cell>
          <cell r="AS355">
            <v>235</v>
          </cell>
          <cell r="AT355">
            <v>710</v>
          </cell>
          <cell r="AU355">
            <v>747</v>
          </cell>
          <cell r="AV355">
            <v>715</v>
          </cell>
          <cell r="AW355">
            <v>635</v>
          </cell>
          <cell r="AX355">
            <v>835</v>
          </cell>
          <cell r="AY355">
            <v>705</v>
          </cell>
          <cell r="AZ355">
            <v>765</v>
          </cell>
          <cell r="BA355">
            <v>930</v>
          </cell>
          <cell r="BB355">
            <v>685</v>
          </cell>
          <cell r="BC355">
            <v>770</v>
          </cell>
          <cell r="BD355">
            <v>790</v>
          </cell>
          <cell r="BE355">
            <v>835</v>
          </cell>
          <cell r="BF355">
            <v>1140</v>
          </cell>
          <cell r="BG355">
            <v>790</v>
          </cell>
          <cell r="BH355">
            <v>445</v>
          </cell>
          <cell r="BI355">
            <v>775</v>
          </cell>
          <cell r="BJ355">
            <v>615</v>
          </cell>
          <cell r="BK355">
            <v>735</v>
          </cell>
          <cell r="BL355">
            <v>780</v>
          </cell>
          <cell r="BM355">
            <v>800</v>
          </cell>
          <cell r="BN355">
            <v>870</v>
          </cell>
          <cell r="BO355">
            <v>645</v>
          </cell>
          <cell r="BP355">
            <v>770</v>
          </cell>
          <cell r="BQ355">
            <v>690</v>
          </cell>
          <cell r="BR355">
            <v>835</v>
          </cell>
          <cell r="BS355">
            <v>645</v>
          </cell>
          <cell r="BT355">
            <v>820</v>
          </cell>
          <cell r="BU355">
            <v>760</v>
          </cell>
          <cell r="BV355">
            <v>750</v>
          </cell>
          <cell r="BW355">
            <v>720</v>
          </cell>
          <cell r="BX355">
            <v>665</v>
          </cell>
          <cell r="BY355">
            <v>650</v>
          </cell>
          <cell r="BZ355">
            <v>720</v>
          </cell>
          <cell r="CA355">
            <v>655</v>
          </cell>
          <cell r="CB355">
            <v>665</v>
          </cell>
          <cell r="CC355">
            <v>760</v>
          </cell>
          <cell r="CD355">
            <v>690</v>
          </cell>
          <cell r="CE355">
            <v>1115</v>
          </cell>
          <cell r="CF355">
            <v>635</v>
          </cell>
          <cell r="CG355">
            <v>755</v>
          </cell>
          <cell r="CH355">
            <v>715</v>
          </cell>
          <cell r="CI355">
            <v>740</v>
          </cell>
          <cell r="CJ355">
            <v>685</v>
          </cell>
          <cell r="CK355">
            <v>755</v>
          </cell>
          <cell r="CL355">
            <v>750</v>
          </cell>
          <cell r="CM355">
            <v>735</v>
          </cell>
          <cell r="CN355">
            <v>865</v>
          </cell>
          <cell r="CO355">
            <v>725</v>
          </cell>
          <cell r="CP355">
            <v>595</v>
          </cell>
          <cell r="CQ355">
            <v>640</v>
          </cell>
          <cell r="CR355">
            <v>660</v>
          </cell>
          <cell r="CS355">
            <v>125</v>
          </cell>
          <cell r="CT355">
            <v>645</v>
          </cell>
          <cell r="CU355">
            <v>635</v>
          </cell>
          <cell r="CV355">
            <v>615</v>
          </cell>
          <cell r="CW355">
            <v>595</v>
          </cell>
          <cell r="CX355">
            <v>570</v>
          </cell>
          <cell r="CY355">
            <v>605</v>
          </cell>
          <cell r="CZ355">
            <v>570</v>
          </cell>
          <cell r="DA355">
            <v>570</v>
          </cell>
          <cell r="DB355">
            <v>525</v>
          </cell>
          <cell r="DC355">
            <v>600</v>
          </cell>
          <cell r="DD355">
            <v>620</v>
          </cell>
          <cell r="DE355">
            <v>520</v>
          </cell>
          <cell r="DF355">
            <v>750</v>
          </cell>
          <cell r="DG355">
            <v>645</v>
          </cell>
          <cell r="DH355">
            <v>295</v>
          </cell>
          <cell r="DI355">
            <v>190</v>
          </cell>
          <cell r="DJ355">
            <v>580</v>
          </cell>
          <cell r="DK355">
            <v>540</v>
          </cell>
          <cell r="DL355">
            <v>485</v>
          </cell>
          <cell r="DM355">
            <v>545</v>
          </cell>
          <cell r="DN355">
            <v>595</v>
          </cell>
          <cell r="DO355">
            <v>675</v>
          </cell>
          <cell r="DP355">
            <v>540</v>
          </cell>
          <cell r="DQ355">
            <v>615</v>
          </cell>
          <cell r="DR355">
            <v>550</v>
          </cell>
          <cell r="DS355">
            <v>595</v>
          </cell>
          <cell r="DT355">
            <v>575</v>
          </cell>
          <cell r="DU355">
            <v>760</v>
          </cell>
          <cell r="DV355">
            <v>830</v>
          </cell>
          <cell r="DW355">
            <v>745</v>
          </cell>
          <cell r="DX355">
            <v>785</v>
          </cell>
          <cell r="DY355">
            <v>905</v>
          </cell>
          <cell r="DZ355">
            <v>855</v>
          </cell>
          <cell r="EA355">
            <v>590</v>
          </cell>
          <cell r="EB355">
            <v>835</v>
          </cell>
          <cell r="EC355">
            <v>700</v>
          </cell>
          <cell r="ED355">
            <v>740</v>
          </cell>
          <cell r="EE355">
            <v>745</v>
          </cell>
          <cell r="EF355">
            <v>735</v>
          </cell>
          <cell r="EG355">
            <v>1005</v>
          </cell>
          <cell r="EH355">
            <v>820</v>
          </cell>
          <cell r="EI355">
            <v>480</v>
          </cell>
          <cell r="EJ355" t="str">
            <v>ACTIVO</v>
          </cell>
          <cell r="EK355" t="str">
            <v>A</v>
          </cell>
          <cell r="EL355">
            <v>600</v>
          </cell>
          <cell r="EM355">
            <v>668.6</v>
          </cell>
          <cell r="EN355">
            <v>111.43333333333334</v>
          </cell>
          <cell r="EO355">
            <v>141.87156132543723</v>
          </cell>
          <cell r="EP355">
            <v>635</v>
          </cell>
          <cell r="EQ355">
            <v>3508197.2</v>
          </cell>
          <cell r="ER355">
            <v>0.94974573736165113</v>
          </cell>
          <cell r="ES355">
            <v>222.86666666666667</v>
          </cell>
        </row>
        <row r="356">
          <cell r="F356">
            <v>107202</v>
          </cell>
          <cell r="G356" t="str">
            <v>BRILLO PARA CONGELADOS PURATOS</v>
          </cell>
          <cell r="H356">
            <v>13.5</v>
          </cell>
          <cell r="I356"/>
          <cell r="J356"/>
          <cell r="K356">
            <v>139.5</v>
          </cell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>
            <v>22.5</v>
          </cell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K356"/>
          <cell r="DL356"/>
          <cell r="DM356"/>
          <cell r="DN356"/>
          <cell r="DO356"/>
          <cell r="DP356"/>
          <cell r="DQ356"/>
          <cell r="DR356"/>
          <cell r="DS356"/>
          <cell r="DT356"/>
          <cell r="DU356"/>
          <cell r="DV356"/>
          <cell r="DW356"/>
          <cell r="DX356"/>
          <cell r="DY356"/>
          <cell r="DZ356"/>
          <cell r="EA356"/>
          <cell r="EB356"/>
          <cell r="EC356"/>
          <cell r="ED356"/>
          <cell r="EE356"/>
          <cell r="EF356"/>
          <cell r="EG356"/>
          <cell r="EH356"/>
          <cell r="EI356"/>
          <cell r="EJ356" t="str">
            <v>SIN USO</v>
          </cell>
          <cell r="EK356" t="str">
            <v>C</v>
          </cell>
          <cell r="EL356" t="str">
            <v/>
          </cell>
          <cell r="EM356">
            <v>0</v>
          </cell>
          <cell r="EN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</row>
        <row r="357">
          <cell r="F357">
            <v>107113</v>
          </cell>
          <cell r="G357" t="str">
            <v>MERM. MEL GUINDA ÁCIDA QUINTA BALDE 5 Kg</v>
          </cell>
          <cell r="H357">
            <v>500</v>
          </cell>
          <cell r="I357">
            <v>450</v>
          </cell>
          <cell r="J357">
            <v>450</v>
          </cell>
          <cell r="K357">
            <v>435</v>
          </cell>
          <cell r="L357">
            <v>1025</v>
          </cell>
          <cell r="M357">
            <v>185</v>
          </cell>
          <cell r="N357">
            <v>245</v>
          </cell>
          <cell r="O357">
            <v>385</v>
          </cell>
          <cell r="P357">
            <v>440</v>
          </cell>
          <cell r="Q357">
            <v>1015</v>
          </cell>
          <cell r="R357">
            <v>455</v>
          </cell>
          <cell r="S357">
            <v>130</v>
          </cell>
          <cell r="T357">
            <v>90</v>
          </cell>
          <cell r="U357">
            <v>1165</v>
          </cell>
          <cell r="V357">
            <v>1045</v>
          </cell>
          <cell r="W357">
            <v>420</v>
          </cell>
          <cell r="X357">
            <v>455</v>
          </cell>
          <cell r="Y357">
            <v>290</v>
          </cell>
          <cell r="Z357">
            <v>315</v>
          </cell>
          <cell r="AA357">
            <v>460</v>
          </cell>
          <cell r="AB357">
            <v>435</v>
          </cell>
          <cell r="AC357">
            <v>415</v>
          </cell>
          <cell r="AD357">
            <v>505</v>
          </cell>
          <cell r="AE357">
            <v>630</v>
          </cell>
          <cell r="AF357">
            <v>465</v>
          </cell>
          <cell r="AG357">
            <v>500</v>
          </cell>
          <cell r="AH357">
            <v>440</v>
          </cell>
          <cell r="AI357">
            <v>515</v>
          </cell>
          <cell r="AJ357">
            <v>470</v>
          </cell>
          <cell r="AK357">
            <v>495</v>
          </cell>
          <cell r="AL357">
            <v>446.4</v>
          </cell>
          <cell r="AM357">
            <v>895</v>
          </cell>
          <cell r="AN357">
            <v>545</v>
          </cell>
          <cell r="AO357">
            <v>415</v>
          </cell>
          <cell r="AP357">
            <v>480</v>
          </cell>
          <cell r="AQ357">
            <v>450</v>
          </cell>
          <cell r="AR357">
            <v>485</v>
          </cell>
          <cell r="AS357">
            <v>610</v>
          </cell>
          <cell r="AT357">
            <v>350</v>
          </cell>
          <cell r="AU357">
            <v>455</v>
          </cell>
          <cell r="AV357">
            <v>445</v>
          </cell>
          <cell r="AW357">
            <v>385</v>
          </cell>
          <cell r="AX357">
            <v>460</v>
          </cell>
          <cell r="AY357">
            <v>440</v>
          </cell>
          <cell r="AZ357">
            <v>465</v>
          </cell>
          <cell r="BA357">
            <v>510</v>
          </cell>
          <cell r="BB357">
            <v>380</v>
          </cell>
          <cell r="BC357">
            <v>430</v>
          </cell>
          <cell r="BD357">
            <v>420</v>
          </cell>
          <cell r="BE357">
            <v>435</v>
          </cell>
          <cell r="BF357">
            <v>465</v>
          </cell>
          <cell r="BG357">
            <v>430</v>
          </cell>
          <cell r="BH357">
            <v>225</v>
          </cell>
          <cell r="BI357">
            <v>410</v>
          </cell>
          <cell r="BJ357">
            <v>425</v>
          </cell>
          <cell r="BK357">
            <v>790</v>
          </cell>
          <cell r="BL357">
            <v>505</v>
          </cell>
          <cell r="BM357">
            <v>450</v>
          </cell>
          <cell r="BN357">
            <v>355</v>
          </cell>
          <cell r="BO357">
            <v>750</v>
          </cell>
          <cell r="BP357">
            <v>495</v>
          </cell>
          <cell r="BQ357">
            <v>130</v>
          </cell>
          <cell r="BR357">
            <v>610</v>
          </cell>
          <cell r="BS357">
            <v>1456.5</v>
          </cell>
          <cell r="BT357">
            <v>405</v>
          </cell>
          <cell r="BU357">
            <v>270</v>
          </cell>
          <cell r="BV357">
            <v>725</v>
          </cell>
          <cell r="BW357">
            <v>320</v>
          </cell>
          <cell r="BX357">
            <v>845</v>
          </cell>
          <cell r="BY357">
            <v>785</v>
          </cell>
          <cell r="BZ357">
            <v>510</v>
          </cell>
          <cell r="CA357">
            <v>1050</v>
          </cell>
          <cell r="CB357"/>
          <cell r="CC357">
            <v>360</v>
          </cell>
          <cell r="CD357">
            <v>480</v>
          </cell>
          <cell r="CE357">
            <v>320</v>
          </cell>
          <cell r="CF357">
            <v>600</v>
          </cell>
          <cell r="CG357">
            <v>560</v>
          </cell>
          <cell r="CH357">
            <v>670</v>
          </cell>
          <cell r="CI357">
            <v>80</v>
          </cell>
          <cell r="CJ357">
            <v>730</v>
          </cell>
          <cell r="CK357">
            <v>510</v>
          </cell>
          <cell r="CL357">
            <v>1110</v>
          </cell>
          <cell r="CM357"/>
          <cell r="CN357">
            <v>360</v>
          </cell>
          <cell r="CO357">
            <v>350</v>
          </cell>
          <cell r="CP357">
            <v>1075</v>
          </cell>
          <cell r="CQ357">
            <v>240</v>
          </cell>
          <cell r="CR357">
            <v>360</v>
          </cell>
          <cell r="CS357">
            <v>410</v>
          </cell>
          <cell r="CT357">
            <v>540</v>
          </cell>
          <cell r="CU357">
            <v>735</v>
          </cell>
          <cell r="CV357">
            <v>600</v>
          </cell>
          <cell r="CW357">
            <v>720</v>
          </cell>
          <cell r="CX357"/>
          <cell r="CY357">
            <v>385</v>
          </cell>
          <cell r="CZ357">
            <v>1085</v>
          </cell>
          <cell r="DA357">
            <v>360</v>
          </cell>
          <cell r="DB357"/>
          <cell r="DC357">
            <v>435</v>
          </cell>
          <cell r="DD357">
            <v>290</v>
          </cell>
          <cell r="DE357">
            <v>145</v>
          </cell>
          <cell r="DF357">
            <v>460</v>
          </cell>
          <cell r="DG357">
            <v>145</v>
          </cell>
          <cell r="DH357">
            <v>190</v>
          </cell>
          <cell r="DI357">
            <v>115</v>
          </cell>
          <cell r="DJ357">
            <v>655</v>
          </cell>
          <cell r="DK357">
            <v>215</v>
          </cell>
          <cell r="DL357">
            <v>490</v>
          </cell>
          <cell r="DM357">
            <v>720</v>
          </cell>
          <cell r="DN357">
            <v>290</v>
          </cell>
          <cell r="DO357">
            <v>855</v>
          </cell>
          <cell r="DP357">
            <v>602</v>
          </cell>
          <cell r="DQ357">
            <v>240</v>
          </cell>
          <cell r="DR357">
            <v>120</v>
          </cell>
          <cell r="DS357">
            <v>240</v>
          </cell>
          <cell r="DT357">
            <v>480</v>
          </cell>
          <cell r="DU357">
            <v>720</v>
          </cell>
          <cell r="DV357">
            <v>370</v>
          </cell>
          <cell r="DW357">
            <v>360</v>
          </cell>
          <cell r="DX357">
            <v>720</v>
          </cell>
          <cell r="DY357">
            <v>480</v>
          </cell>
          <cell r="DZ357">
            <v>1080</v>
          </cell>
          <cell r="EA357"/>
          <cell r="EB357">
            <v>585</v>
          </cell>
          <cell r="EC357">
            <v>290</v>
          </cell>
          <cell r="ED357">
            <v>450</v>
          </cell>
          <cell r="EE357">
            <v>820</v>
          </cell>
          <cell r="EF357">
            <v>700</v>
          </cell>
          <cell r="EG357">
            <v>265</v>
          </cell>
          <cell r="EH357">
            <v>410</v>
          </cell>
          <cell r="EI357">
            <v>250</v>
          </cell>
          <cell r="EJ357" t="str">
            <v>ACTIVO</v>
          </cell>
          <cell r="EK357" t="str">
            <v>B</v>
          </cell>
          <cell r="EL357">
            <v>600</v>
          </cell>
          <cell r="EM357">
            <v>494.25</v>
          </cell>
          <cell r="EN357">
            <v>82.375</v>
          </cell>
          <cell r="EO357">
            <v>288.2642518793557</v>
          </cell>
          <cell r="EP357">
            <v>1475</v>
          </cell>
          <cell r="EQ357">
            <v>4859358</v>
          </cell>
          <cell r="ER357">
            <v>2.9843196762771877</v>
          </cell>
          <cell r="ES357">
            <v>164.75</v>
          </cell>
        </row>
        <row r="358">
          <cell r="F358">
            <v>107157</v>
          </cell>
          <cell r="G358" t="str">
            <v>MERM. EBEL GUINDA (ET. VERDE) BL 5 Kg</v>
          </cell>
          <cell r="H358">
            <v>490</v>
          </cell>
          <cell r="I358">
            <v>950</v>
          </cell>
          <cell r="J358">
            <v>1175</v>
          </cell>
          <cell r="K358">
            <v>725</v>
          </cell>
          <cell r="L358">
            <v>510</v>
          </cell>
          <cell r="M358">
            <v>255</v>
          </cell>
          <cell r="N358">
            <v>905</v>
          </cell>
          <cell r="O358">
            <v>1445</v>
          </cell>
          <cell r="P358">
            <v>495</v>
          </cell>
          <cell r="Q358">
            <v>485</v>
          </cell>
          <cell r="R358">
            <v>500</v>
          </cell>
          <cell r="S358">
            <v>155</v>
          </cell>
          <cell r="T358">
            <v>790</v>
          </cell>
          <cell r="U358">
            <v>565</v>
          </cell>
          <cell r="V358">
            <v>380</v>
          </cell>
          <cell r="W358">
            <v>600</v>
          </cell>
          <cell r="X358">
            <v>785</v>
          </cell>
          <cell r="Y358">
            <v>430</v>
          </cell>
          <cell r="Z358">
            <v>50</v>
          </cell>
          <cell r="AA358">
            <v>675</v>
          </cell>
          <cell r="AB358">
            <v>1175</v>
          </cell>
          <cell r="AC358">
            <v>850</v>
          </cell>
          <cell r="AD358">
            <v>805</v>
          </cell>
          <cell r="AE358">
            <v>335</v>
          </cell>
          <cell r="AF358">
            <v>1200</v>
          </cell>
          <cell r="AG358">
            <v>1010</v>
          </cell>
          <cell r="AH358">
            <v>780</v>
          </cell>
          <cell r="AI358">
            <v>664</v>
          </cell>
          <cell r="AJ358">
            <v>930</v>
          </cell>
          <cell r="AK358">
            <v>830</v>
          </cell>
          <cell r="AL358">
            <v>595</v>
          </cell>
          <cell r="AM358">
            <v>665</v>
          </cell>
          <cell r="AN358">
            <v>970</v>
          </cell>
          <cell r="AO358">
            <v>615</v>
          </cell>
          <cell r="AP358">
            <v>765</v>
          </cell>
          <cell r="AQ358">
            <v>905</v>
          </cell>
          <cell r="AR358">
            <v>1135</v>
          </cell>
          <cell r="AS358">
            <v>330</v>
          </cell>
          <cell r="AT358">
            <v>775</v>
          </cell>
          <cell r="AU358">
            <v>670</v>
          </cell>
          <cell r="AV358">
            <v>2265</v>
          </cell>
          <cell r="AW358">
            <v>95</v>
          </cell>
          <cell r="AX358">
            <v>170</v>
          </cell>
          <cell r="AY358">
            <v>190</v>
          </cell>
          <cell r="AZ358">
            <v>2335</v>
          </cell>
          <cell r="BA358">
            <v>810</v>
          </cell>
          <cell r="BB358">
            <v>1420</v>
          </cell>
          <cell r="BC358">
            <v>1580</v>
          </cell>
          <cell r="BD358">
            <v>245</v>
          </cell>
          <cell r="BE358">
            <v>295</v>
          </cell>
          <cell r="BF358">
            <v>1380</v>
          </cell>
          <cell r="BG358">
            <v>685</v>
          </cell>
          <cell r="BH358">
            <v>465</v>
          </cell>
          <cell r="BI358">
            <v>3575</v>
          </cell>
          <cell r="BJ358">
            <v>515</v>
          </cell>
          <cell r="BK358">
            <v>420</v>
          </cell>
          <cell r="BL358">
            <v>1945</v>
          </cell>
          <cell r="BM358">
            <v>1295</v>
          </cell>
          <cell r="BN358">
            <v>1725</v>
          </cell>
          <cell r="BO358">
            <v>930</v>
          </cell>
          <cell r="BP358">
            <v>1075</v>
          </cell>
          <cell r="BQ358">
            <v>2500</v>
          </cell>
          <cell r="BR358">
            <v>380</v>
          </cell>
          <cell r="BS358">
            <v>800</v>
          </cell>
          <cell r="BT358">
            <v>995</v>
          </cell>
          <cell r="BU358">
            <v>2825</v>
          </cell>
          <cell r="BV358">
            <v>1620</v>
          </cell>
          <cell r="BW358">
            <v>885</v>
          </cell>
          <cell r="BX358">
            <v>1530</v>
          </cell>
          <cell r="BY358">
            <v>1585</v>
          </cell>
          <cell r="BZ358">
            <v>135</v>
          </cell>
          <cell r="CA358">
            <v>1780</v>
          </cell>
          <cell r="CB358">
            <v>1490</v>
          </cell>
          <cell r="CC358">
            <v>2670</v>
          </cell>
          <cell r="CD358">
            <v>1150</v>
          </cell>
          <cell r="CE358">
            <v>230</v>
          </cell>
          <cell r="CF358">
            <v>210</v>
          </cell>
          <cell r="CG358">
            <v>2895</v>
          </cell>
          <cell r="CH358">
            <v>2015</v>
          </cell>
          <cell r="CI358">
            <v>200</v>
          </cell>
          <cell r="CJ358">
            <v>2110</v>
          </cell>
          <cell r="CK358">
            <v>1665</v>
          </cell>
          <cell r="CL358">
            <v>1570</v>
          </cell>
          <cell r="CM358">
            <v>1780</v>
          </cell>
          <cell r="CN358">
            <v>860</v>
          </cell>
          <cell r="CO358">
            <v>1895</v>
          </cell>
          <cell r="CP358">
            <v>1960</v>
          </cell>
          <cell r="CQ358">
            <v>2275</v>
          </cell>
          <cell r="CR358">
            <v>510</v>
          </cell>
          <cell r="CS358">
            <v>335</v>
          </cell>
          <cell r="CT358">
            <v>635</v>
          </cell>
          <cell r="CU358">
            <v>1100</v>
          </cell>
          <cell r="CV358">
            <v>1955</v>
          </cell>
          <cell r="CW358">
            <v>1185</v>
          </cell>
          <cell r="CX358">
            <v>2165</v>
          </cell>
          <cell r="CY358">
            <v>205</v>
          </cell>
          <cell r="CZ358">
            <v>1195</v>
          </cell>
          <cell r="DA358">
            <v>365</v>
          </cell>
          <cell r="DB358">
            <v>2115</v>
          </cell>
          <cell r="DC358">
            <v>672</v>
          </cell>
          <cell r="DD358">
            <v>1585</v>
          </cell>
          <cell r="DE358">
            <v>990</v>
          </cell>
          <cell r="DF358">
            <v>90</v>
          </cell>
          <cell r="DG358">
            <v>800</v>
          </cell>
          <cell r="DH358"/>
          <cell r="DI358"/>
          <cell r="DJ358"/>
          <cell r="DK358">
            <v>800</v>
          </cell>
          <cell r="DL358">
            <v>800</v>
          </cell>
          <cell r="DM358">
            <v>800</v>
          </cell>
          <cell r="DN358">
            <v>800</v>
          </cell>
          <cell r="DO358">
            <v>800</v>
          </cell>
          <cell r="DP358">
            <v>1175</v>
          </cell>
          <cell r="DQ358">
            <v>920</v>
          </cell>
          <cell r="DR358">
            <v>930</v>
          </cell>
          <cell r="DS358">
            <v>135</v>
          </cell>
          <cell r="DT358">
            <v>260</v>
          </cell>
          <cell r="DU358">
            <v>1465</v>
          </cell>
          <cell r="DV358">
            <v>865</v>
          </cell>
          <cell r="DW358">
            <v>1055</v>
          </cell>
          <cell r="DX358">
            <v>485</v>
          </cell>
          <cell r="DY358">
            <v>1085</v>
          </cell>
          <cell r="DZ358">
            <v>995</v>
          </cell>
          <cell r="EA358"/>
          <cell r="EB358">
            <v>1060</v>
          </cell>
          <cell r="EC358">
            <v>995</v>
          </cell>
          <cell r="ED358">
            <v>1185</v>
          </cell>
          <cell r="EE358">
            <v>1160</v>
          </cell>
          <cell r="EF358">
            <v>1285</v>
          </cell>
          <cell r="EG358">
            <v>410</v>
          </cell>
          <cell r="EH358">
            <v>1080</v>
          </cell>
          <cell r="EI358">
            <v>945</v>
          </cell>
          <cell r="EJ358" t="str">
            <v>ACTIVO</v>
          </cell>
          <cell r="EK358" t="str">
            <v>A</v>
          </cell>
          <cell r="EL358">
            <v>600</v>
          </cell>
          <cell r="EM358">
            <v>884.77272727272725</v>
          </cell>
          <cell r="EN358">
            <v>147.46212121212122</v>
          </cell>
          <cell r="EO358">
            <v>826.28852230714836</v>
          </cell>
          <cell r="EP358">
            <v>1735</v>
          </cell>
          <cell r="EQ358">
            <v>3641418</v>
          </cell>
          <cell r="ER358">
            <v>1.9609555612638068</v>
          </cell>
          <cell r="ES358">
            <v>294.92424242424244</v>
          </cell>
        </row>
        <row r="359">
          <cell r="F359">
            <v>170173</v>
          </cell>
          <cell r="G359" t="str">
            <v>MERM. EBEL GRANDES CONSUMIDORES FRUTILLA BALDE 5 Kg</v>
          </cell>
          <cell r="H359">
            <v>280</v>
          </cell>
          <cell r="I359">
            <v>285</v>
          </cell>
          <cell r="J359">
            <v>270</v>
          </cell>
          <cell r="K359">
            <v>290</v>
          </cell>
          <cell r="L359">
            <v>300</v>
          </cell>
          <cell r="M359">
            <v>350</v>
          </cell>
          <cell r="N359">
            <v>330</v>
          </cell>
          <cell r="O359">
            <v>295</v>
          </cell>
          <cell r="P359">
            <v>285</v>
          </cell>
          <cell r="Q359">
            <v>260</v>
          </cell>
          <cell r="R359">
            <v>290</v>
          </cell>
          <cell r="S359">
            <v>325</v>
          </cell>
          <cell r="T359">
            <v>310</v>
          </cell>
          <cell r="U359">
            <v>335</v>
          </cell>
          <cell r="V359">
            <v>290</v>
          </cell>
          <cell r="W359">
            <v>245</v>
          </cell>
          <cell r="X359">
            <v>310</v>
          </cell>
          <cell r="Y359">
            <v>350</v>
          </cell>
          <cell r="Z359">
            <v>430</v>
          </cell>
          <cell r="AA359">
            <v>255</v>
          </cell>
          <cell r="AB359">
            <v>305</v>
          </cell>
          <cell r="AC359">
            <v>295</v>
          </cell>
          <cell r="AD359">
            <v>320</v>
          </cell>
          <cell r="AE359">
            <v>285</v>
          </cell>
          <cell r="AF359">
            <v>320</v>
          </cell>
          <cell r="AG359">
            <v>330</v>
          </cell>
          <cell r="AH359">
            <v>305</v>
          </cell>
          <cell r="AI359">
            <v>305</v>
          </cell>
          <cell r="AJ359">
            <v>315</v>
          </cell>
          <cell r="AK359">
            <v>285</v>
          </cell>
          <cell r="AL359">
            <v>420</v>
          </cell>
          <cell r="AM359">
            <v>435</v>
          </cell>
          <cell r="AN359">
            <v>230</v>
          </cell>
          <cell r="AO359">
            <v>265</v>
          </cell>
          <cell r="AP359">
            <v>250</v>
          </cell>
          <cell r="AQ359">
            <v>240</v>
          </cell>
          <cell r="AR359">
            <v>230</v>
          </cell>
          <cell r="AS359">
            <v>80</v>
          </cell>
          <cell r="AT359">
            <v>560</v>
          </cell>
          <cell r="AU359">
            <v>225</v>
          </cell>
          <cell r="AV359">
            <v>165</v>
          </cell>
          <cell r="AW359">
            <v>235</v>
          </cell>
          <cell r="AX359">
            <v>210</v>
          </cell>
          <cell r="AY359">
            <v>185</v>
          </cell>
          <cell r="AZ359">
            <v>280</v>
          </cell>
          <cell r="BA359">
            <v>235</v>
          </cell>
          <cell r="BB359">
            <v>220</v>
          </cell>
          <cell r="BC359">
            <v>270</v>
          </cell>
          <cell r="BD359">
            <v>235</v>
          </cell>
          <cell r="BE359">
            <v>215</v>
          </cell>
          <cell r="BF359">
            <v>260</v>
          </cell>
          <cell r="BG359">
            <v>235</v>
          </cell>
          <cell r="BH359">
            <v>135</v>
          </cell>
          <cell r="BI359">
            <v>215</v>
          </cell>
          <cell r="BJ359">
            <v>155</v>
          </cell>
          <cell r="BK359">
            <v>245</v>
          </cell>
          <cell r="BL359">
            <v>230</v>
          </cell>
          <cell r="BM359">
            <v>235</v>
          </cell>
          <cell r="BN359">
            <v>280</v>
          </cell>
          <cell r="BO359">
            <v>195</v>
          </cell>
          <cell r="BP359">
            <v>215</v>
          </cell>
          <cell r="BQ359">
            <v>180</v>
          </cell>
          <cell r="BR359">
            <v>220</v>
          </cell>
          <cell r="BS359">
            <v>205</v>
          </cell>
          <cell r="BT359">
            <v>200</v>
          </cell>
          <cell r="BU359">
            <v>220</v>
          </cell>
          <cell r="BV359">
            <v>200</v>
          </cell>
          <cell r="BW359">
            <v>215</v>
          </cell>
          <cell r="BX359">
            <v>250</v>
          </cell>
          <cell r="BY359">
            <v>320</v>
          </cell>
          <cell r="BZ359">
            <v>480</v>
          </cell>
          <cell r="CA359">
            <v>230</v>
          </cell>
          <cell r="CB359">
            <v>220</v>
          </cell>
          <cell r="CC359">
            <v>230</v>
          </cell>
          <cell r="CD359">
            <v>220</v>
          </cell>
          <cell r="CE359">
            <v>435</v>
          </cell>
          <cell r="CF359">
            <v>205</v>
          </cell>
          <cell r="CG359">
            <v>235</v>
          </cell>
          <cell r="CH359">
            <v>235</v>
          </cell>
          <cell r="CI359">
            <v>270</v>
          </cell>
          <cell r="CJ359">
            <v>245</v>
          </cell>
          <cell r="CK359">
            <v>245</v>
          </cell>
          <cell r="CL359">
            <v>230</v>
          </cell>
          <cell r="CM359">
            <v>295</v>
          </cell>
          <cell r="CN359">
            <v>320</v>
          </cell>
          <cell r="CO359">
            <v>265</v>
          </cell>
          <cell r="CP359">
            <v>265</v>
          </cell>
          <cell r="CQ359">
            <v>180</v>
          </cell>
          <cell r="CR359">
            <v>220</v>
          </cell>
          <cell r="CS359">
            <v>55</v>
          </cell>
          <cell r="CT359">
            <v>345</v>
          </cell>
          <cell r="CU359">
            <v>390</v>
          </cell>
          <cell r="CV359">
            <v>385</v>
          </cell>
          <cell r="CW359">
            <v>355</v>
          </cell>
          <cell r="CX359">
            <v>335</v>
          </cell>
          <cell r="CY359">
            <v>320</v>
          </cell>
          <cell r="CZ359">
            <v>260</v>
          </cell>
          <cell r="DA359">
            <v>330</v>
          </cell>
          <cell r="DB359">
            <v>260</v>
          </cell>
          <cell r="DC359">
            <v>270</v>
          </cell>
          <cell r="DD359">
            <v>265</v>
          </cell>
          <cell r="DE359">
            <v>230</v>
          </cell>
          <cell r="DF359">
            <v>305</v>
          </cell>
          <cell r="DG359">
            <v>225</v>
          </cell>
          <cell r="DH359">
            <v>130</v>
          </cell>
          <cell r="DI359">
            <v>70</v>
          </cell>
          <cell r="DJ359">
            <v>265</v>
          </cell>
          <cell r="DK359">
            <v>277</v>
          </cell>
          <cell r="DL359">
            <v>260</v>
          </cell>
          <cell r="DM359">
            <v>275</v>
          </cell>
          <cell r="DN359">
            <v>245</v>
          </cell>
          <cell r="DO359">
            <v>265</v>
          </cell>
          <cell r="DP359">
            <v>240</v>
          </cell>
          <cell r="DQ359">
            <v>260</v>
          </cell>
          <cell r="DR359">
            <v>255</v>
          </cell>
          <cell r="DS359">
            <v>295</v>
          </cell>
          <cell r="DT359">
            <v>255</v>
          </cell>
          <cell r="DU359">
            <v>290</v>
          </cell>
          <cell r="DV359">
            <v>275</v>
          </cell>
          <cell r="DW359">
            <v>255</v>
          </cell>
          <cell r="DX359">
            <v>255</v>
          </cell>
          <cell r="DY359">
            <v>255</v>
          </cell>
          <cell r="DZ359">
            <v>300</v>
          </cell>
          <cell r="EA359">
            <v>295</v>
          </cell>
          <cell r="EB359">
            <v>315</v>
          </cell>
          <cell r="EC359">
            <v>225</v>
          </cell>
          <cell r="ED359">
            <v>250</v>
          </cell>
          <cell r="EE359">
            <v>255</v>
          </cell>
          <cell r="EF359">
            <v>225</v>
          </cell>
          <cell r="EG359">
            <v>430</v>
          </cell>
          <cell r="EH359">
            <v>240</v>
          </cell>
          <cell r="EI359">
            <v>190</v>
          </cell>
          <cell r="EJ359" t="str">
            <v>ACTIVO</v>
          </cell>
          <cell r="EK359" t="str">
            <v>B</v>
          </cell>
          <cell r="EL359">
            <v>600</v>
          </cell>
          <cell r="EM359">
            <v>263.48</v>
          </cell>
          <cell r="EN359">
            <v>43.913333333333334</v>
          </cell>
          <cell r="EO359">
            <v>74.501609649378267</v>
          </cell>
          <cell r="EP359">
            <v>900</v>
          </cell>
          <cell r="EQ359">
            <v>1831671</v>
          </cell>
          <cell r="ER359">
            <v>3.4158190374981019</v>
          </cell>
          <cell r="ES359">
            <v>87.826666666666668</v>
          </cell>
        </row>
        <row r="360">
          <cell r="F360">
            <v>107158</v>
          </cell>
          <cell r="G360" t="str">
            <v>MER. MEL PIÑA BALDE 5 Kg</v>
          </cell>
          <cell r="H360">
            <v>505</v>
          </cell>
          <cell r="I360">
            <v>430</v>
          </cell>
          <cell r="J360">
            <v>395</v>
          </cell>
          <cell r="K360">
            <v>625</v>
          </cell>
          <cell r="L360">
            <v>465</v>
          </cell>
          <cell r="M360">
            <v>560</v>
          </cell>
          <cell r="N360">
            <v>480</v>
          </cell>
          <cell r="O360">
            <v>415</v>
          </cell>
          <cell r="P360">
            <v>450</v>
          </cell>
          <cell r="Q360">
            <v>445</v>
          </cell>
          <cell r="R360">
            <v>470</v>
          </cell>
          <cell r="S360">
            <v>551</v>
          </cell>
          <cell r="T360">
            <v>550</v>
          </cell>
          <cell r="U360">
            <v>435</v>
          </cell>
          <cell r="V360">
            <v>550</v>
          </cell>
          <cell r="W360">
            <v>450</v>
          </cell>
          <cell r="X360">
            <v>480</v>
          </cell>
          <cell r="Y360">
            <v>690</v>
          </cell>
          <cell r="Z360">
            <v>1065</v>
          </cell>
          <cell r="AA360">
            <v>475</v>
          </cell>
          <cell r="AB360">
            <v>455</v>
          </cell>
          <cell r="AC360">
            <v>430</v>
          </cell>
          <cell r="AD360">
            <v>620</v>
          </cell>
          <cell r="AE360">
            <v>835</v>
          </cell>
          <cell r="AF360">
            <v>500</v>
          </cell>
          <cell r="AG360">
            <v>630</v>
          </cell>
          <cell r="AH360">
            <v>520</v>
          </cell>
          <cell r="AI360">
            <v>525</v>
          </cell>
          <cell r="AJ360">
            <v>490</v>
          </cell>
          <cell r="AK360">
            <v>450</v>
          </cell>
          <cell r="AL360">
            <v>525</v>
          </cell>
          <cell r="AM360">
            <v>630</v>
          </cell>
          <cell r="AN360">
            <v>455</v>
          </cell>
          <cell r="AO360">
            <v>400</v>
          </cell>
          <cell r="AP360">
            <v>494.5</v>
          </cell>
          <cell r="AQ360">
            <v>475</v>
          </cell>
          <cell r="AR360">
            <v>505</v>
          </cell>
          <cell r="AS360">
            <v>415</v>
          </cell>
          <cell r="AT360">
            <v>480.5</v>
          </cell>
          <cell r="AU360">
            <v>530</v>
          </cell>
          <cell r="AV360">
            <v>455</v>
          </cell>
          <cell r="AW360">
            <v>360</v>
          </cell>
          <cell r="AX360">
            <v>480</v>
          </cell>
          <cell r="AY360">
            <v>480</v>
          </cell>
          <cell r="AZ360">
            <v>475</v>
          </cell>
          <cell r="BA360">
            <v>490</v>
          </cell>
          <cell r="BB360">
            <v>405</v>
          </cell>
          <cell r="BC360">
            <v>430</v>
          </cell>
          <cell r="BD360">
            <v>440</v>
          </cell>
          <cell r="BE360">
            <v>450</v>
          </cell>
          <cell r="BF360">
            <v>550</v>
          </cell>
          <cell r="BG360">
            <v>465</v>
          </cell>
          <cell r="BH360">
            <v>225</v>
          </cell>
          <cell r="BI360">
            <v>450</v>
          </cell>
          <cell r="BJ360">
            <v>345</v>
          </cell>
          <cell r="BK360">
            <v>440</v>
          </cell>
          <cell r="BL360">
            <v>445</v>
          </cell>
          <cell r="BM360">
            <v>400</v>
          </cell>
          <cell r="BN360">
            <v>495</v>
          </cell>
          <cell r="BO360">
            <v>355</v>
          </cell>
          <cell r="BP360">
            <v>405</v>
          </cell>
          <cell r="BQ360">
            <v>370</v>
          </cell>
          <cell r="BR360">
            <v>495</v>
          </cell>
          <cell r="BS360">
            <v>365</v>
          </cell>
          <cell r="BT360">
            <v>985</v>
          </cell>
          <cell r="BU360">
            <v>400</v>
          </cell>
          <cell r="BV360">
            <v>590</v>
          </cell>
          <cell r="BW360">
            <v>625</v>
          </cell>
          <cell r="BX360">
            <v>410</v>
          </cell>
          <cell r="BY360">
            <v>620</v>
          </cell>
          <cell r="BZ360">
            <v>935</v>
          </cell>
          <cell r="CA360">
            <v>600</v>
          </cell>
          <cell r="CB360">
            <v>875</v>
          </cell>
          <cell r="CC360">
            <v>650</v>
          </cell>
          <cell r="CD360">
            <v>385</v>
          </cell>
          <cell r="CE360">
            <v>1150</v>
          </cell>
          <cell r="CF360">
            <v>435</v>
          </cell>
          <cell r="CG360">
            <v>1110</v>
          </cell>
          <cell r="CH360">
            <v>435</v>
          </cell>
          <cell r="CI360">
            <v>505</v>
          </cell>
          <cell r="CJ360">
            <v>470</v>
          </cell>
          <cell r="CK360">
            <v>720</v>
          </cell>
          <cell r="CL360">
            <v>475</v>
          </cell>
          <cell r="CM360">
            <v>690</v>
          </cell>
          <cell r="CN360">
            <v>800</v>
          </cell>
          <cell r="CO360">
            <v>435</v>
          </cell>
          <cell r="CP360">
            <v>420</v>
          </cell>
          <cell r="CQ360">
            <v>760</v>
          </cell>
          <cell r="CR360">
            <v>845</v>
          </cell>
          <cell r="CS360">
            <v>195</v>
          </cell>
          <cell r="CT360">
            <v>830</v>
          </cell>
          <cell r="CU360">
            <v>505</v>
          </cell>
          <cell r="CV360">
            <v>855</v>
          </cell>
          <cell r="CW360">
            <v>425</v>
          </cell>
          <cell r="CX360">
            <v>725</v>
          </cell>
          <cell r="CY360">
            <v>815</v>
          </cell>
          <cell r="CZ360">
            <v>410</v>
          </cell>
          <cell r="DA360">
            <v>395</v>
          </cell>
          <cell r="DB360">
            <v>385</v>
          </cell>
          <cell r="DC360">
            <v>770</v>
          </cell>
          <cell r="DD360">
            <v>435</v>
          </cell>
          <cell r="DE360">
            <v>335</v>
          </cell>
          <cell r="DF360">
            <v>555</v>
          </cell>
          <cell r="DG360">
            <v>595</v>
          </cell>
          <cell r="DH360">
            <v>185</v>
          </cell>
          <cell r="DI360">
            <v>440</v>
          </cell>
          <cell r="DJ360">
            <v>410</v>
          </cell>
          <cell r="DK360">
            <v>690</v>
          </cell>
          <cell r="DL360">
            <v>510</v>
          </cell>
          <cell r="DM360">
            <v>1005</v>
          </cell>
          <cell r="DN360">
            <v>640</v>
          </cell>
          <cell r="DO360">
            <v>515</v>
          </cell>
          <cell r="DP360">
            <v>645</v>
          </cell>
          <cell r="DQ360">
            <v>660</v>
          </cell>
          <cell r="DR360">
            <v>395</v>
          </cell>
          <cell r="DS360">
            <v>695</v>
          </cell>
          <cell r="DT360">
            <v>365</v>
          </cell>
          <cell r="DU360">
            <v>395</v>
          </cell>
          <cell r="DV360">
            <v>730</v>
          </cell>
          <cell r="DW360">
            <v>365</v>
          </cell>
          <cell r="DX360">
            <v>570</v>
          </cell>
          <cell r="DY360">
            <v>680</v>
          </cell>
          <cell r="DZ360">
            <v>550</v>
          </cell>
          <cell r="EA360">
            <v>840</v>
          </cell>
          <cell r="EB360">
            <v>390</v>
          </cell>
          <cell r="EC360">
            <v>675</v>
          </cell>
          <cell r="ED360">
            <v>590</v>
          </cell>
          <cell r="EE360">
            <v>400</v>
          </cell>
          <cell r="EF360">
            <v>400</v>
          </cell>
          <cell r="EG360">
            <v>1090</v>
          </cell>
          <cell r="EH360">
            <v>740</v>
          </cell>
          <cell r="EI360">
            <v>270</v>
          </cell>
          <cell r="EJ360" t="str">
            <v>ACTIVO</v>
          </cell>
          <cell r="EK360" t="str">
            <v>A</v>
          </cell>
          <cell r="EL360">
            <v>600</v>
          </cell>
          <cell r="EM360">
            <v>585.79999999999995</v>
          </cell>
          <cell r="EN360">
            <v>97.633333333333326</v>
          </cell>
          <cell r="EO360">
            <v>222.98566147840921</v>
          </cell>
          <cell r="EP360">
            <v>800</v>
          </cell>
          <cell r="EQ360">
            <v>2712752</v>
          </cell>
          <cell r="ER360">
            <v>1.3656538067599864</v>
          </cell>
          <cell r="ES360">
            <v>195.26666666666665</v>
          </cell>
        </row>
        <row r="361">
          <cell r="F361">
            <v>107095</v>
          </cell>
          <cell r="G361" t="str">
            <v>PURE DE LUCUMA (ET. VERDE) BALDE 4,5 Kg</v>
          </cell>
          <cell r="H361">
            <v>1363.5</v>
          </cell>
          <cell r="I361">
            <v>1174.5</v>
          </cell>
          <cell r="J361">
            <v>571.5</v>
          </cell>
          <cell r="K361">
            <v>738</v>
          </cell>
          <cell r="L361">
            <v>1102.5</v>
          </cell>
          <cell r="M361">
            <v>963</v>
          </cell>
          <cell r="N361">
            <v>1066.5</v>
          </cell>
          <cell r="O361">
            <v>819</v>
          </cell>
          <cell r="P361">
            <v>679.5</v>
          </cell>
          <cell r="Q361">
            <v>675</v>
          </cell>
          <cell r="R361">
            <v>1732.5</v>
          </cell>
          <cell r="S361">
            <v>747</v>
          </cell>
          <cell r="T361">
            <v>724.5</v>
          </cell>
          <cell r="U361">
            <v>999</v>
          </cell>
          <cell r="V361">
            <v>1642.5</v>
          </cell>
          <cell r="W361">
            <v>1111.5</v>
          </cell>
          <cell r="X361">
            <v>1440</v>
          </cell>
          <cell r="Y361">
            <v>1296</v>
          </cell>
          <cell r="Z361">
            <v>1462</v>
          </cell>
          <cell r="AA361">
            <v>1440</v>
          </cell>
          <cell r="AB361">
            <v>1237.5</v>
          </cell>
          <cell r="AC361">
            <v>991</v>
          </cell>
          <cell r="AD361">
            <v>1462.5</v>
          </cell>
          <cell r="AE361">
            <v>2083.5</v>
          </cell>
          <cell r="AF361">
            <v>1219.5</v>
          </cell>
          <cell r="AG361">
            <v>1476</v>
          </cell>
          <cell r="AH361">
            <v>1197</v>
          </cell>
          <cell r="AI361">
            <v>1368</v>
          </cell>
          <cell r="AJ361">
            <v>1588.5</v>
          </cell>
          <cell r="AK361">
            <v>1818</v>
          </cell>
          <cell r="AL361">
            <v>1575</v>
          </cell>
          <cell r="AM361">
            <v>1665</v>
          </cell>
          <cell r="AN361">
            <v>1831.5</v>
          </cell>
          <cell r="AO361">
            <v>1975.5</v>
          </cell>
          <cell r="AP361">
            <v>1498.5</v>
          </cell>
          <cell r="AQ361">
            <v>1629</v>
          </cell>
          <cell r="AR361">
            <v>1813.5</v>
          </cell>
          <cell r="AS361">
            <v>522</v>
          </cell>
          <cell r="AT361">
            <v>2479.5</v>
          </cell>
          <cell r="AU361">
            <v>1885.5</v>
          </cell>
          <cell r="AV361">
            <v>1777.5</v>
          </cell>
          <cell r="AW361">
            <v>1912.5</v>
          </cell>
          <cell r="AX361">
            <v>2235.5</v>
          </cell>
          <cell r="AY361">
            <v>1575</v>
          </cell>
          <cell r="AZ361">
            <v>2097</v>
          </cell>
          <cell r="BA361">
            <v>2489</v>
          </cell>
          <cell r="BB361">
            <v>2331</v>
          </cell>
          <cell r="BC361">
            <v>1968.5</v>
          </cell>
          <cell r="BD361">
            <v>2124</v>
          </cell>
          <cell r="BE361">
            <v>2836.5</v>
          </cell>
          <cell r="BF361">
            <v>2395</v>
          </cell>
          <cell r="BG361">
            <v>2497.5</v>
          </cell>
          <cell r="BH361">
            <v>949.5</v>
          </cell>
          <cell r="BI361">
            <v>1813.5</v>
          </cell>
          <cell r="BJ361">
            <v>2112</v>
          </cell>
          <cell r="BK361">
            <v>1993.5</v>
          </cell>
          <cell r="BL361">
            <v>2209.5</v>
          </cell>
          <cell r="BM361">
            <v>1746</v>
          </cell>
          <cell r="BN361">
            <v>1966.5</v>
          </cell>
          <cell r="BO361">
            <v>1863</v>
          </cell>
          <cell r="BP361">
            <v>1714.5</v>
          </cell>
          <cell r="BQ361">
            <v>1789.5</v>
          </cell>
          <cell r="BR361">
            <v>2632.5</v>
          </cell>
          <cell r="BS361">
            <v>1773</v>
          </cell>
          <cell r="BT361">
            <v>2592</v>
          </cell>
          <cell r="BU361">
            <v>1786.5</v>
          </cell>
          <cell r="BV361">
            <v>2393.5</v>
          </cell>
          <cell r="BW361">
            <v>2214</v>
          </cell>
          <cell r="BX361">
            <v>1768.5</v>
          </cell>
          <cell r="BY361">
            <v>2569.5</v>
          </cell>
          <cell r="BZ361">
            <v>2929.5</v>
          </cell>
          <cell r="CA361">
            <v>1827</v>
          </cell>
          <cell r="CB361">
            <v>2286</v>
          </cell>
          <cell r="CC361">
            <v>1584</v>
          </cell>
          <cell r="CD361">
            <v>2007</v>
          </cell>
          <cell r="CE361">
            <v>2659.5</v>
          </cell>
          <cell r="CF361">
            <v>1494</v>
          </cell>
          <cell r="CG361">
            <v>2322</v>
          </cell>
          <cell r="CH361">
            <v>1417.5</v>
          </cell>
          <cell r="CI361">
            <v>1804.5</v>
          </cell>
          <cell r="CJ361">
            <v>1777.5</v>
          </cell>
          <cell r="CK361">
            <v>1674</v>
          </cell>
          <cell r="CL361">
            <v>1831.5</v>
          </cell>
          <cell r="CM361">
            <v>1854</v>
          </cell>
          <cell r="CN361">
            <v>1840.5</v>
          </cell>
          <cell r="CO361">
            <v>1818</v>
          </cell>
          <cell r="CP361">
            <v>2061</v>
          </cell>
          <cell r="CQ361">
            <v>2115</v>
          </cell>
          <cell r="CR361">
            <v>2439</v>
          </cell>
          <cell r="CS361">
            <v>1300.5</v>
          </cell>
          <cell r="CT361">
            <v>2018.4</v>
          </cell>
          <cell r="CU361">
            <v>2169</v>
          </cell>
          <cell r="CV361">
            <v>2479.5</v>
          </cell>
          <cell r="CW361">
            <v>1841.5</v>
          </cell>
          <cell r="CX361">
            <v>2083.5</v>
          </cell>
          <cell r="CY361">
            <v>1530</v>
          </cell>
          <cell r="CZ361">
            <v>1845</v>
          </cell>
          <cell r="DA361">
            <v>2394</v>
          </cell>
          <cell r="DB361">
            <v>1822.5</v>
          </cell>
          <cell r="DC361">
            <v>2052</v>
          </cell>
          <cell r="DD361">
            <v>1363.5</v>
          </cell>
          <cell r="DE361">
            <v>2362.6999999999998</v>
          </cell>
          <cell r="DF361">
            <v>2196</v>
          </cell>
          <cell r="DG361">
            <v>1543.5</v>
          </cell>
          <cell r="DH361">
            <v>927</v>
          </cell>
          <cell r="DI361">
            <v>409.5</v>
          </cell>
          <cell r="DJ361">
            <v>2065.5</v>
          </cell>
          <cell r="DK361">
            <v>1692</v>
          </cell>
          <cell r="DL361">
            <v>2419.52</v>
          </cell>
          <cell r="DM361">
            <v>1548</v>
          </cell>
          <cell r="DN361">
            <v>1944.5</v>
          </cell>
          <cell r="DO361">
            <v>1521</v>
          </cell>
          <cell r="DP361">
            <v>1215</v>
          </cell>
          <cell r="DQ361">
            <v>1287</v>
          </cell>
          <cell r="DR361">
            <v>1453.5</v>
          </cell>
          <cell r="DS361">
            <v>1728</v>
          </cell>
          <cell r="DT361">
            <v>1737</v>
          </cell>
          <cell r="DU361">
            <v>2088</v>
          </cell>
          <cell r="DV361">
            <v>1891</v>
          </cell>
          <cell r="DW361">
            <v>2155.5</v>
          </cell>
          <cell r="DX361">
            <v>2236.5</v>
          </cell>
          <cell r="DY361">
            <v>2263.5</v>
          </cell>
          <cell r="DZ361">
            <v>2907</v>
          </cell>
          <cell r="EA361">
            <v>1890</v>
          </cell>
          <cell r="EB361">
            <v>2218.5</v>
          </cell>
          <cell r="EC361">
            <v>1917</v>
          </cell>
          <cell r="ED361">
            <v>1723.5</v>
          </cell>
          <cell r="EE361">
            <v>1557</v>
          </cell>
          <cell r="EF361">
            <v>1390.5</v>
          </cell>
          <cell r="EG361">
            <v>2169</v>
          </cell>
          <cell r="EH361">
            <v>2385</v>
          </cell>
          <cell r="EI361">
            <v>1071</v>
          </cell>
          <cell r="EJ361" t="str">
            <v>ACTIVO</v>
          </cell>
          <cell r="EK361" t="str">
            <v>A</v>
          </cell>
          <cell r="EL361">
            <v>540</v>
          </cell>
          <cell r="EM361">
            <v>1817.1008000000002</v>
          </cell>
          <cell r="EN361">
            <v>302.85013333333336</v>
          </cell>
          <cell r="EO361">
            <v>408.15591612155089</v>
          </cell>
          <cell r="EP361">
            <v>2542.5</v>
          </cell>
          <cell r="EQ361">
            <v>11305734.75</v>
          </cell>
          <cell r="ER361">
            <v>1.3992069124618731</v>
          </cell>
          <cell r="ES361">
            <v>605.70026666666672</v>
          </cell>
        </row>
        <row r="362">
          <cell r="F362">
            <v>405537</v>
          </cell>
          <cell r="G362" t="str">
            <v>RELLENO PISTACHO SIN TROZOS CERRILLOS</v>
          </cell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>
            <v>138</v>
          </cell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K362"/>
          <cell r="DL362"/>
          <cell r="DM362"/>
          <cell r="DN362"/>
          <cell r="DO362"/>
          <cell r="DP362"/>
          <cell r="DQ362"/>
          <cell r="DR362"/>
          <cell r="DS362"/>
          <cell r="DT362"/>
          <cell r="DU362"/>
          <cell r="DV362"/>
          <cell r="DW362"/>
          <cell r="DX362"/>
          <cell r="DY362"/>
          <cell r="DZ362"/>
          <cell r="EA362"/>
          <cell r="EB362"/>
          <cell r="EC362"/>
          <cell r="ED362"/>
          <cell r="EE362"/>
          <cell r="EF362"/>
          <cell r="EG362"/>
          <cell r="EH362"/>
          <cell r="EI362"/>
          <cell r="EJ362" t="str">
            <v>SIN USO</v>
          </cell>
          <cell r="EK362" t="str">
            <v>C</v>
          </cell>
          <cell r="EL362" t="str">
            <v/>
          </cell>
          <cell r="EM362">
            <v>0</v>
          </cell>
          <cell r="EN362">
            <v>0</v>
          </cell>
          <cell r="EO362">
            <v>0</v>
          </cell>
          <cell r="EP362">
            <v>60</v>
          </cell>
          <cell r="EQ362">
            <v>599400</v>
          </cell>
          <cell r="ER362">
            <v>0</v>
          </cell>
          <cell r="ES362">
            <v>0</v>
          </cell>
        </row>
        <row r="363">
          <cell r="F363">
            <v>405556</v>
          </cell>
          <cell r="G363" t="str">
            <v>RELLENO CHOCOLATE CREAM BAKELS</v>
          </cell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>
            <v>112.5</v>
          </cell>
          <cell r="CE363">
            <v>153</v>
          </cell>
          <cell r="CF363">
            <v>238.5</v>
          </cell>
          <cell r="CG363">
            <v>139.5</v>
          </cell>
          <cell r="CH363"/>
          <cell r="CI363"/>
          <cell r="CJ363"/>
          <cell r="CK363"/>
          <cell r="CL363"/>
          <cell r="CM363">
            <v>144</v>
          </cell>
          <cell r="CN363"/>
          <cell r="CO363">
            <v>81</v>
          </cell>
          <cell r="CP363">
            <v>94.5</v>
          </cell>
          <cell r="CQ363">
            <v>211.5</v>
          </cell>
          <cell r="CR363"/>
          <cell r="CS363"/>
          <cell r="CT363">
            <v>108</v>
          </cell>
          <cell r="CU363">
            <v>94.5</v>
          </cell>
          <cell r="CV363">
            <v>162</v>
          </cell>
          <cell r="CW363"/>
          <cell r="CX363">
            <v>166.5</v>
          </cell>
          <cell r="CY363">
            <v>211.5</v>
          </cell>
          <cell r="CZ363"/>
          <cell r="DA363">
            <v>90</v>
          </cell>
          <cell r="DB363">
            <v>499.5</v>
          </cell>
          <cell r="DC363">
            <v>162</v>
          </cell>
          <cell r="DD363"/>
          <cell r="DE363"/>
          <cell r="DF363"/>
          <cell r="DG363"/>
          <cell r="DH363"/>
          <cell r="DI363"/>
          <cell r="DJ363">
            <v>360</v>
          </cell>
          <cell r="DK363">
            <v>202.5</v>
          </cell>
          <cell r="DL363">
            <v>202.5</v>
          </cell>
          <cell r="DM363">
            <v>76.5</v>
          </cell>
          <cell r="DN363">
            <v>405</v>
          </cell>
          <cell r="DO363">
            <v>162</v>
          </cell>
          <cell r="DP363">
            <v>18</v>
          </cell>
          <cell r="DQ363"/>
          <cell r="DR363">
            <v>198</v>
          </cell>
          <cell r="DS363">
            <v>184.5</v>
          </cell>
          <cell r="DT363">
            <v>594</v>
          </cell>
          <cell r="DU363">
            <v>612</v>
          </cell>
          <cell r="DV363">
            <v>198</v>
          </cell>
          <cell r="DW363">
            <v>297</v>
          </cell>
          <cell r="DX363">
            <v>481.5</v>
          </cell>
          <cell r="DY363"/>
          <cell r="DZ363">
            <v>315</v>
          </cell>
          <cell r="EA363"/>
          <cell r="EB363"/>
          <cell r="EC363">
            <v>720</v>
          </cell>
          <cell r="ED363"/>
          <cell r="EE363">
            <v>288</v>
          </cell>
          <cell r="EF363">
            <v>724.5</v>
          </cell>
          <cell r="EG363"/>
          <cell r="EH363">
            <v>22.5</v>
          </cell>
          <cell r="EI363">
            <v>144</v>
          </cell>
          <cell r="EJ363" t="str">
            <v>ACTIVO</v>
          </cell>
          <cell r="EK363" t="str">
            <v>C</v>
          </cell>
          <cell r="EL363" t="str">
            <v/>
          </cell>
          <cell r="EM363">
            <v>335.5</v>
          </cell>
          <cell r="EN363">
            <v>55.916666666666664</v>
          </cell>
          <cell r="EO363">
            <v>100.48166810418704</v>
          </cell>
          <cell r="EP363">
            <v>1318.5</v>
          </cell>
          <cell r="EQ363">
            <v>4351036.8150000004</v>
          </cell>
          <cell r="ER363">
            <v>3.9299552906110282</v>
          </cell>
          <cell r="ES363">
            <v>111.83333333333333</v>
          </cell>
        </row>
        <row r="364">
          <cell r="F364">
            <v>170180</v>
          </cell>
          <cell r="G364" t="str">
            <v>REMOJO DULCERÍO 10 LITROS PURATOS</v>
          </cell>
          <cell r="H364"/>
          <cell r="I364"/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>
            <v>475</v>
          </cell>
          <cell r="CQ364">
            <v>576</v>
          </cell>
          <cell r="CR364">
            <v>496</v>
          </cell>
          <cell r="CS364">
            <v>103</v>
          </cell>
          <cell r="CT364">
            <v>501</v>
          </cell>
          <cell r="CU364">
            <v>560</v>
          </cell>
          <cell r="CV364">
            <v>500</v>
          </cell>
          <cell r="CW364">
            <v>460</v>
          </cell>
          <cell r="CX364">
            <v>460</v>
          </cell>
          <cell r="CY364">
            <v>500</v>
          </cell>
          <cell r="CZ364">
            <v>520</v>
          </cell>
          <cell r="DA364">
            <v>520</v>
          </cell>
          <cell r="DB364">
            <v>480</v>
          </cell>
          <cell r="DC364">
            <v>700</v>
          </cell>
          <cell r="DD364">
            <v>1280</v>
          </cell>
          <cell r="DE364">
            <v>1031</v>
          </cell>
          <cell r="DF364">
            <v>1740</v>
          </cell>
          <cell r="DG364">
            <v>1300</v>
          </cell>
          <cell r="DH364">
            <v>600</v>
          </cell>
          <cell r="DI364">
            <v>340</v>
          </cell>
          <cell r="DJ364">
            <v>1190</v>
          </cell>
          <cell r="DK364">
            <v>1110</v>
          </cell>
          <cell r="DL364">
            <v>1038.6400000000001</v>
          </cell>
          <cell r="DM364">
            <v>1110</v>
          </cell>
          <cell r="DN364">
            <v>1120</v>
          </cell>
          <cell r="DO364">
            <v>1510</v>
          </cell>
          <cell r="DP364">
            <v>1060</v>
          </cell>
          <cell r="DQ364">
            <v>1080</v>
          </cell>
          <cell r="DR364">
            <v>1160</v>
          </cell>
          <cell r="DS364">
            <v>1180</v>
          </cell>
          <cell r="DT364">
            <v>971</v>
          </cell>
          <cell r="DU364">
            <v>1300</v>
          </cell>
          <cell r="DV364">
            <v>1270</v>
          </cell>
          <cell r="DW364">
            <v>1025</v>
          </cell>
          <cell r="DX364">
            <v>1170</v>
          </cell>
          <cell r="DY364">
            <v>1270</v>
          </cell>
          <cell r="DZ364">
            <v>1840</v>
          </cell>
          <cell r="EA364">
            <v>2990</v>
          </cell>
          <cell r="EB364">
            <v>1470</v>
          </cell>
          <cell r="EC364">
            <v>1430</v>
          </cell>
          <cell r="ED364">
            <v>1360</v>
          </cell>
          <cell r="EE364">
            <v>1580</v>
          </cell>
          <cell r="EF364">
            <v>1430</v>
          </cell>
          <cell r="EG364">
            <v>2300</v>
          </cell>
          <cell r="EH364">
            <v>1990</v>
          </cell>
          <cell r="EI364">
            <v>960</v>
          </cell>
          <cell r="EJ364" t="str">
            <v>ACTIVO</v>
          </cell>
          <cell r="EK364" t="str">
            <v>B</v>
          </cell>
          <cell r="EL364" t="str">
            <v/>
          </cell>
          <cell r="EM364">
            <v>1332.1856</v>
          </cell>
          <cell r="EN364">
            <v>222.03093333333334</v>
          </cell>
          <cell r="EO364">
            <v>388.45385525287128</v>
          </cell>
          <cell r="EP364">
            <v>2180</v>
          </cell>
          <cell r="EQ364">
            <v>4207400</v>
          </cell>
          <cell r="ER364">
            <v>1.6364086205405612</v>
          </cell>
          <cell r="ES364">
            <v>666.09280000000001</v>
          </cell>
        </row>
        <row r="365">
          <cell r="F365">
            <v>107105</v>
          </cell>
          <cell r="G365" t="str">
            <v>CREMFIL PIE DE LIMON PURATOS</v>
          </cell>
          <cell r="H365"/>
          <cell r="I365"/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>
            <v>402.53</v>
          </cell>
          <cell r="CR365">
            <v>549</v>
          </cell>
          <cell r="CS365">
            <v>274.5</v>
          </cell>
          <cell r="CT365">
            <v>634.5</v>
          </cell>
          <cell r="CU365">
            <v>599</v>
          </cell>
          <cell r="CV365">
            <v>436.5</v>
          </cell>
          <cell r="CW365">
            <v>513</v>
          </cell>
          <cell r="CX365">
            <v>481.5</v>
          </cell>
          <cell r="CY365">
            <v>631.5</v>
          </cell>
          <cell r="CZ365">
            <v>450</v>
          </cell>
          <cell r="DA365">
            <v>468</v>
          </cell>
          <cell r="DB365">
            <v>283.5</v>
          </cell>
          <cell r="DC365">
            <v>328.5</v>
          </cell>
          <cell r="DD365">
            <v>324</v>
          </cell>
          <cell r="DE365">
            <v>288</v>
          </cell>
          <cell r="DF365">
            <v>472.5</v>
          </cell>
          <cell r="DG365">
            <v>531</v>
          </cell>
          <cell r="DH365">
            <v>180</v>
          </cell>
          <cell r="DI365">
            <v>112.5</v>
          </cell>
          <cell r="DJ365">
            <v>427.5</v>
          </cell>
          <cell r="DK365">
            <v>418.5</v>
          </cell>
          <cell r="DL365">
            <v>409.5</v>
          </cell>
          <cell r="DM365">
            <v>409.5</v>
          </cell>
          <cell r="DN365">
            <v>373.5</v>
          </cell>
          <cell r="DO365">
            <v>355.5</v>
          </cell>
          <cell r="DP365">
            <v>373.5</v>
          </cell>
          <cell r="DQ365">
            <v>414</v>
          </cell>
          <cell r="DR365">
            <v>423</v>
          </cell>
          <cell r="DS365">
            <v>441</v>
          </cell>
          <cell r="DT365">
            <v>387</v>
          </cell>
          <cell r="DU365">
            <v>531</v>
          </cell>
          <cell r="DV365">
            <v>495</v>
          </cell>
          <cell r="DW365">
            <v>472.5</v>
          </cell>
          <cell r="DX365">
            <v>472.5</v>
          </cell>
          <cell r="DY365">
            <v>450</v>
          </cell>
          <cell r="DZ365">
            <v>544.5</v>
          </cell>
          <cell r="EA365">
            <v>360</v>
          </cell>
          <cell r="EB365">
            <v>531</v>
          </cell>
          <cell r="EC365">
            <v>418.5</v>
          </cell>
          <cell r="ED365">
            <v>481.5</v>
          </cell>
          <cell r="EE365">
            <v>477</v>
          </cell>
          <cell r="EF365">
            <v>468</v>
          </cell>
          <cell r="EG365">
            <v>598.5</v>
          </cell>
          <cell r="EH365">
            <v>463.5</v>
          </cell>
          <cell r="EI365">
            <v>337.5</v>
          </cell>
          <cell r="EJ365" t="str">
            <v>ACTIVO</v>
          </cell>
          <cell r="EK365" t="str">
            <v>C</v>
          </cell>
          <cell r="EL365" t="str">
            <v/>
          </cell>
          <cell r="EM365">
            <v>433.8</v>
          </cell>
          <cell r="EN365">
            <v>72.3</v>
          </cell>
          <cell r="EO365">
            <v>132.51775211330514</v>
          </cell>
          <cell r="EP365">
            <v>648</v>
          </cell>
          <cell r="EQ365">
            <v>1240745.04</v>
          </cell>
          <cell r="ER365">
            <v>1.4937759336099585</v>
          </cell>
          <cell r="ES365">
            <v>216.89999999999998</v>
          </cell>
        </row>
        <row r="366">
          <cell r="F366">
            <v>405607</v>
          </cell>
          <cell r="G366" t="str">
            <v>PISTACHO S/CASCARA TRES ERRES</v>
          </cell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K366"/>
          <cell r="DL366"/>
          <cell r="DM366"/>
          <cell r="DN366"/>
          <cell r="DO366"/>
          <cell r="DP366"/>
          <cell r="DQ366"/>
          <cell r="DR366">
            <v>1</v>
          </cell>
          <cell r="DS366">
            <v>10</v>
          </cell>
          <cell r="DT366">
            <v>4</v>
          </cell>
          <cell r="DU366">
            <v>1</v>
          </cell>
          <cell r="DV366">
            <v>4</v>
          </cell>
          <cell r="DW366">
            <v>1</v>
          </cell>
          <cell r="DX366">
            <v>1</v>
          </cell>
          <cell r="DY366">
            <v>4</v>
          </cell>
          <cell r="DZ366"/>
          <cell r="EA366">
            <v>5</v>
          </cell>
          <cell r="EB366">
            <v>3</v>
          </cell>
          <cell r="EC366">
            <v>3</v>
          </cell>
          <cell r="ED366">
            <v>4</v>
          </cell>
          <cell r="EE366">
            <v>1</v>
          </cell>
          <cell r="EF366">
            <v>4</v>
          </cell>
          <cell r="EG366">
            <v>4</v>
          </cell>
          <cell r="EH366">
            <v>1</v>
          </cell>
          <cell r="EI366">
            <v>2</v>
          </cell>
          <cell r="EJ366" t="str">
            <v>ACTIVO</v>
          </cell>
          <cell r="EK366" t="str">
            <v>C</v>
          </cell>
          <cell r="EL366"/>
          <cell r="EM366">
            <v>3.3333333333333335</v>
          </cell>
          <cell r="EN366">
            <v>0.55555555555555558</v>
          </cell>
          <cell r="EO366">
            <v>0</v>
          </cell>
          <cell r="EP366">
            <v>25</v>
          </cell>
          <cell r="EQ366">
            <v>850000</v>
          </cell>
          <cell r="ER366">
            <v>7.5</v>
          </cell>
          <cell r="ES366">
            <v>1.1111111111111112</v>
          </cell>
        </row>
        <row r="367">
          <cell r="F367">
            <v>107280</v>
          </cell>
          <cell r="G367" t="str">
            <v>NUEVO BRILLO PARA CONGELADO PURATOS</v>
          </cell>
          <cell r="H367">
            <v>418.5</v>
          </cell>
          <cell r="I367">
            <v>396</v>
          </cell>
          <cell r="J367">
            <v>585</v>
          </cell>
          <cell r="K367">
            <v>666</v>
          </cell>
          <cell r="L367">
            <v>319.5</v>
          </cell>
          <cell r="M367">
            <v>454.5</v>
          </cell>
          <cell r="N367">
            <v>481.5</v>
          </cell>
          <cell r="O367">
            <v>472.5</v>
          </cell>
          <cell r="P367">
            <v>292.5</v>
          </cell>
          <cell r="Q367">
            <v>301.5</v>
          </cell>
          <cell r="R367">
            <v>297</v>
          </cell>
          <cell r="S367">
            <v>225</v>
          </cell>
          <cell r="T367">
            <v>301.5</v>
          </cell>
          <cell r="U367">
            <v>490.5</v>
          </cell>
          <cell r="V367">
            <v>229.5</v>
          </cell>
          <cell r="W367">
            <v>544.5</v>
          </cell>
          <cell r="X367">
            <v>495</v>
          </cell>
          <cell r="Y367">
            <v>274.5</v>
          </cell>
          <cell r="Z367">
            <v>103.5</v>
          </cell>
          <cell r="AA367">
            <v>319.5</v>
          </cell>
          <cell r="AB367">
            <v>508.5</v>
          </cell>
          <cell r="AC367">
            <v>337.5</v>
          </cell>
          <cell r="AD367">
            <v>495</v>
          </cell>
          <cell r="AE367">
            <v>333</v>
          </cell>
          <cell r="AF367">
            <v>265.5</v>
          </cell>
          <cell r="AG367">
            <v>346.5</v>
          </cell>
          <cell r="AH367">
            <v>292.5</v>
          </cell>
          <cell r="AI367">
            <v>306</v>
          </cell>
          <cell r="AJ367">
            <v>265.5</v>
          </cell>
          <cell r="AK367">
            <v>405</v>
          </cell>
          <cell r="AL367">
            <v>556</v>
          </cell>
          <cell r="AM367">
            <v>400.5</v>
          </cell>
          <cell r="AN367">
            <v>207</v>
          </cell>
          <cell r="AO367">
            <v>252</v>
          </cell>
          <cell r="AP367">
            <v>324</v>
          </cell>
          <cell r="AQ367">
            <v>301.5</v>
          </cell>
          <cell r="AR367">
            <v>229.5</v>
          </cell>
          <cell r="AS367">
            <v>229.5</v>
          </cell>
          <cell r="AT367">
            <v>225</v>
          </cell>
          <cell r="AU367">
            <v>369.76</v>
          </cell>
          <cell r="AV367">
            <v>319.5</v>
          </cell>
          <cell r="AW367">
            <v>288</v>
          </cell>
          <cell r="AX367">
            <v>378</v>
          </cell>
          <cell r="AY367">
            <v>396</v>
          </cell>
          <cell r="AZ367">
            <v>220.5</v>
          </cell>
          <cell r="BA367">
            <v>517.5</v>
          </cell>
          <cell r="BB367">
            <v>549</v>
          </cell>
          <cell r="BC367">
            <v>396</v>
          </cell>
          <cell r="BD367">
            <v>522</v>
          </cell>
          <cell r="BE367">
            <v>685</v>
          </cell>
          <cell r="BF367">
            <v>310.5</v>
          </cell>
          <cell r="BG367">
            <v>589.5</v>
          </cell>
          <cell r="BH367">
            <v>166.5</v>
          </cell>
          <cell r="BI367">
            <v>576</v>
          </cell>
          <cell r="BJ367">
            <v>594</v>
          </cell>
          <cell r="BK367">
            <v>490.5</v>
          </cell>
          <cell r="BL367">
            <v>666</v>
          </cell>
          <cell r="BM367">
            <v>567</v>
          </cell>
          <cell r="BN367">
            <v>607</v>
          </cell>
          <cell r="BO367">
            <v>728.5</v>
          </cell>
          <cell r="BP367">
            <v>328.5</v>
          </cell>
          <cell r="BQ367">
            <v>504</v>
          </cell>
          <cell r="BR367">
            <v>592</v>
          </cell>
          <cell r="BS367">
            <v>760.5</v>
          </cell>
          <cell r="BT367">
            <v>1030.5</v>
          </cell>
          <cell r="BU367">
            <v>508.5</v>
          </cell>
          <cell r="BV367">
            <v>821</v>
          </cell>
          <cell r="BW367">
            <v>904.5</v>
          </cell>
          <cell r="BX367">
            <v>760.5</v>
          </cell>
          <cell r="BY367">
            <v>585</v>
          </cell>
          <cell r="BZ367">
            <v>175.5</v>
          </cell>
          <cell r="CA367">
            <v>760.5</v>
          </cell>
          <cell r="CB367">
            <v>1164.5</v>
          </cell>
          <cell r="CC367">
            <v>1179</v>
          </cell>
          <cell r="CD367">
            <v>567</v>
          </cell>
          <cell r="CE367">
            <v>274.5</v>
          </cell>
          <cell r="CF367">
            <v>805.5</v>
          </cell>
          <cell r="CG367">
            <v>1026</v>
          </cell>
          <cell r="CH367">
            <v>328.5</v>
          </cell>
          <cell r="CI367">
            <v>680.5</v>
          </cell>
          <cell r="CJ367">
            <v>202.5</v>
          </cell>
          <cell r="CK367">
            <v>927</v>
          </cell>
          <cell r="CL367">
            <v>679.5</v>
          </cell>
          <cell r="CM367">
            <v>684</v>
          </cell>
          <cell r="CN367">
            <v>765</v>
          </cell>
          <cell r="CO367">
            <v>666</v>
          </cell>
          <cell r="CP367">
            <v>980</v>
          </cell>
          <cell r="CQ367">
            <v>585</v>
          </cell>
          <cell r="CR367">
            <v>1053</v>
          </cell>
          <cell r="CS367">
            <v>454.5</v>
          </cell>
          <cell r="CT367">
            <v>553.5</v>
          </cell>
          <cell r="CU367">
            <v>261</v>
          </cell>
          <cell r="CV367">
            <v>553.5</v>
          </cell>
          <cell r="CW367">
            <v>558</v>
          </cell>
          <cell r="CX367">
            <v>657</v>
          </cell>
          <cell r="CY367">
            <v>427.5</v>
          </cell>
          <cell r="CZ367">
            <v>333</v>
          </cell>
          <cell r="DA367">
            <v>648</v>
          </cell>
          <cell r="DB367">
            <v>675</v>
          </cell>
          <cell r="DC367">
            <v>693</v>
          </cell>
          <cell r="DD367">
            <v>513</v>
          </cell>
          <cell r="DE367">
            <v>544.5</v>
          </cell>
          <cell r="DF367">
            <v>405</v>
          </cell>
          <cell r="DG367">
            <v>103.5</v>
          </cell>
          <cell r="DH367">
            <v>180</v>
          </cell>
          <cell r="DI367">
            <v>157.5</v>
          </cell>
          <cell r="DJ367">
            <v>513</v>
          </cell>
          <cell r="DK367">
            <v>639</v>
          </cell>
          <cell r="DL367">
            <v>580.66999999999996</v>
          </cell>
          <cell r="DM367">
            <v>801</v>
          </cell>
          <cell r="DN367">
            <v>796.5</v>
          </cell>
          <cell r="DO367">
            <v>432</v>
          </cell>
          <cell r="DP367">
            <v>418.5</v>
          </cell>
          <cell r="DQ367">
            <v>571.70000000000005</v>
          </cell>
          <cell r="DR367">
            <v>567</v>
          </cell>
          <cell r="DS367">
            <v>531</v>
          </cell>
          <cell r="DT367">
            <v>599.5</v>
          </cell>
          <cell r="DU367">
            <v>441</v>
          </cell>
          <cell r="DV367">
            <v>414</v>
          </cell>
          <cell r="DW367">
            <v>364.5</v>
          </cell>
          <cell r="DX367">
            <v>868.5</v>
          </cell>
          <cell r="DY367">
            <v>1323</v>
          </cell>
          <cell r="DZ367">
            <v>346.5</v>
          </cell>
          <cell r="EA367">
            <v>4.5</v>
          </cell>
          <cell r="EB367">
            <v>702</v>
          </cell>
          <cell r="EC367">
            <v>738</v>
          </cell>
          <cell r="ED367">
            <v>720</v>
          </cell>
          <cell r="EE367">
            <v>702</v>
          </cell>
          <cell r="EF367">
            <v>787.5</v>
          </cell>
          <cell r="EG367">
            <v>688.5</v>
          </cell>
          <cell r="EH367">
            <v>558</v>
          </cell>
          <cell r="EI367">
            <v>441</v>
          </cell>
          <cell r="EJ367" t="str">
            <v>ACTIVO</v>
          </cell>
          <cell r="EK367" t="str">
            <v>A</v>
          </cell>
          <cell r="EL367">
            <v>540</v>
          </cell>
          <cell r="EM367">
            <v>588.29480000000001</v>
          </cell>
          <cell r="EN367">
            <v>98.04913333333333</v>
          </cell>
          <cell r="EO367">
            <v>253.96123337067098</v>
          </cell>
          <cell r="EP367">
            <v>1197</v>
          </cell>
          <cell r="EQ367">
            <v>3291750</v>
          </cell>
          <cell r="ER367">
            <v>2.0346941703377288</v>
          </cell>
          <cell r="ES367">
            <v>294.1474</v>
          </cell>
        </row>
        <row r="368">
          <cell r="F368">
            <v>107120</v>
          </cell>
          <cell r="G368" t="str">
            <v>BRILLO FRIO RTU PURATOS</v>
          </cell>
          <cell r="H368">
            <v>391.5</v>
          </cell>
          <cell r="I368">
            <v>486</v>
          </cell>
          <cell r="J368">
            <v>508.5</v>
          </cell>
          <cell r="K368">
            <v>562.5</v>
          </cell>
          <cell r="L368">
            <v>594</v>
          </cell>
          <cell r="M368">
            <v>558</v>
          </cell>
          <cell r="N368">
            <v>423</v>
          </cell>
          <cell r="O368">
            <v>562.5</v>
          </cell>
          <cell r="P368">
            <v>594</v>
          </cell>
          <cell r="Q368">
            <v>540</v>
          </cell>
          <cell r="R368">
            <v>567</v>
          </cell>
          <cell r="S368">
            <v>472.5</v>
          </cell>
          <cell r="T368">
            <v>364.5</v>
          </cell>
          <cell r="U368">
            <v>562.5</v>
          </cell>
          <cell r="V368">
            <v>463.5</v>
          </cell>
          <cell r="W368">
            <v>432</v>
          </cell>
          <cell r="X368">
            <v>571.5</v>
          </cell>
          <cell r="Y368">
            <v>657</v>
          </cell>
          <cell r="Z368">
            <v>675</v>
          </cell>
          <cell r="AA368">
            <v>603</v>
          </cell>
          <cell r="AB368">
            <v>666</v>
          </cell>
          <cell r="AC368">
            <v>639</v>
          </cell>
          <cell r="AD368">
            <v>621</v>
          </cell>
          <cell r="AE368">
            <v>553.5</v>
          </cell>
          <cell r="AF368">
            <v>661.5</v>
          </cell>
          <cell r="AG368">
            <v>652.5</v>
          </cell>
          <cell r="AH368">
            <v>661.5</v>
          </cell>
          <cell r="AI368">
            <v>643.5</v>
          </cell>
          <cell r="AJ368">
            <v>711</v>
          </cell>
          <cell r="AK368">
            <v>729</v>
          </cell>
          <cell r="AL368">
            <v>619.5</v>
          </cell>
          <cell r="AM368">
            <v>616.5</v>
          </cell>
          <cell r="AN368">
            <v>634.5</v>
          </cell>
          <cell r="AO368">
            <v>526.5</v>
          </cell>
          <cell r="AP368">
            <v>621</v>
          </cell>
          <cell r="AQ368">
            <v>729</v>
          </cell>
          <cell r="AR368">
            <v>769.5</v>
          </cell>
          <cell r="AS368">
            <v>270</v>
          </cell>
          <cell r="AT368">
            <v>675</v>
          </cell>
          <cell r="AU368">
            <v>589.5</v>
          </cell>
          <cell r="AV368">
            <v>553.5</v>
          </cell>
          <cell r="AW368">
            <v>454.5</v>
          </cell>
          <cell r="AX368">
            <v>1053</v>
          </cell>
          <cell r="AY368">
            <v>508.2</v>
          </cell>
          <cell r="AZ368">
            <v>517.5</v>
          </cell>
          <cell r="BA368">
            <v>868.5</v>
          </cell>
          <cell r="BB368">
            <v>540</v>
          </cell>
          <cell r="BC368">
            <v>418.5</v>
          </cell>
          <cell r="BD368">
            <v>436.5</v>
          </cell>
          <cell r="BE368">
            <v>314.7</v>
          </cell>
          <cell r="BF368">
            <v>517.5</v>
          </cell>
          <cell r="BG368">
            <v>328.5</v>
          </cell>
          <cell r="BH368">
            <v>166.5</v>
          </cell>
          <cell r="BI368">
            <v>441</v>
          </cell>
          <cell r="BJ368">
            <v>360</v>
          </cell>
          <cell r="BK368">
            <v>549</v>
          </cell>
          <cell r="BL368">
            <v>459</v>
          </cell>
          <cell r="BM368">
            <v>477</v>
          </cell>
          <cell r="BN368">
            <v>504</v>
          </cell>
          <cell r="BO368">
            <v>400.5</v>
          </cell>
          <cell r="BP368">
            <v>477</v>
          </cell>
          <cell r="BQ368">
            <v>499.5</v>
          </cell>
          <cell r="BR368">
            <v>549</v>
          </cell>
          <cell r="BS368">
            <v>387</v>
          </cell>
          <cell r="BT368">
            <v>418.5</v>
          </cell>
          <cell r="BU368">
            <v>472.5</v>
          </cell>
          <cell r="BV368">
            <v>422.8</v>
          </cell>
          <cell r="BW368">
            <v>441</v>
          </cell>
          <cell r="BX368">
            <v>409.5</v>
          </cell>
          <cell r="BY368">
            <v>396</v>
          </cell>
          <cell r="BZ368">
            <v>432</v>
          </cell>
          <cell r="CA368">
            <v>369</v>
          </cell>
          <cell r="CB368">
            <v>328.5</v>
          </cell>
          <cell r="CC368">
            <v>351</v>
          </cell>
          <cell r="CD368">
            <v>288</v>
          </cell>
          <cell r="CE368">
            <v>589.5</v>
          </cell>
          <cell r="CF368">
            <v>265.5</v>
          </cell>
          <cell r="CG368">
            <v>337.5</v>
          </cell>
          <cell r="CH368">
            <v>324</v>
          </cell>
          <cell r="CI368">
            <v>441</v>
          </cell>
          <cell r="CJ368">
            <v>481.5</v>
          </cell>
          <cell r="CK368">
            <v>391.5</v>
          </cell>
          <cell r="CL368">
            <v>351</v>
          </cell>
          <cell r="CM368">
            <v>355.5</v>
          </cell>
          <cell r="CN368">
            <v>472.5</v>
          </cell>
          <cell r="CO368">
            <v>450</v>
          </cell>
          <cell r="CP368">
            <v>432</v>
          </cell>
          <cell r="CQ368">
            <v>396</v>
          </cell>
          <cell r="CR368">
            <v>427.5</v>
          </cell>
          <cell r="CS368">
            <v>139.5</v>
          </cell>
          <cell r="CT368">
            <v>513</v>
          </cell>
          <cell r="CU368">
            <v>454.5</v>
          </cell>
          <cell r="CV368">
            <v>463.5</v>
          </cell>
          <cell r="CW368">
            <v>423</v>
          </cell>
          <cell r="CX368">
            <v>427.5</v>
          </cell>
          <cell r="CY368">
            <v>432</v>
          </cell>
          <cell r="CZ368">
            <v>400.5</v>
          </cell>
          <cell r="DA368">
            <v>481.5</v>
          </cell>
          <cell r="DB368">
            <v>351</v>
          </cell>
          <cell r="DC368">
            <v>391.5</v>
          </cell>
          <cell r="DD368">
            <v>382.5</v>
          </cell>
          <cell r="DE368">
            <v>328.5</v>
          </cell>
          <cell r="DF368">
            <v>481.5</v>
          </cell>
          <cell r="DG368">
            <v>319.5</v>
          </cell>
          <cell r="DH368">
            <v>184.5</v>
          </cell>
          <cell r="DI368">
            <v>108</v>
          </cell>
          <cell r="DJ368">
            <v>378</v>
          </cell>
          <cell r="DK368">
            <v>382.5</v>
          </cell>
          <cell r="DL368">
            <v>427.5</v>
          </cell>
          <cell r="DM368">
            <v>387</v>
          </cell>
          <cell r="DN368">
            <v>382.5</v>
          </cell>
          <cell r="DO368">
            <v>477</v>
          </cell>
          <cell r="DP368">
            <v>391.5</v>
          </cell>
          <cell r="DQ368">
            <v>418.5</v>
          </cell>
          <cell r="DR368">
            <v>418.5</v>
          </cell>
          <cell r="DS368">
            <v>427.5</v>
          </cell>
          <cell r="DT368">
            <v>400.5</v>
          </cell>
          <cell r="DU368">
            <v>445.5</v>
          </cell>
          <cell r="DV368">
            <v>436.5</v>
          </cell>
          <cell r="DW368">
            <v>391.5</v>
          </cell>
          <cell r="DX368">
            <v>423</v>
          </cell>
          <cell r="DY368">
            <v>549</v>
          </cell>
          <cell r="DZ368">
            <v>517.5</v>
          </cell>
          <cell r="EA368">
            <v>652.4</v>
          </cell>
          <cell r="EB368">
            <v>535.5</v>
          </cell>
          <cell r="EC368">
            <v>405</v>
          </cell>
          <cell r="ED368">
            <v>535.5</v>
          </cell>
          <cell r="EE368">
            <v>468</v>
          </cell>
          <cell r="EF368">
            <v>522</v>
          </cell>
          <cell r="EG368">
            <v>774</v>
          </cell>
          <cell r="EH368">
            <v>558</v>
          </cell>
          <cell r="EI368">
            <v>319.5</v>
          </cell>
          <cell r="EJ368" t="str">
            <v>ACTIVO</v>
          </cell>
          <cell r="EK368" t="str">
            <v>B</v>
          </cell>
          <cell r="EL368">
            <v>540</v>
          </cell>
          <cell r="EM368">
            <v>450.17599999999999</v>
          </cell>
          <cell r="EN368">
            <v>75.029333333333327</v>
          </cell>
          <cell r="EO368">
            <v>89.536220342750781</v>
          </cell>
          <cell r="EP368">
            <v>981</v>
          </cell>
          <cell r="EQ368">
            <v>1795210.38</v>
          </cell>
          <cell r="ER368">
            <v>2.1791477111174298</v>
          </cell>
          <cell r="ES368">
            <v>225.08799999999997</v>
          </cell>
        </row>
        <row r="369">
          <cell r="F369">
            <v>403391</v>
          </cell>
          <cell r="G369" t="str">
            <v>MERM. EBEL PIÑA QUINTA BALDE 5 Kg</v>
          </cell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>
            <v>24.5</v>
          </cell>
          <cell r="AU369">
            <v>105</v>
          </cell>
          <cell r="AV369">
            <v>160</v>
          </cell>
          <cell r="AW369">
            <v>45</v>
          </cell>
          <cell r="AX369">
            <v>215</v>
          </cell>
          <cell r="AY369">
            <v>265</v>
          </cell>
          <cell r="AZ369">
            <v>45</v>
          </cell>
          <cell r="BA369"/>
          <cell r="BB369">
            <v>285</v>
          </cell>
          <cell r="BC369">
            <v>420</v>
          </cell>
          <cell r="BD369">
            <v>35</v>
          </cell>
          <cell r="BE369"/>
          <cell r="BF369">
            <v>190</v>
          </cell>
          <cell r="BG369">
            <v>125</v>
          </cell>
          <cell r="BH369">
            <v>5</v>
          </cell>
          <cell r="BI369">
            <v>140</v>
          </cell>
          <cell r="BJ369">
            <v>70</v>
          </cell>
          <cell r="BK369">
            <v>255</v>
          </cell>
          <cell r="BL369">
            <v>200</v>
          </cell>
          <cell r="BM369">
            <v>85</v>
          </cell>
          <cell r="BN369">
            <v>260</v>
          </cell>
          <cell r="BO369">
            <v>10</v>
          </cell>
          <cell r="BP369">
            <v>185</v>
          </cell>
          <cell r="BQ369">
            <v>220</v>
          </cell>
          <cell r="BR369">
            <v>155</v>
          </cell>
          <cell r="BS369">
            <v>10</v>
          </cell>
          <cell r="BT369">
            <v>265</v>
          </cell>
          <cell r="BU369">
            <v>235</v>
          </cell>
          <cell r="BV369"/>
          <cell r="BW369">
            <v>600</v>
          </cell>
          <cell r="BX369">
            <v>160</v>
          </cell>
          <cell r="BY369"/>
          <cell r="BZ369"/>
          <cell r="CA369"/>
          <cell r="CB369">
            <v>220</v>
          </cell>
          <cell r="CC369"/>
          <cell r="CD369"/>
          <cell r="CE369"/>
          <cell r="CF369"/>
          <cell r="CG369">
            <v>180</v>
          </cell>
          <cell r="CH369"/>
          <cell r="CI369">
            <v>60</v>
          </cell>
          <cell r="CJ369"/>
          <cell r="CK369">
            <v>80</v>
          </cell>
          <cell r="CL369">
            <v>65</v>
          </cell>
          <cell r="CM369"/>
          <cell r="CN369">
            <v>70</v>
          </cell>
          <cell r="CO369">
            <v>85</v>
          </cell>
          <cell r="CP369">
            <v>195</v>
          </cell>
          <cell r="CQ369"/>
          <cell r="CR369">
            <v>15</v>
          </cell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K369"/>
          <cell r="DL369"/>
          <cell r="DM369">
            <v>635</v>
          </cell>
          <cell r="DN369"/>
          <cell r="DO369"/>
          <cell r="DP369"/>
          <cell r="DQ369"/>
          <cell r="DR369"/>
          <cell r="DS369"/>
          <cell r="DT369"/>
          <cell r="DU369"/>
          <cell r="DV369"/>
          <cell r="DW369"/>
          <cell r="DX369"/>
          <cell r="DY369"/>
          <cell r="DZ369"/>
          <cell r="EA369"/>
          <cell r="EB369"/>
          <cell r="EC369"/>
          <cell r="ED369"/>
          <cell r="EE369"/>
          <cell r="EF369"/>
          <cell r="EG369"/>
          <cell r="EH369"/>
          <cell r="EI369"/>
          <cell r="EJ369" t="str">
            <v>SIN USO</v>
          </cell>
          <cell r="EK369" t="str">
            <v>C</v>
          </cell>
          <cell r="EL369"/>
          <cell r="EM369">
            <v>635</v>
          </cell>
          <cell r="EN369">
            <v>105.83333333333333</v>
          </cell>
          <cell r="EO369">
            <v>126.23556023033552</v>
          </cell>
          <cell r="EP369">
            <v>0</v>
          </cell>
          <cell r="EQ369">
            <v>0</v>
          </cell>
          <cell r="ER369">
            <v>0</v>
          </cell>
          <cell r="ES369">
            <v>211.66666666666666</v>
          </cell>
        </row>
        <row r="370">
          <cell r="F370">
            <v>405436</v>
          </cell>
          <cell r="G370" t="str">
            <v>PURE DE MANZANA BALDE 4,5 Kg MEL</v>
          </cell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>
            <v>211.5</v>
          </cell>
          <cell r="BC370">
            <v>698.5</v>
          </cell>
          <cell r="BD370"/>
          <cell r="BE370"/>
          <cell r="BF370">
            <v>333</v>
          </cell>
          <cell r="BG370"/>
          <cell r="BH370"/>
          <cell r="BI370"/>
          <cell r="BJ370"/>
          <cell r="BK370">
            <v>477</v>
          </cell>
          <cell r="BL370">
            <v>18</v>
          </cell>
          <cell r="BM370"/>
          <cell r="BN370">
            <v>279</v>
          </cell>
          <cell r="BO370">
            <v>409.5</v>
          </cell>
          <cell r="BP370"/>
          <cell r="BQ370"/>
          <cell r="BR370">
            <v>589.5</v>
          </cell>
          <cell r="BS370"/>
          <cell r="BT370">
            <v>236.5</v>
          </cell>
          <cell r="BU370">
            <v>198</v>
          </cell>
          <cell r="BV370">
            <v>279</v>
          </cell>
          <cell r="BW370"/>
          <cell r="BX370"/>
          <cell r="BY370"/>
          <cell r="BZ370"/>
          <cell r="CA370"/>
          <cell r="CB370"/>
          <cell r="CC370"/>
          <cell r="CD370"/>
          <cell r="CE370">
            <v>864.5</v>
          </cell>
          <cell r="CF370">
            <v>1228.5</v>
          </cell>
          <cell r="CG370"/>
          <cell r="CH370"/>
          <cell r="CI370"/>
          <cell r="CJ370"/>
          <cell r="CK370"/>
          <cell r="CL370"/>
          <cell r="CM370">
            <v>23.5</v>
          </cell>
          <cell r="CN370">
            <v>122.5</v>
          </cell>
          <cell r="CO370"/>
          <cell r="CP370"/>
          <cell r="CQ370">
            <v>77</v>
          </cell>
          <cell r="CR370">
            <v>95.5</v>
          </cell>
          <cell r="CS370">
            <v>81.5</v>
          </cell>
          <cell r="CT370">
            <v>54</v>
          </cell>
          <cell r="CU370">
            <v>77</v>
          </cell>
          <cell r="CV370"/>
          <cell r="CW370">
            <v>4.5</v>
          </cell>
          <cell r="CX370">
            <v>231</v>
          </cell>
          <cell r="CY370">
            <v>180</v>
          </cell>
          <cell r="CZ370">
            <v>213.5</v>
          </cell>
          <cell r="DA370">
            <v>217</v>
          </cell>
          <cell r="DB370">
            <v>213.5</v>
          </cell>
          <cell r="DC370"/>
          <cell r="DD370">
            <v>10.5</v>
          </cell>
          <cell r="DE370"/>
          <cell r="DF370"/>
          <cell r="DG370">
            <v>157</v>
          </cell>
          <cell r="DH370">
            <v>147</v>
          </cell>
          <cell r="DI370">
            <v>36</v>
          </cell>
          <cell r="DJ370">
            <v>360</v>
          </cell>
          <cell r="DK370">
            <v>301</v>
          </cell>
          <cell r="DL370">
            <v>217</v>
          </cell>
          <cell r="DM370">
            <v>220.5</v>
          </cell>
          <cell r="DN370"/>
          <cell r="DO370"/>
          <cell r="DP370"/>
          <cell r="DQ370"/>
          <cell r="DR370"/>
          <cell r="DS370"/>
          <cell r="DT370"/>
          <cell r="DU370">
            <v>176</v>
          </cell>
          <cell r="DV370">
            <v>77</v>
          </cell>
          <cell r="DW370">
            <v>143.5</v>
          </cell>
          <cell r="DX370">
            <v>207.9</v>
          </cell>
          <cell r="DY370">
            <v>213.5</v>
          </cell>
          <cell r="DZ370"/>
          <cell r="EA370"/>
          <cell r="EB370"/>
          <cell r="EC370"/>
          <cell r="ED370"/>
          <cell r="EE370"/>
          <cell r="EF370">
            <v>156</v>
          </cell>
          <cell r="EG370"/>
          <cell r="EH370"/>
          <cell r="EI370">
            <v>108.5</v>
          </cell>
          <cell r="EJ370" t="str">
            <v>ACTIVO</v>
          </cell>
          <cell r="EK370" t="str">
            <v>C</v>
          </cell>
          <cell r="EL370" t="str">
            <v/>
          </cell>
          <cell r="EM370">
            <v>191.67272727272729</v>
          </cell>
          <cell r="EN370">
            <v>31.945454545454549</v>
          </cell>
          <cell r="EO370">
            <v>279.26209979983923</v>
          </cell>
          <cell r="EP370">
            <v>164.5</v>
          </cell>
          <cell r="EQ370">
            <v>399501.41</v>
          </cell>
          <cell r="ER370">
            <v>0.85823373173970774</v>
          </cell>
          <cell r="ES370">
            <v>63.890909090909098</v>
          </cell>
        </row>
        <row r="371">
          <cell r="F371">
            <v>405306</v>
          </cell>
          <cell r="G371" t="str">
            <v>RELLENO COCO CREAM BAKELS</v>
          </cell>
          <cell r="H371"/>
          <cell r="I371"/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>
            <v>4.5</v>
          </cell>
          <cell r="AW371">
            <v>27</v>
          </cell>
          <cell r="AX371">
            <v>126</v>
          </cell>
          <cell r="AY371">
            <v>27</v>
          </cell>
          <cell r="AZ371">
            <v>18.5</v>
          </cell>
          <cell r="BA371">
            <v>4</v>
          </cell>
          <cell r="BB371">
            <v>112</v>
          </cell>
          <cell r="BC371"/>
          <cell r="BD371"/>
          <cell r="BE371"/>
          <cell r="BF371">
            <v>117</v>
          </cell>
          <cell r="BG371"/>
          <cell r="BH371">
            <v>4.5</v>
          </cell>
          <cell r="BI371">
            <v>45</v>
          </cell>
          <cell r="BJ371">
            <v>31.5</v>
          </cell>
          <cell r="BK371">
            <v>67.5</v>
          </cell>
          <cell r="BL371">
            <v>144</v>
          </cell>
          <cell r="BM371"/>
          <cell r="BN371">
            <v>126</v>
          </cell>
          <cell r="BO371"/>
          <cell r="BP371">
            <v>99</v>
          </cell>
          <cell r="BQ371">
            <v>27</v>
          </cell>
          <cell r="BR371">
            <v>103.5</v>
          </cell>
          <cell r="BS371"/>
          <cell r="BT371">
            <v>153</v>
          </cell>
          <cell r="BU371">
            <v>121.5</v>
          </cell>
          <cell r="BV371"/>
          <cell r="BW371"/>
          <cell r="BX371">
            <v>175.5</v>
          </cell>
          <cell r="BY371"/>
          <cell r="BZ371"/>
          <cell r="CA371"/>
          <cell r="CB371">
            <v>180</v>
          </cell>
          <cell r="CC371"/>
          <cell r="CD371"/>
          <cell r="CE371"/>
          <cell r="CF371"/>
          <cell r="CG371">
            <v>103.5</v>
          </cell>
          <cell r="CH371"/>
          <cell r="CI371">
            <v>45</v>
          </cell>
          <cell r="CJ371"/>
          <cell r="CK371">
            <v>49.5</v>
          </cell>
          <cell r="CL371">
            <v>36</v>
          </cell>
          <cell r="CM371"/>
          <cell r="CN371">
            <v>40.5</v>
          </cell>
          <cell r="CO371">
            <v>45</v>
          </cell>
          <cell r="CP371">
            <v>135</v>
          </cell>
          <cell r="CQ371"/>
          <cell r="CR371">
            <v>4.5</v>
          </cell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K371"/>
          <cell r="DL371"/>
          <cell r="DM371"/>
          <cell r="DN371"/>
          <cell r="DO371"/>
          <cell r="DP371"/>
          <cell r="DQ371"/>
          <cell r="DR371"/>
          <cell r="DS371"/>
          <cell r="DT371"/>
          <cell r="DU371"/>
          <cell r="DV371"/>
          <cell r="DW371"/>
          <cell r="DX371"/>
          <cell r="DY371"/>
          <cell r="DZ371"/>
          <cell r="EA371"/>
          <cell r="EB371"/>
          <cell r="EC371"/>
          <cell r="ED371"/>
          <cell r="EE371"/>
          <cell r="EF371"/>
          <cell r="EG371"/>
          <cell r="EH371"/>
          <cell r="EI371"/>
          <cell r="EJ371" t="str">
            <v>SIN USO</v>
          </cell>
          <cell r="EK371" t="str">
            <v>C</v>
          </cell>
          <cell r="EL371">
            <v>103.5</v>
          </cell>
          <cell r="EM371">
            <v>0</v>
          </cell>
          <cell r="EN371">
            <v>0</v>
          </cell>
          <cell r="EO371">
            <v>55.47016572640004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</row>
        <row r="372">
          <cell r="F372">
            <v>107172</v>
          </cell>
          <cell r="G372" t="str">
            <v>MERM. MEL DURAZNO ENT. BALDE 5 Kg</v>
          </cell>
          <cell r="H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>
            <v>300</v>
          </cell>
          <cell r="AY372"/>
          <cell r="AZ372"/>
          <cell r="BA372"/>
          <cell r="BB372"/>
          <cell r="BC372"/>
          <cell r="BD372">
            <v>600</v>
          </cell>
          <cell r="BE372"/>
          <cell r="BF372"/>
          <cell r="BG372"/>
          <cell r="BH372"/>
          <cell r="BI372"/>
          <cell r="BJ372">
            <v>565</v>
          </cell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>
            <v>920</v>
          </cell>
          <cell r="BW372">
            <v>405</v>
          </cell>
          <cell r="BX372">
            <v>930</v>
          </cell>
          <cell r="BY372">
            <v>605</v>
          </cell>
          <cell r="BZ372"/>
          <cell r="CA372">
            <v>70</v>
          </cell>
          <cell r="CB372">
            <v>1000</v>
          </cell>
          <cell r="CC372">
            <v>30</v>
          </cell>
          <cell r="CD372">
            <v>1390</v>
          </cell>
          <cell r="CE372"/>
          <cell r="CF372">
            <v>540</v>
          </cell>
          <cell r="CG372"/>
          <cell r="CH372">
            <v>875</v>
          </cell>
          <cell r="CI372">
            <v>1260</v>
          </cell>
          <cell r="CJ372"/>
          <cell r="CK372"/>
          <cell r="CL372">
            <v>1085</v>
          </cell>
          <cell r="CM372"/>
          <cell r="CN372"/>
          <cell r="CO372">
            <v>550</v>
          </cell>
          <cell r="CP372">
            <v>640</v>
          </cell>
          <cell r="CQ372">
            <v>710</v>
          </cell>
          <cell r="CR372">
            <v>640</v>
          </cell>
          <cell r="CS372">
            <v>370</v>
          </cell>
          <cell r="CT372">
            <v>695</v>
          </cell>
          <cell r="CU372"/>
          <cell r="CV372">
            <v>740</v>
          </cell>
          <cell r="CW372"/>
          <cell r="CX372"/>
          <cell r="CY372"/>
          <cell r="CZ372">
            <v>1480</v>
          </cell>
          <cell r="DA372"/>
          <cell r="DB372"/>
          <cell r="DC372"/>
          <cell r="DD372">
            <v>320</v>
          </cell>
          <cell r="DE372"/>
          <cell r="DF372">
            <v>965</v>
          </cell>
          <cell r="DG372"/>
          <cell r="DH372">
            <v>655</v>
          </cell>
          <cell r="DI372"/>
          <cell r="DJ372"/>
          <cell r="DK372"/>
          <cell r="DL372">
            <v>640</v>
          </cell>
          <cell r="DM372"/>
          <cell r="DN372">
            <v>640</v>
          </cell>
          <cell r="DO372">
            <v>640</v>
          </cell>
          <cell r="DP372">
            <v>640</v>
          </cell>
          <cell r="DQ372">
            <v>675</v>
          </cell>
          <cell r="DR372">
            <v>640</v>
          </cell>
          <cell r="DS372"/>
          <cell r="DT372"/>
          <cell r="DU372">
            <v>640</v>
          </cell>
          <cell r="DV372"/>
          <cell r="DW372">
            <v>640</v>
          </cell>
          <cell r="DX372">
            <v>660</v>
          </cell>
          <cell r="DY372"/>
          <cell r="DZ372">
            <v>690</v>
          </cell>
          <cell r="EA372"/>
          <cell r="EB372"/>
          <cell r="EC372">
            <v>660</v>
          </cell>
          <cell r="ED372">
            <v>640</v>
          </cell>
          <cell r="EE372"/>
          <cell r="EF372">
            <v>970</v>
          </cell>
          <cell r="EG372">
            <v>240</v>
          </cell>
          <cell r="EH372">
            <v>640</v>
          </cell>
          <cell r="EI372">
            <v>800</v>
          </cell>
          <cell r="EJ372" t="str">
            <v>ACTIVO</v>
          </cell>
          <cell r="EK372" t="str">
            <v>B</v>
          </cell>
          <cell r="EL372">
            <v>600</v>
          </cell>
          <cell r="EM372">
            <v>643.92857142857144</v>
          </cell>
          <cell r="EN372">
            <v>107.32142857142857</v>
          </cell>
          <cell r="EO372">
            <v>366.76217464949031</v>
          </cell>
          <cell r="EP372">
            <v>825</v>
          </cell>
          <cell r="EQ372">
            <v>1665048</v>
          </cell>
          <cell r="ER372">
            <v>1.281198003327787</v>
          </cell>
          <cell r="ES372">
            <v>214.64285714285714</v>
          </cell>
        </row>
        <row r="373">
          <cell r="F373">
            <v>405447</v>
          </cell>
          <cell r="G373" t="str">
            <v>MERM. LAMARKA MARACUYA BALDE 5 Kg</v>
          </cell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>
            <v>20</v>
          </cell>
          <cell r="BB373">
            <v>40</v>
          </cell>
          <cell r="BC373">
            <v>25</v>
          </cell>
          <cell r="BD373">
            <v>75</v>
          </cell>
          <cell r="BE373">
            <v>50</v>
          </cell>
          <cell r="BF373">
            <v>35</v>
          </cell>
          <cell r="BG373"/>
          <cell r="BH373">
            <v>10</v>
          </cell>
          <cell r="BI373">
            <v>50</v>
          </cell>
          <cell r="BJ373">
            <v>34.5</v>
          </cell>
          <cell r="BK373">
            <v>85</v>
          </cell>
          <cell r="BL373">
            <v>70</v>
          </cell>
          <cell r="BM373">
            <v>50</v>
          </cell>
          <cell r="BN373">
            <v>30</v>
          </cell>
          <cell r="BO373">
            <v>30</v>
          </cell>
          <cell r="BP373">
            <v>35</v>
          </cell>
          <cell r="BQ373">
            <v>30</v>
          </cell>
          <cell r="BR373">
            <v>50</v>
          </cell>
          <cell r="BS373">
            <v>30</v>
          </cell>
          <cell r="BT373">
            <v>30</v>
          </cell>
          <cell r="BU373">
            <v>30</v>
          </cell>
          <cell r="BV373">
            <v>40</v>
          </cell>
          <cell r="BW373">
            <v>50</v>
          </cell>
          <cell r="BX373">
            <v>30</v>
          </cell>
          <cell r="BY373">
            <v>30</v>
          </cell>
          <cell r="BZ373">
            <v>5</v>
          </cell>
          <cell r="CA373">
            <v>40</v>
          </cell>
          <cell r="CB373">
            <v>30</v>
          </cell>
          <cell r="CC373">
            <v>30</v>
          </cell>
          <cell r="CD373">
            <v>35</v>
          </cell>
          <cell r="CE373">
            <v>25</v>
          </cell>
          <cell r="CF373">
            <v>30</v>
          </cell>
          <cell r="CG373">
            <v>30</v>
          </cell>
          <cell r="CH373">
            <v>30</v>
          </cell>
          <cell r="CI373">
            <v>40</v>
          </cell>
          <cell r="CJ373">
            <v>50</v>
          </cell>
          <cell r="CK373">
            <v>35</v>
          </cell>
          <cell r="CL373">
            <v>30</v>
          </cell>
          <cell r="CM373">
            <v>30</v>
          </cell>
          <cell r="CN373">
            <v>30</v>
          </cell>
          <cell r="CO373">
            <v>30</v>
          </cell>
          <cell r="CP373">
            <v>30</v>
          </cell>
          <cell r="CQ373">
            <v>30</v>
          </cell>
          <cell r="CR373">
            <v>30</v>
          </cell>
          <cell r="CS373">
            <v>10</v>
          </cell>
          <cell r="CT373">
            <v>20</v>
          </cell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K373"/>
          <cell r="DL373"/>
          <cell r="DM373"/>
          <cell r="DN373"/>
          <cell r="DO373"/>
          <cell r="DP373"/>
          <cell r="DQ373"/>
          <cell r="DR373"/>
          <cell r="DS373"/>
          <cell r="DT373"/>
          <cell r="DU373"/>
          <cell r="DV373"/>
          <cell r="DW373"/>
          <cell r="DX373"/>
          <cell r="DY373"/>
          <cell r="DZ373"/>
          <cell r="EA373"/>
          <cell r="EB373"/>
          <cell r="EC373"/>
          <cell r="ED373"/>
          <cell r="EE373"/>
          <cell r="EF373"/>
          <cell r="EG373"/>
          <cell r="EH373"/>
          <cell r="EI373"/>
          <cell r="EJ373" t="str">
            <v>ACTIVO</v>
          </cell>
          <cell r="EK373" t="str">
            <v>C</v>
          </cell>
          <cell r="EL373">
            <v>540</v>
          </cell>
          <cell r="EM373">
            <v>0</v>
          </cell>
          <cell r="EN373">
            <v>0</v>
          </cell>
          <cell r="EO373">
            <v>14.397000268602591</v>
          </cell>
          <cell r="EP373">
            <v>504</v>
          </cell>
          <cell r="EQ373">
            <v>1475777.52</v>
          </cell>
          <cell r="ER373">
            <v>0</v>
          </cell>
          <cell r="ES373">
            <v>0</v>
          </cell>
        </row>
        <row r="374">
          <cell r="F374">
            <v>107263</v>
          </cell>
          <cell r="G374" t="str">
            <v>RELLENO SABOR VAINILLA PURATOS</v>
          </cell>
          <cell r="H374">
            <v>198</v>
          </cell>
          <cell r="I374"/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>
            <v>99</v>
          </cell>
          <cell r="BE374"/>
          <cell r="BF374">
            <v>288</v>
          </cell>
          <cell r="BG374"/>
          <cell r="BH374"/>
          <cell r="BI374"/>
          <cell r="BJ374"/>
          <cell r="BK374"/>
          <cell r="BL374"/>
          <cell r="BM374">
            <v>90</v>
          </cell>
          <cell r="BN374">
            <v>328.5</v>
          </cell>
          <cell r="BO374">
            <v>198</v>
          </cell>
          <cell r="BP374"/>
          <cell r="BQ374"/>
          <cell r="BR374"/>
          <cell r="BS374"/>
          <cell r="BT374">
            <v>90</v>
          </cell>
          <cell r="BU374">
            <v>90</v>
          </cell>
          <cell r="BV374">
            <v>90</v>
          </cell>
          <cell r="BW374">
            <v>279</v>
          </cell>
          <cell r="BX374"/>
          <cell r="BY374"/>
          <cell r="BZ374"/>
          <cell r="CA374"/>
          <cell r="CB374"/>
          <cell r="CC374"/>
          <cell r="CD374">
            <v>310</v>
          </cell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K374"/>
          <cell r="DL374"/>
          <cell r="DM374"/>
          <cell r="DN374"/>
          <cell r="DO374"/>
          <cell r="DP374"/>
          <cell r="DQ374"/>
          <cell r="DR374"/>
          <cell r="DS374"/>
          <cell r="DT374"/>
          <cell r="DU374"/>
          <cell r="DV374"/>
          <cell r="DW374"/>
          <cell r="DX374"/>
          <cell r="DY374"/>
          <cell r="DZ374"/>
          <cell r="EA374"/>
          <cell r="EB374"/>
          <cell r="EC374"/>
          <cell r="ED374"/>
          <cell r="EE374"/>
          <cell r="EF374"/>
          <cell r="EG374"/>
          <cell r="EH374"/>
          <cell r="EI374"/>
          <cell r="EJ374" t="str">
            <v>SIN USO</v>
          </cell>
          <cell r="EK374" t="str">
            <v>C</v>
          </cell>
          <cell r="EL374" t="str">
            <v/>
          </cell>
          <cell r="EM374">
            <v>0</v>
          </cell>
          <cell r="EN374">
            <v>0</v>
          </cell>
          <cell r="EO374">
            <v>107.78266409108392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</row>
        <row r="375">
          <cell r="F375">
            <v>107155</v>
          </cell>
          <cell r="G375" t="str">
            <v>MER. EBEL PIÑA BALDE 5 Kg</v>
          </cell>
          <cell r="H375"/>
          <cell r="I375"/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>
            <v>80</v>
          </cell>
          <cell r="BL375"/>
          <cell r="BM375"/>
          <cell r="BN375"/>
          <cell r="BO375"/>
          <cell r="BP375">
            <v>5</v>
          </cell>
          <cell r="BQ375">
            <v>10</v>
          </cell>
          <cell r="BR375"/>
          <cell r="BS375"/>
          <cell r="BT375">
            <v>50</v>
          </cell>
          <cell r="BU375">
            <v>15</v>
          </cell>
          <cell r="BV375"/>
          <cell r="BW375">
            <v>5</v>
          </cell>
          <cell r="BX375">
            <v>75</v>
          </cell>
          <cell r="BY375"/>
          <cell r="BZ375">
            <v>10</v>
          </cell>
          <cell r="CA375"/>
          <cell r="CB375">
            <v>50</v>
          </cell>
          <cell r="CC375"/>
          <cell r="CD375"/>
          <cell r="CE375">
            <v>10</v>
          </cell>
          <cell r="CF375"/>
          <cell r="CG375">
            <v>420</v>
          </cell>
          <cell r="CH375"/>
          <cell r="CI375">
            <v>20</v>
          </cell>
          <cell r="CJ375">
            <v>470</v>
          </cell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K375"/>
          <cell r="DL375"/>
          <cell r="DM375"/>
          <cell r="DN375"/>
          <cell r="DO375"/>
          <cell r="DP375"/>
          <cell r="DQ375"/>
          <cell r="DR375"/>
          <cell r="DS375"/>
          <cell r="DT375"/>
          <cell r="DU375"/>
          <cell r="DV375"/>
          <cell r="DW375"/>
          <cell r="DX375"/>
          <cell r="DY375"/>
          <cell r="DZ375"/>
          <cell r="EA375"/>
          <cell r="EB375"/>
          <cell r="EC375"/>
          <cell r="ED375"/>
          <cell r="EE375"/>
          <cell r="EF375"/>
          <cell r="EG375"/>
          <cell r="EH375"/>
          <cell r="EI375"/>
          <cell r="EJ375" t="str">
            <v>SIN USO</v>
          </cell>
          <cell r="EK375" t="str">
            <v>C</v>
          </cell>
          <cell r="EL375">
            <v>600</v>
          </cell>
          <cell r="EM375">
            <v>0</v>
          </cell>
          <cell r="EN375">
            <v>0</v>
          </cell>
          <cell r="EO375">
            <v>158.32658555121969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</row>
        <row r="376">
          <cell r="F376">
            <v>107320</v>
          </cell>
          <cell r="G376" t="str">
            <v>COLDFIL PIE DE LIMÓN</v>
          </cell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>
            <v>0</v>
          </cell>
          <cell r="DG376"/>
          <cell r="DH376"/>
          <cell r="DI376"/>
          <cell r="DJ376"/>
          <cell r="DK376">
            <v>211.5</v>
          </cell>
          <cell r="DL376">
            <v>40.5</v>
          </cell>
          <cell r="DM376">
            <v>225</v>
          </cell>
          <cell r="DN376"/>
          <cell r="DO376">
            <v>94.5</v>
          </cell>
          <cell r="DP376"/>
          <cell r="DQ376"/>
          <cell r="DR376"/>
          <cell r="DS376">
            <v>283.5</v>
          </cell>
          <cell r="DT376"/>
          <cell r="DU376">
            <v>81</v>
          </cell>
          <cell r="DV376"/>
          <cell r="DW376">
            <v>234</v>
          </cell>
          <cell r="DX376">
            <v>184.5</v>
          </cell>
          <cell r="DY376">
            <v>162</v>
          </cell>
          <cell r="DZ376"/>
          <cell r="EA376"/>
          <cell r="EB376"/>
          <cell r="EC376">
            <v>540</v>
          </cell>
          <cell r="ED376"/>
          <cell r="EE376"/>
          <cell r="EF376"/>
          <cell r="EG376"/>
          <cell r="EH376"/>
          <cell r="EI376"/>
          <cell r="EJ376" t="str">
            <v>ACTIVO</v>
          </cell>
          <cell r="EK376" t="str">
            <v>C</v>
          </cell>
          <cell r="EL376" t="str">
            <v/>
          </cell>
          <cell r="EM376">
            <v>205.65</v>
          </cell>
          <cell r="EN376">
            <v>34.274999999999999</v>
          </cell>
          <cell r="EO376">
            <v>0</v>
          </cell>
          <cell r="EP376">
            <v>436.5</v>
          </cell>
          <cell r="EQ376">
            <v>1362753</v>
          </cell>
          <cell r="ER376">
            <v>2.1225382932166301</v>
          </cell>
          <cell r="ES376">
            <v>102.82499999999999</v>
          </cell>
        </row>
        <row r="377">
          <cell r="F377">
            <v>107246</v>
          </cell>
          <cell r="G377" t="str">
            <v>SALSA DE FRAMBUESA MEL</v>
          </cell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>
            <v>0</v>
          </cell>
          <cell r="DG377"/>
          <cell r="DH377"/>
          <cell r="DI377"/>
          <cell r="DJ377"/>
          <cell r="DK377"/>
          <cell r="DL377"/>
          <cell r="DM377"/>
          <cell r="DN377"/>
          <cell r="DO377"/>
          <cell r="DP377"/>
          <cell r="DQ377"/>
          <cell r="DR377">
            <v>20</v>
          </cell>
          <cell r="DS377">
            <v>40</v>
          </cell>
          <cell r="DT377">
            <v>55</v>
          </cell>
          <cell r="DU377">
            <v>45</v>
          </cell>
          <cell r="DV377">
            <v>45</v>
          </cell>
          <cell r="DW377">
            <v>45</v>
          </cell>
          <cell r="DX377">
            <v>45</v>
          </cell>
          <cell r="DY377">
            <v>85</v>
          </cell>
          <cell r="DZ377">
            <v>70</v>
          </cell>
          <cell r="EA377">
            <v>105</v>
          </cell>
          <cell r="EB377">
            <v>50</v>
          </cell>
          <cell r="EC377">
            <v>35</v>
          </cell>
          <cell r="ED377">
            <v>45</v>
          </cell>
          <cell r="EE377">
            <v>50</v>
          </cell>
          <cell r="EF377">
            <v>45</v>
          </cell>
          <cell r="EG377">
            <v>80</v>
          </cell>
          <cell r="EH377">
            <v>50</v>
          </cell>
          <cell r="EI377">
            <v>40</v>
          </cell>
          <cell r="EJ377" t="str">
            <v>ACTIVO</v>
          </cell>
          <cell r="EK377" t="str">
            <v>C</v>
          </cell>
          <cell r="EL377" t="str">
            <v/>
          </cell>
          <cell r="EM377">
            <v>53.75</v>
          </cell>
          <cell r="EN377">
            <v>8.9583333333333339</v>
          </cell>
          <cell r="EO377">
            <v>0</v>
          </cell>
          <cell r="EP377">
            <v>195</v>
          </cell>
          <cell r="EQ377">
            <v>845131.95</v>
          </cell>
          <cell r="ER377">
            <v>3.6279069767441858</v>
          </cell>
          <cell r="ES377">
            <v>17.916666666666668</v>
          </cell>
        </row>
        <row r="378">
          <cell r="F378"/>
          <cell r="G378"/>
          <cell r="H378">
            <v>8969</v>
          </cell>
          <cell r="I378">
            <v>8020.5</v>
          </cell>
          <cell r="J378">
            <v>7399.5</v>
          </cell>
          <cell r="K378">
            <v>7428</v>
          </cell>
          <cell r="L378">
            <v>7895</v>
          </cell>
          <cell r="M378">
            <v>8658.5</v>
          </cell>
          <cell r="N378">
            <v>7613</v>
          </cell>
          <cell r="O378">
            <v>7291.5</v>
          </cell>
          <cell r="P378">
            <v>6712</v>
          </cell>
          <cell r="Q378">
            <v>7482.5</v>
          </cell>
          <cell r="R378">
            <v>8515.5</v>
          </cell>
          <cell r="S378">
            <v>5550</v>
          </cell>
          <cell r="T378">
            <v>6206</v>
          </cell>
          <cell r="U378">
            <v>8556</v>
          </cell>
          <cell r="V378">
            <v>9606</v>
          </cell>
          <cell r="W378">
            <v>7833</v>
          </cell>
          <cell r="X378">
            <v>9482</v>
          </cell>
          <cell r="Y378">
            <v>8809.5</v>
          </cell>
          <cell r="Z378">
            <v>9886</v>
          </cell>
          <cell r="AA378">
            <v>8276</v>
          </cell>
          <cell r="AB378">
            <v>9704.5</v>
          </cell>
          <cell r="AC378">
            <v>10505.5</v>
          </cell>
          <cell r="AD378">
            <v>15230.5</v>
          </cell>
          <cell r="AE378">
            <v>15654.5</v>
          </cell>
          <cell r="AF378">
            <v>10375.5</v>
          </cell>
          <cell r="AG378">
            <v>12802</v>
          </cell>
          <cell r="AH378">
            <v>10613.5</v>
          </cell>
          <cell r="AI378">
            <v>11579.5</v>
          </cell>
          <cell r="AJ378">
            <v>14406</v>
          </cell>
          <cell r="AK378">
            <v>13441.5</v>
          </cell>
          <cell r="AL378">
            <v>11406.33</v>
          </cell>
          <cell r="AM378">
            <v>12414</v>
          </cell>
          <cell r="AN378">
            <v>11309.5</v>
          </cell>
          <cell r="AO378">
            <v>11040.5</v>
          </cell>
          <cell r="AP378">
            <v>10963.5</v>
          </cell>
          <cell r="AQ378">
            <v>11588.5</v>
          </cell>
          <cell r="AR378">
            <v>11829</v>
          </cell>
          <cell r="AS378">
            <v>4899</v>
          </cell>
          <cell r="AT378">
            <v>11405.5</v>
          </cell>
          <cell r="AU378">
            <v>11133.76</v>
          </cell>
          <cell r="AV378">
            <v>11101.5</v>
          </cell>
          <cell r="AW378">
            <v>8802.5</v>
          </cell>
          <cell r="AX378">
            <v>15797</v>
          </cell>
          <cell r="AY378">
            <v>9858.2000000000007</v>
          </cell>
          <cell r="AZ378">
            <v>12162</v>
          </cell>
          <cell r="BA378">
            <v>14704</v>
          </cell>
          <cell r="BB378">
            <v>11759.5</v>
          </cell>
          <cell r="BC378">
            <v>14216.5</v>
          </cell>
          <cell r="BD378">
            <v>11567.5</v>
          </cell>
          <cell r="BE378">
            <v>12958.2</v>
          </cell>
          <cell r="BF378">
            <v>13864.5</v>
          </cell>
          <cell r="BG378">
            <v>10113</v>
          </cell>
          <cell r="BH378">
            <v>4848</v>
          </cell>
          <cell r="BI378">
            <v>13093.5</v>
          </cell>
          <cell r="BJ378">
            <v>11715</v>
          </cell>
          <cell r="BK378">
            <v>12020</v>
          </cell>
          <cell r="BL378">
            <v>13820.5</v>
          </cell>
          <cell r="BM378">
            <v>12167.5</v>
          </cell>
          <cell r="BN378">
            <v>12963</v>
          </cell>
          <cell r="BO378">
            <v>14006.5</v>
          </cell>
          <cell r="BP378">
            <v>9927</v>
          </cell>
          <cell r="BQ378">
            <v>13771</v>
          </cell>
          <cell r="BR378">
            <v>14344</v>
          </cell>
          <cell r="BS378">
            <v>13361.5</v>
          </cell>
          <cell r="BT378">
            <v>13195</v>
          </cell>
          <cell r="BU378">
            <v>13645.5</v>
          </cell>
          <cell r="BV378">
            <v>12692.3</v>
          </cell>
          <cell r="BW378">
            <v>14487</v>
          </cell>
          <cell r="BX378">
            <v>13370</v>
          </cell>
          <cell r="BY378">
            <v>14598</v>
          </cell>
          <cell r="BZ378">
            <v>12667</v>
          </cell>
          <cell r="CA378">
            <v>12417.5</v>
          </cell>
          <cell r="CB378">
            <v>13929.5</v>
          </cell>
          <cell r="CC378">
            <v>13796.5</v>
          </cell>
          <cell r="CD378">
            <v>12690.5</v>
          </cell>
          <cell r="CE378">
            <v>15211</v>
          </cell>
          <cell r="CF378">
            <v>12065.5</v>
          </cell>
          <cell r="CG378">
            <v>13941.5</v>
          </cell>
          <cell r="CH378">
            <v>12423.5</v>
          </cell>
          <cell r="CI378">
            <v>12398</v>
          </cell>
          <cell r="CJ378">
            <v>13223.5</v>
          </cell>
          <cell r="CK378">
            <v>11989</v>
          </cell>
          <cell r="CL378">
            <v>12558.5</v>
          </cell>
          <cell r="CM378">
            <v>10346</v>
          </cell>
          <cell r="CN378">
            <v>13127</v>
          </cell>
          <cell r="CO378">
            <v>13233</v>
          </cell>
          <cell r="CP378">
            <v>16737</v>
          </cell>
          <cell r="CQ378">
            <v>13869.500000000002</v>
          </cell>
          <cell r="CR378">
            <v>14727</v>
          </cell>
          <cell r="CS378">
            <v>6922</v>
          </cell>
          <cell r="CT378">
            <v>13135.9</v>
          </cell>
          <cell r="CU378">
            <v>13221</v>
          </cell>
          <cell r="CV378">
            <v>13904.5</v>
          </cell>
          <cell r="CW378">
            <v>13432</v>
          </cell>
          <cell r="CX378">
            <v>13533</v>
          </cell>
          <cell r="CY378">
            <v>10925.5</v>
          </cell>
          <cell r="CZ378">
            <v>13291.5</v>
          </cell>
          <cell r="DA378">
            <v>11952.5</v>
          </cell>
          <cell r="DB378">
            <v>19499</v>
          </cell>
          <cell r="DC378">
            <v>11387.5</v>
          </cell>
          <cell r="DD378">
            <v>11011.5</v>
          </cell>
          <cell r="DE378">
            <v>9843.7000000000007</v>
          </cell>
          <cell r="DF378">
            <v>14728.5</v>
          </cell>
          <cell r="DG378">
            <v>10047.5</v>
          </cell>
          <cell r="DH378">
            <v>6560</v>
          </cell>
          <cell r="DI378">
            <v>2657.5</v>
          </cell>
          <cell r="DJ378">
            <v>12107.5</v>
          </cell>
          <cell r="DK378">
            <v>13450.5</v>
          </cell>
          <cell r="DL378">
            <v>14005.83</v>
          </cell>
          <cell r="DM378">
            <v>12708</v>
          </cell>
          <cell r="DN378">
            <v>12327</v>
          </cell>
          <cell r="DO378">
            <v>13440.5</v>
          </cell>
          <cell r="DP378">
            <v>11077.5</v>
          </cell>
          <cell r="DQ378">
            <v>10561.2</v>
          </cell>
          <cell r="DR378">
            <v>12693</v>
          </cell>
          <cell r="DS378">
            <v>11265.5</v>
          </cell>
          <cell r="DT378">
            <v>11866</v>
          </cell>
          <cell r="DU378">
            <v>14173</v>
          </cell>
          <cell r="DV378">
            <v>12059</v>
          </cell>
          <cell r="DW378">
            <v>13798</v>
          </cell>
          <cell r="DX378">
            <v>16207.4</v>
          </cell>
          <cell r="DY378">
            <v>19142</v>
          </cell>
          <cell r="DZ378">
            <v>16985</v>
          </cell>
          <cell r="EA378">
            <v>12353.4</v>
          </cell>
          <cell r="EB378">
            <v>15587</v>
          </cell>
          <cell r="EC378">
            <v>15219.5</v>
          </cell>
          <cell r="ED378">
            <v>13512</v>
          </cell>
          <cell r="EE378">
            <v>13694</v>
          </cell>
          <cell r="EF378">
            <v>15102</v>
          </cell>
          <cell r="EG378">
            <v>16759.5</v>
          </cell>
          <cell r="EH378">
            <v>14943</v>
          </cell>
          <cell r="EI378">
            <v>9948</v>
          </cell>
          <cell r="EJ378" t="str">
            <v>ACTIVO</v>
          </cell>
          <cell r="EK378" t="str">
            <v/>
          </cell>
          <cell r="EL378"/>
          <cell r="EM378">
            <v>13310.073199999999</v>
          </cell>
          <cell r="EN378">
            <v>2218.3455333333332</v>
          </cell>
          <cell r="EO378">
            <v>2300.0895160894788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</row>
        <row r="379">
          <cell r="F379">
            <v>100302</v>
          </cell>
          <cell r="G379" t="str">
            <v>JARABE REMOJO SISA DIWATTS</v>
          </cell>
          <cell r="H379">
            <v>250</v>
          </cell>
          <cell r="I379"/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  <cell r="T379">
            <v>310</v>
          </cell>
          <cell r="U379">
            <v>941</v>
          </cell>
          <cell r="V379">
            <v>1465</v>
          </cell>
          <cell r="W379">
            <v>425</v>
          </cell>
          <cell r="X379">
            <v>1040</v>
          </cell>
          <cell r="Y379">
            <v>2365</v>
          </cell>
          <cell r="Z379">
            <v>826.000001</v>
          </cell>
          <cell r="AA379">
            <v>1085</v>
          </cell>
          <cell r="AB379">
            <v>1150</v>
          </cell>
          <cell r="AC379"/>
          <cell r="AD379">
            <v>2019</v>
          </cell>
          <cell r="AE379">
            <v>936</v>
          </cell>
          <cell r="AF379">
            <v>735</v>
          </cell>
          <cell r="AG379">
            <v>1189</v>
          </cell>
          <cell r="AH379">
            <v>1025</v>
          </cell>
          <cell r="AI379">
            <v>245</v>
          </cell>
          <cell r="AJ379">
            <v>350</v>
          </cell>
          <cell r="AK379">
            <v>1720</v>
          </cell>
          <cell r="AL379">
            <v>2222</v>
          </cell>
          <cell r="AM379">
            <v>1300</v>
          </cell>
          <cell r="AN379">
            <v>585</v>
          </cell>
          <cell r="AO379">
            <v>845</v>
          </cell>
          <cell r="AP379">
            <v>4460</v>
          </cell>
          <cell r="AQ379">
            <v>1630</v>
          </cell>
          <cell r="AR379">
            <v>1505</v>
          </cell>
          <cell r="AS379">
            <v>985</v>
          </cell>
          <cell r="AT379">
            <v>1065</v>
          </cell>
          <cell r="AU379">
            <v>1215</v>
          </cell>
          <cell r="AV379">
            <v>1055</v>
          </cell>
          <cell r="AW379">
            <v>1010</v>
          </cell>
          <cell r="AX379">
            <v>1255</v>
          </cell>
          <cell r="AY379">
            <v>975</v>
          </cell>
          <cell r="AZ379">
            <v>825</v>
          </cell>
          <cell r="BA379">
            <v>1125</v>
          </cell>
          <cell r="BB379">
            <v>990</v>
          </cell>
          <cell r="BC379">
            <v>1005</v>
          </cell>
          <cell r="BD379">
            <v>950</v>
          </cell>
          <cell r="BE379">
            <v>885</v>
          </cell>
          <cell r="BF379">
            <v>1430</v>
          </cell>
          <cell r="BG379">
            <v>1355</v>
          </cell>
          <cell r="BH379">
            <v>575</v>
          </cell>
          <cell r="BI379">
            <v>990</v>
          </cell>
          <cell r="BJ379">
            <v>820</v>
          </cell>
          <cell r="BK379">
            <v>1100</v>
          </cell>
          <cell r="BL379">
            <v>1050</v>
          </cell>
          <cell r="BM379">
            <v>1065</v>
          </cell>
          <cell r="BN379">
            <v>1155</v>
          </cell>
          <cell r="BO379">
            <v>1240</v>
          </cell>
          <cell r="BP379">
            <v>1035</v>
          </cell>
          <cell r="BQ379">
            <v>1095</v>
          </cell>
          <cell r="BR379">
            <v>910</v>
          </cell>
          <cell r="BS379">
            <v>980</v>
          </cell>
          <cell r="BT379">
            <v>765</v>
          </cell>
          <cell r="BU379">
            <v>938</v>
          </cell>
          <cell r="BV379">
            <v>730</v>
          </cell>
          <cell r="BW379">
            <v>1195</v>
          </cell>
          <cell r="BX379">
            <v>1100</v>
          </cell>
          <cell r="BY379">
            <v>1535</v>
          </cell>
          <cell r="BZ379">
            <v>1525</v>
          </cell>
          <cell r="CA379">
            <v>1260</v>
          </cell>
          <cell r="CB379">
            <v>830</v>
          </cell>
          <cell r="CC379">
            <v>775</v>
          </cell>
          <cell r="CD379">
            <v>1070</v>
          </cell>
          <cell r="CE379">
            <v>1770</v>
          </cell>
          <cell r="CF379">
            <v>1080</v>
          </cell>
          <cell r="CG379">
            <v>770</v>
          </cell>
          <cell r="CH379">
            <v>1235</v>
          </cell>
          <cell r="CI379">
            <v>830</v>
          </cell>
          <cell r="CJ379">
            <v>775</v>
          </cell>
          <cell r="CK379">
            <v>945</v>
          </cell>
          <cell r="CL379">
            <v>805</v>
          </cell>
          <cell r="CM379">
            <v>1455</v>
          </cell>
          <cell r="CN379">
            <v>1300</v>
          </cell>
          <cell r="CO379">
            <v>1165</v>
          </cell>
          <cell r="CP379">
            <v>1070</v>
          </cell>
          <cell r="CQ379">
            <v>1075</v>
          </cell>
          <cell r="CR379">
            <v>160</v>
          </cell>
          <cell r="CS379"/>
          <cell r="CT379">
            <v>30</v>
          </cell>
          <cell r="CU379">
            <v>3390</v>
          </cell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K379"/>
          <cell r="DL379"/>
          <cell r="DM379"/>
          <cell r="DN379"/>
          <cell r="DO379"/>
          <cell r="DP379"/>
          <cell r="DQ379"/>
          <cell r="DR379"/>
          <cell r="DS379"/>
          <cell r="DT379"/>
          <cell r="DU379"/>
          <cell r="DV379"/>
          <cell r="DW379"/>
          <cell r="DX379"/>
          <cell r="DY379"/>
          <cell r="DZ379"/>
          <cell r="EA379"/>
          <cell r="EB379"/>
          <cell r="EC379"/>
          <cell r="ED379"/>
          <cell r="EE379"/>
          <cell r="EF379"/>
          <cell r="EG379"/>
          <cell r="EH379"/>
          <cell r="EI379"/>
          <cell r="EJ379" t="str">
            <v>SIN USO</v>
          </cell>
          <cell r="EK379" t="str">
            <v>B</v>
          </cell>
          <cell r="EL379">
            <v>720</v>
          </cell>
          <cell r="EM379">
            <v>0</v>
          </cell>
          <cell r="EN379">
            <v>0</v>
          </cell>
          <cell r="EO379">
            <v>501.91915221241044</v>
          </cell>
          <cell r="EP379">
            <v>0</v>
          </cell>
          <cell r="EQ379">
            <v>0</v>
          </cell>
          <cell r="ER379">
            <v>0</v>
          </cell>
          <cell r="ES379">
            <v>0</v>
          </cell>
        </row>
        <row r="380">
          <cell r="F380">
            <v>501147</v>
          </cell>
          <cell r="G380" t="str">
            <v>JARABE DE REMOJO 35° BIDON</v>
          </cell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>
            <v>800</v>
          </cell>
          <cell r="X380"/>
          <cell r="Y380"/>
          <cell r="Z380"/>
          <cell r="AA380"/>
          <cell r="AB380"/>
          <cell r="AC380">
            <v>1155</v>
          </cell>
          <cell r="AD380">
            <v>481</v>
          </cell>
          <cell r="AE380">
            <v>49</v>
          </cell>
          <cell r="AF380">
            <v>470</v>
          </cell>
          <cell r="AG380">
            <v>81</v>
          </cell>
          <cell r="AH380">
            <v>315</v>
          </cell>
          <cell r="AI380">
            <v>1280</v>
          </cell>
          <cell r="AJ380">
            <v>965</v>
          </cell>
          <cell r="AK380"/>
          <cell r="AL380"/>
          <cell r="AM380"/>
          <cell r="AN380">
            <v>580</v>
          </cell>
          <cell r="AO380">
            <v>135</v>
          </cell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K380"/>
          <cell r="DL380"/>
          <cell r="DM380"/>
          <cell r="DN380"/>
          <cell r="DO380"/>
          <cell r="DP380"/>
          <cell r="DQ380"/>
          <cell r="DR380"/>
          <cell r="DS380"/>
          <cell r="DT380"/>
          <cell r="DU380"/>
          <cell r="DV380"/>
          <cell r="DW380"/>
          <cell r="DX380"/>
          <cell r="DY380"/>
          <cell r="DZ380"/>
          <cell r="EA380"/>
          <cell r="EB380"/>
          <cell r="EC380"/>
          <cell r="ED380"/>
          <cell r="EE380"/>
          <cell r="EF380"/>
          <cell r="EG380"/>
          <cell r="EH380"/>
          <cell r="EI380"/>
          <cell r="EJ380" t="str">
            <v>SIN USO</v>
          </cell>
          <cell r="EK380" t="str">
            <v/>
          </cell>
          <cell r="EL380" t="str">
            <v/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</row>
        <row r="381">
          <cell r="F381">
            <v>100304</v>
          </cell>
          <cell r="G381" t="str">
            <v>JARABE 3 LECHES DIWATTS</v>
          </cell>
          <cell r="H381"/>
          <cell r="I381"/>
          <cell r="J381">
            <v>390</v>
          </cell>
          <cell r="K381">
            <v>2183</v>
          </cell>
          <cell r="L381">
            <v>336</v>
          </cell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>
            <v>1970</v>
          </cell>
          <cell r="BE381">
            <v>838</v>
          </cell>
          <cell r="BF381"/>
          <cell r="BG381">
            <v>794</v>
          </cell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>
            <v>168</v>
          </cell>
          <cell r="BX381"/>
          <cell r="BY381">
            <v>530</v>
          </cell>
          <cell r="BZ381">
            <v>30.5</v>
          </cell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K381"/>
          <cell r="DL381"/>
          <cell r="DM381"/>
          <cell r="DN381"/>
          <cell r="DO381"/>
          <cell r="DP381"/>
          <cell r="DQ381"/>
          <cell r="DR381"/>
          <cell r="DS381"/>
          <cell r="DT381"/>
          <cell r="DU381"/>
          <cell r="DV381"/>
          <cell r="DW381"/>
          <cell r="DX381"/>
          <cell r="DY381"/>
          <cell r="DZ381"/>
          <cell r="EA381"/>
          <cell r="EB381"/>
          <cell r="EC381"/>
          <cell r="ED381"/>
          <cell r="EE381"/>
          <cell r="EF381"/>
          <cell r="EG381"/>
          <cell r="EH381"/>
          <cell r="EI381"/>
          <cell r="EJ381" t="str">
            <v>SIN USO</v>
          </cell>
          <cell r="EK381" t="str">
            <v>C</v>
          </cell>
          <cell r="EL381" t="str">
            <v/>
          </cell>
          <cell r="EM381">
            <v>0</v>
          </cell>
          <cell r="EN381">
            <v>0</v>
          </cell>
          <cell r="EO381">
            <v>258.02147843412831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</row>
        <row r="382">
          <cell r="F382">
            <v>107259</v>
          </cell>
          <cell r="G382" t="str">
            <v>JARABE 3 LECHES SCHOLLE 10LT DIWATTS</v>
          </cell>
          <cell r="H382">
            <v>2990</v>
          </cell>
          <cell r="I382">
            <v>2950</v>
          </cell>
          <cell r="J382">
            <v>2550</v>
          </cell>
          <cell r="K382">
            <v>357.827316</v>
          </cell>
          <cell r="L382">
            <v>2630</v>
          </cell>
          <cell r="M382">
            <v>3510</v>
          </cell>
          <cell r="N382">
            <v>2650</v>
          </cell>
          <cell r="O382">
            <v>2590</v>
          </cell>
          <cell r="P382">
            <v>2350</v>
          </cell>
          <cell r="Q382">
            <v>2500</v>
          </cell>
          <cell r="R382">
            <v>2940</v>
          </cell>
          <cell r="S382">
            <v>2480</v>
          </cell>
          <cell r="T382">
            <v>2340</v>
          </cell>
          <cell r="U382">
            <v>2580</v>
          </cell>
          <cell r="V382">
            <v>2540</v>
          </cell>
          <cell r="W382">
            <v>2470</v>
          </cell>
          <cell r="X382">
            <v>2520</v>
          </cell>
          <cell r="Y382">
            <v>3380</v>
          </cell>
          <cell r="Z382">
            <v>6480</v>
          </cell>
          <cell r="AA382">
            <v>2420</v>
          </cell>
          <cell r="AB382">
            <v>2570</v>
          </cell>
          <cell r="AC382">
            <v>2450</v>
          </cell>
          <cell r="AD382">
            <v>2470</v>
          </cell>
          <cell r="AE382">
            <v>5070</v>
          </cell>
          <cell r="AF382">
            <v>2560</v>
          </cell>
          <cell r="AG382">
            <v>2770</v>
          </cell>
          <cell r="AH382">
            <v>2750</v>
          </cell>
          <cell r="AI382">
            <v>2930</v>
          </cell>
          <cell r="AJ382">
            <v>3180</v>
          </cell>
          <cell r="AK382">
            <v>2800</v>
          </cell>
          <cell r="AL382">
            <v>2390</v>
          </cell>
          <cell r="AM382">
            <v>4410</v>
          </cell>
          <cell r="AN382">
            <v>2190</v>
          </cell>
          <cell r="AO382">
            <v>2130</v>
          </cell>
          <cell r="AP382">
            <v>2380</v>
          </cell>
          <cell r="AQ382">
            <v>2340</v>
          </cell>
          <cell r="AR382">
            <v>2670</v>
          </cell>
          <cell r="AS382">
            <v>800</v>
          </cell>
          <cell r="AT382">
            <v>2580</v>
          </cell>
          <cell r="AU382">
            <v>2330</v>
          </cell>
          <cell r="AV382">
            <v>2131</v>
          </cell>
          <cell r="AW382">
            <v>2120</v>
          </cell>
          <cell r="AX382">
            <v>2140</v>
          </cell>
          <cell r="AY382">
            <v>2010</v>
          </cell>
          <cell r="AZ382">
            <v>2260</v>
          </cell>
          <cell r="BA382">
            <v>2420</v>
          </cell>
          <cell r="BB382">
            <v>1970</v>
          </cell>
          <cell r="BC382">
            <v>1980</v>
          </cell>
          <cell r="BD382">
            <v>290</v>
          </cell>
          <cell r="BE382">
            <v>1652</v>
          </cell>
          <cell r="BF382">
            <v>3180</v>
          </cell>
          <cell r="BG382">
            <v>3016</v>
          </cell>
          <cell r="BH382">
            <v>1420</v>
          </cell>
          <cell r="BI382">
            <v>2040</v>
          </cell>
          <cell r="BJ382">
            <v>1690</v>
          </cell>
          <cell r="BK382">
            <v>2520</v>
          </cell>
          <cell r="BL382">
            <v>2310</v>
          </cell>
          <cell r="BM382">
            <v>2200</v>
          </cell>
          <cell r="BN382">
            <v>2750</v>
          </cell>
          <cell r="BO382">
            <v>1990</v>
          </cell>
          <cell r="BP382">
            <v>2150</v>
          </cell>
          <cell r="BQ382">
            <v>1950</v>
          </cell>
          <cell r="BR382">
            <v>2360</v>
          </cell>
          <cell r="BS382">
            <v>1920</v>
          </cell>
          <cell r="BT382">
            <v>2060</v>
          </cell>
          <cell r="BU382">
            <v>2120</v>
          </cell>
          <cell r="BV382">
            <v>2050</v>
          </cell>
          <cell r="BW382">
            <v>2092</v>
          </cell>
          <cell r="BX382">
            <v>2170</v>
          </cell>
          <cell r="BY382">
            <v>2740</v>
          </cell>
          <cell r="BZ382">
            <v>4640</v>
          </cell>
          <cell r="CA382">
            <v>2120</v>
          </cell>
          <cell r="CB382">
            <v>2240</v>
          </cell>
          <cell r="CC382">
            <v>2350</v>
          </cell>
          <cell r="CD382">
            <v>2285</v>
          </cell>
          <cell r="CE382">
            <v>3530</v>
          </cell>
          <cell r="CF382">
            <v>1580</v>
          </cell>
          <cell r="CG382">
            <v>1830</v>
          </cell>
          <cell r="CH382">
            <v>1860</v>
          </cell>
          <cell r="CI382">
            <v>2080</v>
          </cell>
          <cell r="CJ382">
            <v>1870</v>
          </cell>
          <cell r="CK382">
            <v>1930</v>
          </cell>
          <cell r="CL382">
            <v>1800</v>
          </cell>
          <cell r="CM382">
            <v>1770</v>
          </cell>
          <cell r="CN382">
            <v>3490</v>
          </cell>
          <cell r="CO382">
            <v>2270</v>
          </cell>
          <cell r="CP382">
            <v>2260</v>
          </cell>
          <cell r="CQ382">
            <v>1850</v>
          </cell>
          <cell r="CR382">
            <v>1950</v>
          </cell>
          <cell r="CS382">
            <v>410</v>
          </cell>
          <cell r="CT382">
            <v>2170</v>
          </cell>
          <cell r="CU382">
            <v>1990</v>
          </cell>
          <cell r="CV382">
            <v>1980</v>
          </cell>
          <cell r="CW382">
            <v>1760</v>
          </cell>
          <cell r="CX382">
            <v>1760</v>
          </cell>
          <cell r="CY382">
            <v>1890</v>
          </cell>
          <cell r="CZ382">
            <v>1680</v>
          </cell>
          <cell r="DA382">
            <v>1800</v>
          </cell>
          <cell r="DB382">
            <v>1410</v>
          </cell>
          <cell r="DC382">
            <v>1720</v>
          </cell>
          <cell r="DD382">
            <v>1380</v>
          </cell>
          <cell r="DE382">
            <v>970</v>
          </cell>
          <cell r="DF382">
            <v>1770</v>
          </cell>
          <cell r="DG382">
            <v>1290</v>
          </cell>
          <cell r="DH382">
            <v>690</v>
          </cell>
          <cell r="DI382">
            <v>430</v>
          </cell>
          <cell r="DJ382">
            <v>1070</v>
          </cell>
          <cell r="DK382">
            <v>990</v>
          </cell>
          <cell r="DL382">
            <v>930</v>
          </cell>
          <cell r="DM382">
            <v>970</v>
          </cell>
          <cell r="DN382">
            <v>930</v>
          </cell>
          <cell r="DO382">
            <v>1590</v>
          </cell>
          <cell r="DP382">
            <v>880</v>
          </cell>
          <cell r="DQ382">
            <v>910</v>
          </cell>
          <cell r="DR382">
            <v>990</v>
          </cell>
          <cell r="DS382">
            <v>1120</v>
          </cell>
          <cell r="DT382">
            <v>990</v>
          </cell>
          <cell r="DU382">
            <v>1050</v>
          </cell>
          <cell r="DV382">
            <v>1050</v>
          </cell>
          <cell r="DW382">
            <v>1020</v>
          </cell>
          <cell r="DX382">
            <v>940</v>
          </cell>
          <cell r="DY382">
            <v>1040</v>
          </cell>
          <cell r="DZ382">
            <v>1360</v>
          </cell>
          <cell r="EA382">
            <v>1980</v>
          </cell>
          <cell r="EB382">
            <v>1180</v>
          </cell>
          <cell r="EC382">
            <v>1180</v>
          </cell>
          <cell r="ED382">
            <v>1161.53</v>
          </cell>
          <cell r="EE382">
            <v>1130</v>
          </cell>
          <cell r="EF382">
            <v>1160</v>
          </cell>
          <cell r="EG382">
            <v>2060</v>
          </cell>
          <cell r="EH382">
            <v>1130</v>
          </cell>
          <cell r="EI382">
            <v>1110</v>
          </cell>
          <cell r="EJ382" t="str">
            <v>ACTIVO</v>
          </cell>
          <cell r="EK382" t="str">
            <v>A</v>
          </cell>
          <cell r="EL382">
            <v>900</v>
          </cell>
          <cell r="EM382">
            <v>1124.4612</v>
          </cell>
          <cell r="EN382">
            <v>187.4102</v>
          </cell>
          <cell r="EO382">
            <v>642.17280385774166</v>
          </cell>
          <cell r="EP382">
            <v>1070</v>
          </cell>
          <cell r="EQ382">
            <v>2343300</v>
          </cell>
          <cell r="ER382">
            <v>0.95156684819360604</v>
          </cell>
          <cell r="ES382">
            <v>562.23059999999998</v>
          </cell>
        </row>
        <row r="383">
          <cell r="F383">
            <v>107260</v>
          </cell>
          <cell r="G383" t="str">
            <v>JARABE DE REMOJO OCTOBINS</v>
          </cell>
          <cell r="H383">
            <v>3900</v>
          </cell>
          <cell r="I383">
            <v>5850</v>
          </cell>
          <cell r="J383">
            <v>7800</v>
          </cell>
          <cell r="K383">
            <v>8775</v>
          </cell>
          <cell r="L383">
            <v>6825</v>
          </cell>
          <cell r="M383">
            <v>5850</v>
          </cell>
          <cell r="N383">
            <v>5850</v>
          </cell>
          <cell r="O383">
            <v>8775</v>
          </cell>
          <cell r="P383">
            <v>4875</v>
          </cell>
          <cell r="Q383">
            <v>8775</v>
          </cell>
          <cell r="R383">
            <v>6825</v>
          </cell>
          <cell r="S383">
            <v>3900</v>
          </cell>
          <cell r="T383">
            <v>975</v>
          </cell>
          <cell r="U383">
            <v>7800</v>
          </cell>
          <cell r="V383">
            <v>7800</v>
          </cell>
          <cell r="W383">
            <v>3900</v>
          </cell>
          <cell r="X383">
            <v>5850</v>
          </cell>
          <cell r="Y383">
            <v>3900</v>
          </cell>
          <cell r="Z383">
            <v>3900</v>
          </cell>
          <cell r="AA383">
            <v>3900</v>
          </cell>
          <cell r="AB383">
            <v>6825</v>
          </cell>
          <cell r="AC383">
            <v>5850</v>
          </cell>
          <cell r="AD383">
            <v>5850</v>
          </cell>
          <cell r="AE383">
            <v>5850</v>
          </cell>
          <cell r="AF383">
            <v>3900</v>
          </cell>
          <cell r="AG383">
            <v>4875</v>
          </cell>
          <cell r="AH383">
            <v>4876</v>
          </cell>
          <cell r="AI383">
            <v>4875</v>
          </cell>
          <cell r="AJ383">
            <v>5850</v>
          </cell>
          <cell r="AK383">
            <v>6825</v>
          </cell>
          <cell r="AL383">
            <v>5850</v>
          </cell>
          <cell r="AM383">
            <v>4875</v>
          </cell>
          <cell r="AN383">
            <v>4875</v>
          </cell>
          <cell r="AO383">
            <v>5850</v>
          </cell>
          <cell r="AP383">
            <v>1950</v>
          </cell>
          <cell r="AQ383">
            <v>2925</v>
          </cell>
          <cell r="AR383">
            <v>5850</v>
          </cell>
          <cell r="AS383">
            <v>975</v>
          </cell>
          <cell r="AT383">
            <v>4875</v>
          </cell>
          <cell r="AU383">
            <v>5035</v>
          </cell>
          <cell r="AV383">
            <v>5850</v>
          </cell>
          <cell r="AW383">
            <v>8775</v>
          </cell>
          <cell r="AX383">
            <v>8775</v>
          </cell>
          <cell r="AY383">
            <v>5850</v>
          </cell>
          <cell r="AZ383">
            <v>6825</v>
          </cell>
          <cell r="BA383">
            <v>6825</v>
          </cell>
          <cell r="BB383">
            <v>7800</v>
          </cell>
          <cell r="BC383">
            <v>2925</v>
          </cell>
          <cell r="BD383">
            <v>6825</v>
          </cell>
          <cell r="BE383">
            <v>5850</v>
          </cell>
          <cell r="BF383">
            <v>4875</v>
          </cell>
          <cell r="BG383">
            <v>6825</v>
          </cell>
          <cell r="BH383">
            <v>1950</v>
          </cell>
          <cell r="BI383">
            <v>4875</v>
          </cell>
          <cell r="BJ383">
            <v>2925</v>
          </cell>
          <cell r="BK383">
            <v>4875</v>
          </cell>
          <cell r="BL383">
            <v>2925</v>
          </cell>
          <cell r="BM383">
            <v>5850</v>
          </cell>
          <cell r="BN383">
            <v>4875</v>
          </cell>
          <cell r="BO383">
            <v>4875</v>
          </cell>
          <cell r="BP383">
            <v>3900</v>
          </cell>
          <cell r="BQ383">
            <v>4881</v>
          </cell>
          <cell r="BR383">
            <v>2925</v>
          </cell>
          <cell r="BS383">
            <v>5850</v>
          </cell>
          <cell r="BT383">
            <v>5850</v>
          </cell>
          <cell r="BU383">
            <v>3900</v>
          </cell>
          <cell r="BV383">
            <v>9750</v>
          </cell>
          <cell r="BW383">
            <v>5850</v>
          </cell>
          <cell r="BX383">
            <v>4875</v>
          </cell>
          <cell r="BY383">
            <v>5850</v>
          </cell>
          <cell r="BZ383">
            <v>4875</v>
          </cell>
          <cell r="CA383">
            <v>5850</v>
          </cell>
          <cell r="CB383">
            <v>5850</v>
          </cell>
          <cell r="CC383">
            <v>7800</v>
          </cell>
          <cell r="CD383">
            <v>4875</v>
          </cell>
          <cell r="CE383">
            <v>3900</v>
          </cell>
          <cell r="CF383">
            <v>4875</v>
          </cell>
          <cell r="CG383">
            <v>7800</v>
          </cell>
          <cell r="CH383">
            <v>6825</v>
          </cell>
          <cell r="CI383">
            <v>5850</v>
          </cell>
          <cell r="CJ383">
            <v>3900</v>
          </cell>
          <cell r="CK383">
            <v>8775</v>
          </cell>
          <cell r="CL383">
            <v>6825</v>
          </cell>
          <cell r="CM383">
            <v>5850</v>
          </cell>
          <cell r="CN383">
            <v>6825</v>
          </cell>
          <cell r="CO383">
            <v>6825</v>
          </cell>
          <cell r="CP383">
            <v>7800</v>
          </cell>
          <cell r="CQ383">
            <v>6825</v>
          </cell>
          <cell r="CR383">
            <v>6825</v>
          </cell>
          <cell r="CS383">
            <v>3900</v>
          </cell>
          <cell r="CT383">
            <v>8775</v>
          </cell>
          <cell r="CU383">
            <v>2925</v>
          </cell>
          <cell r="CV383">
            <v>5850</v>
          </cell>
          <cell r="CW383">
            <v>5850</v>
          </cell>
          <cell r="CX383">
            <v>6825</v>
          </cell>
          <cell r="CY383">
            <v>3900</v>
          </cell>
          <cell r="CZ383">
            <v>7800</v>
          </cell>
          <cell r="DA383">
            <v>3900</v>
          </cell>
          <cell r="DB383">
            <v>4875</v>
          </cell>
          <cell r="DC383">
            <v>4875</v>
          </cell>
          <cell r="DD383">
            <v>4875</v>
          </cell>
          <cell r="DE383">
            <v>4875</v>
          </cell>
          <cell r="DF383">
            <v>5850</v>
          </cell>
          <cell r="DG383">
            <v>4875</v>
          </cell>
          <cell r="DH383">
            <v>2925</v>
          </cell>
          <cell r="DI383">
            <v>1950</v>
          </cell>
          <cell r="DJ383">
            <v>3900</v>
          </cell>
          <cell r="DK383">
            <v>4875</v>
          </cell>
          <cell r="DL383">
            <v>7800</v>
          </cell>
          <cell r="DM383">
            <v>5850</v>
          </cell>
          <cell r="DN383">
            <v>6825</v>
          </cell>
          <cell r="DO383">
            <v>6825</v>
          </cell>
          <cell r="DP383">
            <v>5850</v>
          </cell>
          <cell r="DQ383">
            <v>4875</v>
          </cell>
          <cell r="DR383">
            <v>7800</v>
          </cell>
          <cell r="DS383">
            <v>3900</v>
          </cell>
          <cell r="DT383">
            <v>6825</v>
          </cell>
          <cell r="DU383">
            <v>7800</v>
          </cell>
          <cell r="DV383">
            <v>3900</v>
          </cell>
          <cell r="DW383">
            <v>3900</v>
          </cell>
          <cell r="DX383">
            <v>7810</v>
          </cell>
          <cell r="DY383">
            <v>7815</v>
          </cell>
          <cell r="DZ383">
            <v>6825</v>
          </cell>
          <cell r="EA383">
            <v>3900</v>
          </cell>
          <cell r="EB383">
            <v>6825</v>
          </cell>
          <cell r="EC383">
            <v>7800</v>
          </cell>
          <cell r="ED383">
            <v>7800</v>
          </cell>
          <cell r="EE383">
            <v>4875</v>
          </cell>
          <cell r="EF383">
            <v>7800</v>
          </cell>
          <cell r="EG383">
            <v>4875</v>
          </cell>
          <cell r="EH383">
            <v>7800</v>
          </cell>
          <cell r="EI383">
            <v>4875</v>
          </cell>
          <cell r="EJ383" t="str">
            <v>ACTIVO</v>
          </cell>
          <cell r="EK383" t="str">
            <v>A</v>
          </cell>
          <cell r="EL383">
            <v>975</v>
          </cell>
          <cell r="EM383">
            <v>5968</v>
          </cell>
          <cell r="EN383">
            <v>994.66666666666663</v>
          </cell>
          <cell r="EO383">
            <v>1660.6996479660963</v>
          </cell>
          <cell r="EP383">
            <v>4875</v>
          </cell>
          <cell r="EQ383">
            <v>3547293.75</v>
          </cell>
          <cell r="ER383">
            <v>0.81685656836461129</v>
          </cell>
          <cell r="ES383">
            <v>2984</v>
          </cell>
        </row>
        <row r="384">
          <cell r="F384">
            <v>107278</v>
          </cell>
          <cell r="G384" t="str">
            <v>JARABE DE REMOJO RON-NJA 40 BIDÓN 5 Lt</v>
          </cell>
          <cell r="H384">
            <v>500</v>
          </cell>
          <cell r="I384">
            <v>495</v>
          </cell>
          <cell r="J384">
            <v>430</v>
          </cell>
          <cell r="K384">
            <v>910</v>
          </cell>
          <cell r="L384">
            <v>355</v>
          </cell>
          <cell r="M384">
            <v>530</v>
          </cell>
          <cell r="N384">
            <v>561.43050000000005</v>
          </cell>
          <cell r="O384">
            <v>705.34</v>
          </cell>
          <cell r="P384">
            <v>350</v>
          </cell>
          <cell r="Q384">
            <v>515</v>
          </cell>
          <cell r="R384">
            <v>230</v>
          </cell>
          <cell r="S384">
            <v>260</v>
          </cell>
          <cell r="T384">
            <v>180</v>
          </cell>
          <cell r="U384">
            <v>479</v>
          </cell>
          <cell r="V384">
            <v>115</v>
          </cell>
          <cell r="W384">
            <v>410</v>
          </cell>
          <cell r="X384">
            <v>570</v>
          </cell>
          <cell r="Y384">
            <v>285</v>
          </cell>
          <cell r="Z384">
            <v>170</v>
          </cell>
          <cell r="AA384">
            <v>640</v>
          </cell>
          <cell r="AB384">
            <v>660</v>
          </cell>
          <cell r="AC384">
            <v>571</v>
          </cell>
          <cell r="AD384">
            <v>771</v>
          </cell>
          <cell r="AE384">
            <v>395</v>
          </cell>
          <cell r="AF384">
            <v>435</v>
          </cell>
          <cell r="AG384">
            <v>506</v>
          </cell>
          <cell r="AH384">
            <v>595</v>
          </cell>
          <cell r="AI384">
            <v>730</v>
          </cell>
          <cell r="AJ384">
            <v>635</v>
          </cell>
          <cell r="AK384">
            <v>880</v>
          </cell>
          <cell r="AL384">
            <v>815</v>
          </cell>
          <cell r="AM384">
            <v>350</v>
          </cell>
          <cell r="AN384">
            <v>495</v>
          </cell>
          <cell r="AO384">
            <v>740</v>
          </cell>
          <cell r="AP384">
            <v>655</v>
          </cell>
          <cell r="AQ384">
            <v>1240</v>
          </cell>
          <cell r="AR384">
            <v>745</v>
          </cell>
          <cell r="AS384">
            <v>175</v>
          </cell>
          <cell r="AT384">
            <v>630</v>
          </cell>
          <cell r="AU384">
            <v>925</v>
          </cell>
          <cell r="AV384">
            <v>428</v>
          </cell>
          <cell r="AW384">
            <v>1392</v>
          </cell>
          <cell r="AX384">
            <v>2160</v>
          </cell>
          <cell r="AY384">
            <v>725</v>
          </cell>
          <cell r="AZ384">
            <v>975</v>
          </cell>
          <cell r="BA384">
            <v>1775</v>
          </cell>
          <cell r="BB384">
            <v>1210</v>
          </cell>
          <cell r="BC384">
            <v>720</v>
          </cell>
          <cell r="BD384">
            <v>1570</v>
          </cell>
          <cell r="BE384">
            <v>1960</v>
          </cell>
          <cell r="BF384">
            <v>536</v>
          </cell>
          <cell r="BG384">
            <v>1025</v>
          </cell>
          <cell r="BH384">
            <v>350</v>
          </cell>
          <cell r="BI384">
            <v>1135</v>
          </cell>
          <cell r="BJ384">
            <v>1310</v>
          </cell>
          <cell r="BK384">
            <v>1385</v>
          </cell>
          <cell r="BL384">
            <v>1260</v>
          </cell>
          <cell r="BM384">
            <v>1625</v>
          </cell>
          <cell r="BN384">
            <v>1290</v>
          </cell>
          <cell r="BO384">
            <v>1930</v>
          </cell>
          <cell r="BP384">
            <v>405</v>
          </cell>
          <cell r="BQ384">
            <v>1765</v>
          </cell>
          <cell r="BR384">
            <v>1814</v>
          </cell>
          <cell r="BS384">
            <v>1490</v>
          </cell>
          <cell r="BT384">
            <v>1300</v>
          </cell>
          <cell r="BU384">
            <v>1275</v>
          </cell>
          <cell r="BV384">
            <v>1450</v>
          </cell>
          <cell r="BW384">
            <v>1705</v>
          </cell>
          <cell r="BX384">
            <v>1750</v>
          </cell>
          <cell r="BY384">
            <v>1740</v>
          </cell>
          <cell r="BZ384">
            <v>670</v>
          </cell>
          <cell r="CA384">
            <v>1400</v>
          </cell>
          <cell r="CB384">
            <v>1640</v>
          </cell>
          <cell r="CC384">
            <v>2440</v>
          </cell>
          <cell r="CD384">
            <v>1455</v>
          </cell>
          <cell r="CE384">
            <v>1375</v>
          </cell>
          <cell r="CF384">
            <v>1915</v>
          </cell>
          <cell r="CG384">
            <v>930</v>
          </cell>
          <cell r="CH384">
            <v>1170</v>
          </cell>
          <cell r="CI384">
            <v>1600</v>
          </cell>
          <cell r="CJ384">
            <v>860</v>
          </cell>
          <cell r="CK384">
            <v>1495</v>
          </cell>
          <cell r="CL384">
            <v>1995</v>
          </cell>
          <cell r="CM384">
            <v>1010</v>
          </cell>
          <cell r="CN384">
            <v>1540</v>
          </cell>
          <cell r="CO384">
            <v>1985</v>
          </cell>
          <cell r="CP384">
            <v>2780</v>
          </cell>
          <cell r="CQ384">
            <v>735</v>
          </cell>
          <cell r="CR384">
            <v>1780</v>
          </cell>
          <cell r="CS384">
            <v>925</v>
          </cell>
          <cell r="CT384">
            <v>1055</v>
          </cell>
          <cell r="CU384">
            <v>1049</v>
          </cell>
          <cell r="CV384">
            <v>580</v>
          </cell>
          <cell r="CW384">
            <v>1500</v>
          </cell>
          <cell r="CX384">
            <v>905</v>
          </cell>
          <cell r="CY384">
            <v>460</v>
          </cell>
          <cell r="CZ384">
            <v>1275</v>
          </cell>
          <cell r="DA384">
            <v>650</v>
          </cell>
          <cell r="DB384">
            <v>1030</v>
          </cell>
          <cell r="DC384">
            <v>505</v>
          </cell>
          <cell r="DD384">
            <v>845</v>
          </cell>
          <cell r="DE384">
            <v>590</v>
          </cell>
          <cell r="DF384">
            <v>1435</v>
          </cell>
          <cell r="DG384">
            <v>320</v>
          </cell>
          <cell r="DH384">
            <v>790</v>
          </cell>
          <cell r="DI384"/>
          <cell r="DJ384">
            <v>930</v>
          </cell>
          <cell r="DK384">
            <v>560</v>
          </cell>
          <cell r="DL384">
            <v>1465</v>
          </cell>
          <cell r="DM384">
            <v>835</v>
          </cell>
          <cell r="DN384">
            <v>1180</v>
          </cell>
          <cell r="DO384">
            <v>1615</v>
          </cell>
          <cell r="DP384">
            <v>830</v>
          </cell>
          <cell r="DQ384">
            <v>970</v>
          </cell>
          <cell r="DR384">
            <v>1375</v>
          </cell>
          <cell r="DS384">
            <v>940</v>
          </cell>
          <cell r="DT384">
            <v>1515</v>
          </cell>
          <cell r="DU384">
            <v>785</v>
          </cell>
          <cell r="DV384">
            <v>580</v>
          </cell>
          <cell r="DW384">
            <v>1000</v>
          </cell>
          <cell r="DX384">
            <v>891</v>
          </cell>
          <cell r="DY384">
            <v>750</v>
          </cell>
          <cell r="DZ384">
            <v>885</v>
          </cell>
          <cell r="EA384">
            <v>5</v>
          </cell>
          <cell r="EB384">
            <v>1185</v>
          </cell>
          <cell r="EC384">
            <v>1175</v>
          </cell>
          <cell r="ED384">
            <v>605</v>
          </cell>
          <cell r="EE384">
            <v>745</v>
          </cell>
          <cell r="EF384">
            <v>680</v>
          </cell>
          <cell r="EG384">
            <v>400</v>
          </cell>
          <cell r="EH384">
            <v>1170</v>
          </cell>
          <cell r="EI384">
            <v>315</v>
          </cell>
          <cell r="EJ384" t="str">
            <v>ACTIVO</v>
          </cell>
          <cell r="EK384" t="str">
            <v>B</v>
          </cell>
          <cell r="EL384">
            <v>450</v>
          </cell>
          <cell r="EM384">
            <v>912.54166666666663</v>
          </cell>
          <cell r="EN384">
            <v>152.09027777777777</v>
          </cell>
          <cell r="EO384">
            <v>530.13756943400938</v>
          </cell>
          <cell r="EP384">
            <v>1825</v>
          </cell>
          <cell r="EQ384">
            <v>1315460</v>
          </cell>
          <cell r="ER384">
            <v>1.9999086799689512</v>
          </cell>
          <cell r="ES384">
            <v>304.18055555555554</v>
          </cell>
        </row>
        <row r="385">
          <cell r="F385">
            <v>107262</v>
          </cell>
          <cell r="G385" t="str">
            <v>REMOJO 3 LECHES RICHI</v>
          </cell>
          <cell r="H385">
            <v>54</v>
          </cell>
          <cell r="I385"/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>
            <v>128</v>
          </cell>
          <cell r="AM385">
            <v>371</v>
          </cell>
          <cell r="AN385"/>
          <cell r="AO385">
            <v>225</v>
          </cell>
          <cell r="AP385">
            <v>384</v>
          </cell>
          <cell r="AQ385">
            <v>754</v>
          </cell>
          <cell r="AR385">
            <v>443</v>
          </cell>
          <cell r="AS385">
            <v>262</v>
          </cell>
          <cell r="AT385">
            <v>169</v>
          </cell>
          <cell r="AU385">
            <v>695</v>
          </cell>
          <cell r="AV385">
            <v>439</v>
          </cell>
          <cell r="AW385">
            <v>821</v>
          </cell>
          <cell r="AX385">
            <v>1398</v>
          </cell>
          <cell r="AY385">
            <v>807</v>
          </cell>
          <cell r="AZ385">
            <v>712</v>
          </cell>
          <cell r="BA385">
            <v>213</v>
          </cell>
          <cell r="BB385">
            <v>969</v>
          </cell>
          <cell r="BC385">
            <v>1027</v>
          </cell>
          <cell r="BD385">
            <v>725</v>
          </cell>
          <cell r="BE385">
            <v>188</v>
          </cell>
          <cell r="BF385">
            <v>987</v>
          </cell>
          <cell r="BG385">
            <v>260</v>
          </cell>
          <cell r="BH385">
            <v>593</v>
          </cell>
          <cell r="BI385">
            <v>636</v>
          </cell>
          <cell r="BJ385">
            <v>476</v>
          </cell>
          <cell r="BK385">
            <v>1414</v>
          </cell>
          <cell r="BL385">
            <v>2393</v>
          </cell>
          <cell r="BM385">
            <v>490</v>
          </cell>
          <cell r="BN385">
            <v>1495</v>
          </cell>
          <cell r="BO385">
            <v>1004</v>
          </cell>
          <cell r="BP385">
            <v>716</v>
          </cell>
          <cell r="BQ385">
            <v>316</v>
          </cell>
          <cell r="BR385">
            <v>1751</v>
          </cell>
          <cell r="BS385">
            <v>367</v>
          </cell>
          <cell r="BT385">
            <v>2712.45</v>
          </cell>
          <cell r="BU385">
            <v>1030</v>
          </cell>
          <cell r="BV385">
            <v>239</v>
          </cell>
          <cell r="BW385">
            <v>261</v>
          </cell>
          <cell r="BX385">
            <v>1852</v>
          </cell>
          <cell r="BY385">
            <v>732</v>
          </cell>
          <cell r="BZ385">
            <v>52</v>
          </cell>
          <cell r="CA385">
            <v>24</v>
          </cell>
          <cell r="CB385">
            <v>1070</v>
          </cell>
          <cell r="CC385">
            <v>696</v>
          </cell>
          <cell r="CD385">
            <v>307</v>
          </cell>
          <cell r="CE385">
            <v>1485</v>
          </cell>
          <cell r="CF385">
            <v>1707</v>
          </cell>
          <cell r="CG385">
            <v>1101</v>
          </cell>
          <cell r="CH385">
            <v>347</v>
          </cell>
          <cell r="CI385">
            <v>1152</v>
          </cell>
          <cell r="CJ385">
            <v>508</v>
          </cell>
          <cell r="CK385">
            <v>819</v>
          </cell>
          <cell r="CL385">
            <v>962</v>
          </cell>
          <cell r="CM385">
            <v>724</v>
          </cell>
          <cell r="CN385">
            <v>1251</v>
          </cell>
          <cell r="CO385">
            <v>1152</v>
          </cell>
          <cell r="CP385">
            <v>2673</v>
          </cell>
          <cell r="CQ385">
            <v>380</v>
          </cell>
          <cell r="CR385">
            <v>75</v>
          </cell>
          <cell r="CS385"/>
          <cell r="CT385">
            <v>846</v>
          </cell>
          <cell r="CU385">
            <v>531</v>
          </cell>
          <cell r="CV385">
            <v>360</v>
          </cell>
          <cell r="CW385">
            <v>600</v>
          </cell>
          <cell r="CX385">
            <v>300</v>
          </cell>
          <cell r="CY385">
            <v>845</v>
          </cell>
          <cell r="CZ385">
            <v>51</v>
          </cell>
          <cell r="DA385">
            <v>655</v>
          </cell>
          <cell r="DB385">
            <v>49</v>
          </cell>
          <cell r="DC385">
            <v>1008</v>
          </cell>
          <cell r="DD385">
            <v>48</v>
          </cell>
          <cell r="DE385">
            <v>65</v>
          </cell>
          <cell r="DF385">
            <v>634</v>
          </cell>
          <cell r="DG385">
            <v>138</v>
          </cell>
          <cell r="DH385">
            <v>45</v>
          </cell>
          <cell r="DI385"/>
          <cell r="DJ385">
            <v>1099</v>
          </cell>
          <cell r="DK385">
            <v>112</v>
          </cell>
          <cell r="DL385">
            <v>395</v>
          </cell>
          <cell r="DM385">
            <v>644</v>
          </cell>
          <cell r="DN385">
            <v>336</v>
          </cell>
          <cell r="DO385">
            <v>714</v>
          </cell>
          <cell r="DP385">
            <v>624</v>
          </cell>
          <cell r="DQ385">
            <v>672</v>
          </cell>
          <cell r="DR385">
            <v>120</v>
          </cell>
          <cell r="DS385">
            <v>1270</v>
          </cell>
          <cell r="DT385">
            <v>432</v>
          </cell>
          <cell r="DU385">
            <v>1085</v>
          </cell>
          <cell r="DV385">
            <v>532</v>
          </cell>
          <cell r="DW385">
            <v>1427</v>
          </cell>
          <cell r="DX385">
            <v>73</v>
          </cell>
          <cell r="DY385">
            <v>78</v>
          </cell>
          <cell r="DZ385">
            <v>739</v>
          </cell>
          <cell r="EA385"/>
          <cell r="EB385">
            <v>540</v>
          </cell>
          <cell r="EC385">
            <v>244</v>
          </cell>
          <cell r="ED385">
            <v>593</v>
          </cell>
          <cell r="EE385">
            <v>719</v>
          </cell>
          <cell r="EF385">
            <v>354</v>
          </cell>
          <cell r="EG385">
            <v>612.76800000000003</v>
          </cell>
          <cell r="EH385">
            <v>504</v>
          </cell>
          <cell r="EI385">
            <v>398</v>
          </cell>
          <cell r="EJ385" t="str">
            <v>ACTIVO</v>
          </cell>
          <cell r="EK385" t="str">
            <v>B</v>
          </cell>
          <cell r="EL385"/>
          <cell r="EM385">
            <v>583.25078260869566</v>
          </cell>
          <cell r="EN385">
            <v>97.208463768115948</v>
          </cell>
          <cell r="EO385">
            <v>659.94969403197967</v>
          </cell>
          <cell r="EP385">
            <v>716.23</v>
          </cell>
          <cell r="EQ385">
            <v>1423793.6170000001</v>
          </cell>
          <cell r="ER385">
            <v>1.2279966377353675</v>
          </cell>
          <cell r="ES385">
            <v>194.4169275362319</v>
          </cell>
        </row>
        <row r="386">
          <cell r="F386">
            <v>100303</v>
          </cell>
          <cell r="G386" t="str">
            <v>JARABE DE REMOJO 35° TOTEM 1000 Lt</v>
          </cell>
          <cell r="H386"/>
          <cell r="I386"/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>
            <v>1000</v>
          </cell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K386"/>
          <cell r="DL386"/>
          <cell r="DM386"/>
          <cell r="DN386"/>
          <cell r="DO386"/>
          <cell r="DP386"/>
          <cell r="DQ386"/>
          <cell r="DR386"/>
          <cell r="DS386"/>
          <cell r="DT386"/>
          <cell r="DU386"/>
          <cell r="DV386"/>
          <cell r="DW386"/>
          <cell r="DX386"/>
          <cell r="DY386"/>
          <cell r="DZ386"/>
          <cell r="EA386"/>
          <cell r="EB386"/>
          <cell r="EC386"/>
          <cell r="ED386"/>
          <cell r="EE386"/>
          <cell r="EF386"/>
          <cell r="EG386"/>
          <cell r="EH386"/>
          <cell r="EI386"/>
          <cell r="EJ386" t="str">
            <v>SIN USO</v>
          </cell>
          <cell r="EK386" t="str">
            <v>C</v>
          </cell>
          <cell r="EL386" t="str">
            <v/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</row>
        <row r="387">
          <cell r="F387"/>
          <cell r="G387"/>
          <cell r="H387">
            <v>7694</v>
          </cell>
          <cell r="I387">
            <v>9295</v>
          </cell>
          <cell r="J387">
            <v>11170</v>
          </cell>
          <cell r="K387">
            <v>12225.827315999999</v>
          </cell>
          <cell r="L387">
            <v>10146</v>
          </cell>
          <cell r="M387">
            <v>9890</v>
          </cell>
          <cell r="N387">
            <v>9061.4305000000004</v>
          </cell>
          <cell r="O387">
            <v>12070.34</v>
          </cell>
          <cell r="P387">
            <v>7575</v>
          </cell>
          <cell r="Q387">
            <v>11790</v>
          </cell>
          <cell r="R387">
            <v>9995</v>
          </cell>
          <cell r="S387">
            <v>6640</v>
          </cell>
          <cell r="T387">
            <v>3805</v>
          </cell>
          <cell r="U387">
            <v>11800</v>
          </cell>
          <cell r="V387">
            <v>11920</v>
          </cell>
          <cell r="W387">
            <v>8005</v>
          </cell>
          <cell r="X387">
            <v>9980</v>
          </cell>
          <cell r="Y387">
            <v>9930</v>
          </cell>
          <cell r="Z387">
            <v>11376.000001</v>
          </cell>
          <cell r="AA387">
            <v>8045</v>
          </cell>
          <cell r="AB387">
            <v>11205</v>
          </cell>
          <cell r="AC387">
            <v>10026</v>
          </cell>
          <cell r="AD387">
            <v>11591</v>
          </cell>
          <cell r="AE387">
            <v>12300</v>
          </cell>
          <cell r="AF387">
            <v>8100</v>
          </cell>
          <cell r="AG387">
            <v>9421</v>
          </cell>
          <cell r="AH387">
            <v>9561</v>
          </cell>
          <cell r="AI387">
            <v>10060</v>
          </cell>
          <cell r="AJ387">
            <v>10980</v>
          </cell>
          <cell r="AK387">
            <v>12225</v>
          </cell>
          <cell r="AL387">
            <v>11405</v>
          </cell>
          <cell r="AM387">
            <v>11306</v>
          </cell>
          <cell r="AN387">
            <v>8725</v>
          </cell>
          <cell r="AO387">
            <v>9925</v>
          </cell>
          <cell r="AP387">
            <v>9829</v>
          </cell>
          <cell r="AQ387">
            <v>8889</v>
          </cell>
          <cell r="AR387">
            <v>11213</v>
          </cell>
          <cell r="AS387">
            <v>3197</v>
          </cell>
          <cell r="AT387">
            <v>9319</v>
          </cell>
          <cell r="AU387">
            <v>10200</v>
          </cell>
          <cell r="AV387">
            <v>9903</v>
          </cell>
          <cell r="AW387">
            <v>14118</v>
          </cell>
          <cell r="AX387">
            <v>15728</v>
          </cell>
          <cell r="AY387">
            <v>10367</v>
          </cell>
          <cell r="AZ387">
            <v>11597</v>
          </cell>
          <cell r="BA387">
            <v>12358</v>
          </cell>
          <cell r="BB387">
            <v>12939</v>
          </cell>
          <cell r="BC387">
            <v>7657</v>
          </cell>
          <cell r="BD387">
            <v>12330</v>
          </cell>
          <cell r="BE387">
            <v>11373</v>
          </cell>
          <cell r="BF387">
            <v>11008</v>
          </cell>
          <cell r="BG387">
            <v>13275</v>
          </cell>
          <cell r="BH387">
            <v>4888</v>
          </cell>
          <cell r="BI387">
            <v>9676</v>
          </cell>
          <cell r="BJ387">
            <v>7221</v>
          </cell>
          <cell r="BK387">
            <v>11294</v>
          </cell>
          <cell r="BL387">
            <v>9938</v>
          </cell>
          <cell r="BM387">
            <v>11230</v>
          </cell>
          <cell r="BN387">
            <v>11565</v>
          </cell>
          <cell r="BO387">
            <v>11039</v>
          </cell>
          <cell r="BP387">
            <v>8206</v>
          </cell>
          <cell r="BQ387">
            <v>10007</v>
          </cell>
          <cell r="BR387">
            <v>9760</v>
          </cell>
          <cell r="BS387">
            <v>10607</v>
          </cell>
          <cell r="BT387">
            <v>12687.45</v>
          </cell>
          <cell r="BU387">
            <v>10263</v>
          </cell>
          <cell r="BV387">
            <v>14219</v>
          </cell>
          <cell r="BW387">
            <v>11271</v>
          </cell>
          <cell r="BX387">
            <v>11747</v>
          </cell>
          <cell r="BY387">
            <v>13127</v>
          </cell>
          <cell r="BZ387">
            <v>11792.5</v>
          </cell>
          <cell r="CA387">
            <v>10654</v>
          </cell>
          <cell r="CB387">
            <v>11630</v>
          </cell>
          <cell r="CC387">
            <v>14061</v>
          </cell>
          <cell r="CD387">
            <v>9992</v>
          </cell>
          <cell r="CE387">
            <v>12060</v>
          </cell>
          <cell r="CF387">
            <v>11157</v>
          </cell>
          <cell r="CG387">
            <v>12431</v>
          </cell>
          <cell r="CH387">
            <v>11437</v>
          </cell>
          <cell r="CI387">
            <v>11512</v>
          </cell>
          <cell r="CJ387">
            <v>7913</v>
          </cell>
          <cell r="CK387">
            <v>13964</v>
          </cell>
          <cell r="CL387">
            <v>12387</v>
          </cell>
          <cell r="CM387">
            <v>10809</v>
          </cell>
          <cell r="CN387">
            <v>14406</v>
          </cell>
          <cell r="CO387">
            <v>13397</v>
          </cell>
          <cell r="CP387">
            <v>16583</v>
          </cell>
          <cell r="CQ387">
            <v>10865</v>
          </cell>
          <cell r="CR387">
            <v>10790</v>
          </cell>
          <cell r="CS387">
            <v>5235</v>
          </cell>
          <cell r="CT387">
            <v>12876</v>
          </cell>
          <cell r="CU387">
            <v>9885</v>
          </cell>
          <cell r="CV387">
            <v>8770</v>
          </cell>
          <cell r="CW387">
            <v>9710</v>
          </cell>
          <cell r="CX387">
            <v>9790</v>
          </cell>
          <cell r="CY387">
            <v>7095</v>
          </cell>
          <cell r="CZ387">
            <v>10806</v>
          </cell>
          <cell r="DA387">
            <v>7005</v>
          </cell>
          <cell r="DB387">
            <v>7364</v>
          </cell>
          <cell r="DC387">
            <v>8108</v>
          </cell>
          <cell r="DD387">
            <v>7148</v>
          </cell>
          <cell r="DE387">
            <v>6500</v>
          </cell>
          <cell r="DF387">
            <v>9689</v>
          </cell>
          <cell r="DG387">
            <v>6623</v>
          </cell>
          <cell r="DH387">
            <v>4450</v>
          </cell>
          <cell r="DI387">
            <v>2380</v>
          </cell>
          <cell r="DJ387">
            <v>6999</v>
          </cell>
          <cell r="DK387">
            <v>6537</v>
          </cell>
          <cell r="DL387">
            <v>10590</v>
          </cell>
          <cell r="DM387">
            <v>8299</v>
          </cell>
          <cell r="DN387">
            <v>9271</v>
          </cell>
          <cell r="DO387">
            <v>10744</v>
          </cell>
          <cell r="DP387">
            <v>8184</v>
          </cell>
          <cell r="DQ387">
            <v>7427</v>
          </cell>
          <cell r="DR387">
            <v>10285</v>
          </cell>
          <cell r="DS387">
            <v>7230</v>
          </cell>
          <cell r="DT387">
            <v>9762</v>
          </cell>
          <cell r="DU387">
            <v>10720</v>
          </cell>
          <cell r="DV387">
            <v>6062</v>
          </cell>
          <cell r="DW387">
            <v>7347</v>
          </cell>
          <cell r="DX387">
            <v>9714</v>
          </cell>
          <cell r="DY387">
            <v>9683</v>
          </cell>
          <cell r="DZ387">
            <v>9809</v>
          </cell>
          <cell r="EA387">
            <v>5885</v>
          </cell>
          <cell r="EB387">
            <v>9730</v>
          </cell>
          <cell r="EC387">
            <v>10399</v>
          </cell>
          <cell r="ED387">
            <v>10159.530000000001</v>
          </cell>
          <cell r="EE387">
            <v>7469</v>
          </cell>
          <cell r="EF387">
            <v>9994</v>
          </cell>
          <cell r="EG387">
            <v>7947.768</v>
          </cell>
          <cell r="EH387">
            <v>10604</v>
          </cell>
          <cell r="EI387">
            <v>6698</v>
          </cell>
          <cell r="EJ387" t="str">
            <v>ACTIVO</v>
          </cell>
          <cell r="EK387" t="str">
            <v/>
          </cell>
          <cell r="EL387" t="str">
            <v/>
          </cell>
          <cell r="EM387">
            <v>8505.0919200000008</v>
          </cell>
          <cell r="EN387">
            <v>1417.5153200000002</v>
          </cell>
          <cell r="EO387">
            <v>2566.8380972405735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</row>
        <row r="388">
          <cell r="F388">
            <v>404309</v>
          </cell>
          <cell r="G388" t="str">
            <v>CINTA NEGRA GC ZUKKER</v>
          </cell>
          <cell r="H388">
            <v>64</v>
          </cell>
          <cell r="I388">
            <v>200</v>
          </cell>
          <cell r="J388">
            <v>344</v>
          </cell>
          <cell r="K388">
            <v>192</v>
          </cell>
          <cell r="L388">
            <v>67.5</v>
          </cell>
          <cell r="M388">
            <v>108</v>
          </cell>
          <cell r="N388">
            <v>270</v>
          </cell>
          <cell r="O388">
            <v>324</v>
          </cell>
          <cell r="P388">
            <v>121.5</v>
          </cell>
          <cell r="Q388">
            <v>165</v>
          </cell>
          <cell r="R388">
            <v>133.5</v>
          </cell>
          <cell r="S388">
            <v>54</v>
          </cell>
          <cell r="T388">
            <v>180</v>
          </cell>
          <cell r="U388">
            <v>121.5</v>
          </cell>
          <cell r="V388">
            <v>162</v>
          </cell>
          <cell r="W388">
            <v>130.5</v>
          </cell>
          <cell r="X388">
            <v>175.5</v>
          </cell>
          <cell r="Y388">
            <v>94.5</v>
          </cell>
          <cell r="Z388">
            <v>0</v>
          </cell>
          <cell r="AA388">
            <v>105</v>
          </cell>
          <cell r="AB388">
            <v>238.5</v>
          </cell>
          <cell r="AC388">
            <v>162</v>
          </cell>
          <cell r="AD388">
            <v>229.5</v>
          </cell>
          <cell r="AE388">
            <v>84</v>
          </cell>
          <cell r="AF388">
            <v>240</v>
          </cell>
          <cell r="AG388">
            <v>193.5</v>
          </cell>
          <cell r="AH388">
            <v>127</v>
          </cell>
          <cell r="AI388">
            <v>175.5</v>
          </cell>
          <cell r="AJ388">
            <v>135</v>
          </cell>
          <cell r="AK388">
            <v>186.5</v>
          </cell>
          <cell r="AL388">
            <v>108</v>
          </cell>
          <cell r="AM388">
            <v>121.5</v>
          </cell>
          <cell r="AN388">
            <v>148.5</v>
          </cell>
          <cell r="AO388">
            <v>216</v>
          </cell>
          <cell r="AP388">
            <v>108.5</v>
          </cell>
          <cell r="AQ388">
            <v>132</v>
          </cell>
          <cell r="AR388">
            <v>200</v>
          </cell>
          <cell r="AS388">
            <v>12</v>
          </cell>
          <cell r="AT388">
            <v>137.5</v>
          </cell>
          <cell r="AU388">
            <v>135</v>
          </cell>
          <cell r="AV388">
            <v>450</v>
          </cell>
          <cell r="AW388">
            <v>50</v>
          </cell>
          <cell r="AX388">
            <v>38</v>
          </cell>
          <cell r="AY388">
            <v>66</v>
          </cell>
          <cell r="AZ388">
            <v>530</v>
          </cell>
          <cell r="BA388"/>
          <cell r="BB388">
            <v>144</v>
          </cell>
          <cell r="BC388">
            <v>324</v>
          </cell>
          <cell r="BD388"/>
          <cell r="BE388">
            <v>6</v>
          </cell>
          <cell r="BF388">
            <v>276</v>
          </cell>
          <cell r="BG388">
            <v>20</v>
          </cell>
          <cell r="BH388">
            <v>92</v>
          </cell>
          <cell r="BI388">
            <v>344</v>
          </cell>
          <cell r="BJ388">
            <v>84</v>
          </cell>
          <cell r="BK388">
            <v>56</v>
          </cell>
          <cell r="BL388">
            <v>376</v>
          </cell>
          <cell r="BM388">
            <v>124</v>
          </cell>
          <cell r="BN388">
            <v>212</v>
          </cell>
          <cell r="BO388">
            <v>212</v>
          </cell>
          <cell r="BP388">
            <v>164</v>
          </cell>
          <cell r="BQ388">
            <v>439</v>
          </cell>
          <cell r="BR388"/>
          <cell r="BS388">
            <v>156</v>
          </cell>
          <cell r="BT388">
            <v>208</v>
          </cell>
          <cell r="BU388">
            <v>380</v>
          </cell>
          <cell r="BV388"/>
          <cell r="BW388">
            <v>40</v>
          </cell>
          <cell r="BX388">
            <v>212</v>
          </cell>
          <cell r="BY388">
            <v>204</v>
          </cell>
          <cell r="BZ388">
            <v>20</v>
          </cell>
          <cell r="CA388">
            <v>188</v>
          </cell>
          <cell r="CB388">
            <v>164</v>
          </cell>
          <cell r="CC388">
            <v>164</v>
          </cell>
          <cell r="CD388">
            <v>172</v>
          </cell>
          <cell r="CE388"/>
          <cell r="CF388"/>
          <cell r="CG388">
            <v>336</v>
          </cell>
          <cell r="CH388">
            <v>160</v>
          </cell>
          <cell r="CI388">
            <v>24</v>
          </cell>
          <cell r="CJ388">
            <v>424</v>
          </cell>
          <cell r="CK388">
            <v>444</v>
          </cell>
          <cell r="CL388"/>
          <cell r="CM388">
            <v>284</v>
          </cell>
          <cell r="CN388">
            <v>132</v>
          </cell>
          <cell r="CO388">
            <v>228</v>
          </cell>
          <cell r="CP388">
            <v>216</v>
          </cell>
          <cell r="CQ388">
            <v>472</v>
          </cell>
          <cell r="CR388">
            <v>36</v>
          </cell>
          <cell r="CS388">
            <v>28</v>
          </cell>
          <cell r="CT388">
            <v>16</v>
          </cell>
          <cell r="CU388">
            <v>208</v>
          </cell>
          <cell r="CV388">
            <v>312</v>
          </cell>
          <cell r="CW388">
            <v>236</v>
          </cell>
          <cell r="CX388">
            <v>436</v>
          </cell>
          <cell r="CY388"/>
          <cell r="CZ388">
            <v>220</v>
          </cell>
          <cell r="DA388"/>
          <cell r="DB388">
            <v>404</v>
          </cell>
          <cell r="DC388">
            <v>24</v>
          </cell>
          <cell r="DD388">
            <v>196</v>
          </cell>
          <cell r="DE388">
            <v>220</v>
          </cell>
          <cell r="DF388"/>
          <cell r="DG388">
            <v>184</v>
          </cell>
          <cell r="DH388">
            <v>27</v>
          </cell>
          <cell r="DI388"/>
          <cell r="DJ388">
            <v>84</v>
          </cell>
          <cell r="DK388">
            <v>240</v>
          </cell>
          <cell r="DL388">
            <v>244</v>
          </cell>
          <cell r="DM388">
            <v>408</v>
          </cell>
          <cell r="DN388">
            <v>204</v>
          </cell>
          <cell r="DO388">
            <v>256</v>
          </cell>
          <cell r="DP388">
            <v>220</v>
          </cell>
          <cell r="DQ388">
            <v>184</v>
          </cell>
          <cell r="DR388">
            <v>184</v>
          </cell>
          <cell r="DS388"/>
          <cell r="DT388"/>
          <cell r="DU388">
            <v>272</v>
          </cell>
          <cell r="DV388">
            <v>280</v>
          </cell>
          <cell r="DW388">
            <v>220</v>
          </cell>
          <cell r="DX388">
            <v>44</v>
          </cell>
          <cell r="DY388">
            <v>396</v>
          </cell>
          <cell r="DZ388">
            <v>240</v>
          </cell>
          <cell r="EA388"/>
          <cell r="EB388">
            <v>184</v>
          </cell>
          <cell r="EC388">
            <v>220</v>
          </cell>
          <cell r="ED388">
            <v>244</v>
          </cell>
          <cell r="EE388">
            <v>184</v>
          </cell>
          <cell r="EF388">
            <v>184</v>
          </cell>
          <cell r="EG388">
            <v>100</v>
          </cell>
          <cell r="EH388">
            <v>432</v>
          </cell>
          <cell r="EI388">
            <v>184</v>
          </cell>
          <cell r="EJ388" t="str">
            <v>ACTIVO</v>
          </cell>
          <cell r="EK388" t="str">
            <v>B</v>
          </cell>
          <cell r="EL388">
            <v>400</v>
          </cell>
          <cell r="EM388">
            <v>218.66666666666666</v>
          </cell>
          <cell r="EN388">
            <v>36.444444444444443</v>
          </cell>
          <cell r="EO388">
            <v>132.06649304747432</v>
          </cell>
          <cell r="EP388">
            <v>136</v>
          </cell>
          <cell r="EQ388">
            <v>1208358.6399999999</v>
          </cell>
          <cell r="ER388">
            <v>0.62195121951219512</v>
          </cell>
          <cell r="ES388">
            <v>145.77777777777777</v>
          </cell>
        </row>
        <row r="389">
          <cell r="F389">
            <v>405133</v>
          </cell>
          <cell r="G389" t="str">
            <v>RALLADO NEGRO 3mm ZUKKER</v>
          </cell>
          <cell r="H389">
            <v>48</v>
          </cell>
          <cell r="I389">
            <v>195</v>
          </cell>
          <cell r="J389">
            <v>180</v>
          </cell>
          <cell r="K389">
            <v>424</v>
          </cell>
          <cell r="L389">
            <v>249</v>
          </cell>
          <cell r="M389">
            <v>135</v>
          </cell>
          <cell r="N389">
            <v>175</v>
          </cell>
          <cell r="O389">
            <v>411</v>
          </cell>
          <cell r="P389">
            <v>60</v>
          </cell>
          <cell r="Q389">
            <v>315</v>
          </cell>
          <cell r="R389">
            <v>80</v>
          </cell>
          <cell r="S389">
            <v>165</v>
          </cell>
          <cell r="T389">
            <v>155</v>
          </cell>
          <cell r="U389">
            <v>262.5</v>
          </cell>
          <cell r="V389">
            <v>180</v>
          </cell>
          <cell r="W389">
            <v>15</v>
          </cell>
          <cell r="X389">
            <v>330</v>
          </cell>
          <cell r="Y389">
            <v>138</v>
          </cell>
          <cell r="Z389">
            <v>45</v>
          </cell>
          <cell r="AA389">
            <v>210</v>
          </cell>
          <cell r="AB389">
            <v>300</v>
          </cell>
          <cell r="AC389">
            <v>165</v>
          </cell>
          <cell r="AD389">
            <v>290</v>
          </cell>
          <cell r="AE389">
            <v>120</v>
          </cell>
          <cell r="AF389">
            <v>225</v>
          </cell>
          <cell r="AG389">
            <v>180</v>
          </cell>
          <cell r="AH389">
            <v>241</v>
          </cell>
          <cell r="AI389">
            <v>355</v>
          </cell>
          <cell r="AJ389">
            <v>225</v>
          </cell>
          <cell r="AK389">
            <v>434</v>
          </cell>
          <cell r="AL389">
            <v>273</v>
          </cell>
          <cell r="AM389">
            <v>135</v>
          </cell>
          <cell r="AN389">
            <v>216</v>
          </cell>
          <cell r="AO389">
            <v>315</v>
          </cell>
          <cell r="AP389">
            <v>215</v>
          </cell>
          <cell r="AQ389">
            <v>225</v>
          </cell>
          <cell r="AR389">
            <v>180</v>
          </cell>
          <cell r="AS389">
            <v>140</v>
          </cell>
          <cell r="AT389">
            <v>130</v>
          </cell>
          <cell r="AU389">
            <v>115</v>
          </cell>
          <cell r="AV389">
            <v>228</v>
          </cell>
          <cell r="AW389">
            <v>651</v>
          </cell>
          <cell r="AX389">
            <v>108</v>
          </cell>
          <cell r="AY389">
            <v>105</v>
          </cell>
          <cell r="AZ389">
            <v>275</v>
          </cell>
          <cell r="BA389">
            <v>203</v>
          </cell>
          <cell r="BB389">
            <v>418</v>
          </cell>
          <cell r="BC389">
            <v>108</v>
          </cell>
          <cell r="BD389">
            <v>368</v>
          </cell>
          <cell r="BE389">
            <v>343</v>
          </cell>
          <cell r="BF389">
            <v>223</v>
          </cell>
          <cell r="BG389">
            <v>440</v>
          </cell>
          <cell r="BH389">
            <v>54</v>
          </cell>
          <cell r="BI389">
            <v>261</v>
          </cell>
          <cell r="BJ389">
            <v>126</v>
          </cell>
          <cell r="BK389">
            <v>441</v>
          </cell>
          <cell r="BL389">
            <v>123</v>
          </cell>
          <cell r="BM389">
            <v>430</v>
          </cell>
          <cell r="BN389">
            <v>363</v>
          </cell>
          <cell r="BO389">
            <v>245</v>
          </cell>
          <cell r="BP389">
            <v>130</v>
          </cell>
          <cell r="BQ389">
            <v>162</v>
          </cell>
          <cell r="BR389">
            <v>316</v>
          </cell>
          <cell r="BS389">
            <v>539</v>
          </cell>
          <cell r="BT389">
            <v>105</v>
          </cell>
          <cell r="BU389">
            <v>178</v>
          </cell>
          <cell r="BV389">
            <v>582</v>
          </cell>
          <cell r="BW389">
            <v>147</v>
          </cell>
          <cell r="BX389">
            <v>233</v>
          </cell>
          <cell r="BY389">
            <v>239</v>
          </cell>
          <cell r="BZ389">
            <v>151</v>
          </cell>
          <cell r="CA389">
            <v>371</v>
          </cell>
          <cell r="CB389">
            <v>30</v>
          </cell>
          <cell r="CC389">
            <v>324</v>
          </cell>
          <cell r="CD389">
            <v>155</v>
          </cell>
          <cell r="CE389">
            <v>206</v>
          </cell>
          <cell r="CF389">
            <v>340</v>
          </cell>
          <cell r="CG389">
            <v>220</v>
          </cell>
          <cell r="CH389">
            <v>165</v>
          </cell>
          <cell r="CI389">
            <v>8</v>
          </cell>
          <cell r="CJ389">
            <v>111</v>
          </cell>
          <cell r="CK389">
            <v>309</v>
          </cell>
          <cell r="CL389">
            <v>222</v>
          </cell>
          <cell r="CM389">
            <v>170</v>
          </cell>
          <cell r="CN389">
            <v>193</v>
          </cell>
          <cell r="CO389">
            <v>297</v>
          </cell>
          <cell r="CP389">
            <v>371</v>
          </cell>
          <cell r="CQ389">
            <v>249</v>
          </cell>
          <cell r="CR389">
            <v>170</v>
          </cell>
          <cell r="CS389">
            <v>178</v>
          </cell>
          <cell r="CT389">
            <v>357</v>
          </cell>
          <cell r="CU389">
            <v>335</v>
          </cell>
          <cell r="CV389">
            <v>65</v>
          </cell>
          <cell r="CW389">
            <v>170</v>
          </cell>
          <cell r="CX389">
            <v>240</v>
          </cell>
          <cell r="CY389">
            <v>60</v>
          </cell>
          <cell r="CZ389">
            <v>295</v>
          </cell>
          <cell r="DA389">
            <v>70</v>
          </cell>
          <cell r="DB389">
            <v>90</v>
          </cell>
          <cell r="DC389">
            <v>60</v>
          </cell>
          <cell r="DD389">
            <v>205</v>
          </cell>
          <cell r="DE389">
            <v>15</v>
          </cell>
          <cell r="DF389">
            <v>70</v>
          </cell>
          <cell r="DG389">
            <v>180</v>
          </cell>
          <cell r="DH389">
            <v>20</v>
          </cell>
          <cell r="DI389">
            <v>15</v>
          </cell>
          <cell r="DJ389">
            <v>216</v>
          </cell>
          <cell r="DK389">
            <v>84</v>
          </cell>
          <cell r="DL389">
            <v>260</v>
          </cell>
          <cell r="DM389">
            <v>180</v>
          </cell>
          <cell r="DN389">
            <v>175</v>
          </cell>
          <cell r="DO389">
            <v>275</v>
          </cell>
          <cell r="DP389">
            <v>160</v>
          </cell>
          <cell r="DQ389">
            <v>115</v>
          </cell>
          <cell r="DR389">
            <v>120</v>
          </cell>
          <cell r="DS389">
            <v>204</v>
          </cell>
          <cell r="DT389">
            <v>450</v>
          </cell>
          <cell r="DU389">
            <v>120</v>
          </cell>
          <cell r="DV389">
            <v>170</v>
          </cell>
          <cell r="DW389">
            <v>45</v>
          </cell>
          <cell r="DX389">
            <v>255</v>
          </cell>
          <cell r="DY389">
            <v>85</v>
          </cell>
          <cell r="DZ389">
            <v>258</v>
          </cell>
          <cell r="EA389"/>
          <cell r="EB389">
            <v>80</v>
          </cell>
          <cell r="EC389">
            <v>115</v>
          </cell>
          <cell r="ED389">
            <v>70</v>
          </cell>
          <cell r="EE389">
            <v>365</v>
          </cell>
          <cell r="EF389">
            <v>220</v>
          </cell>
          <cell r="EG389">
            <v>130</v>
          </cell>
          <cell r="EH389">
            <v>264</v>
          </cell>
          <cell r="EI389">
            <v>87</v>
          </cell>
          <cell r="EJ389" t="str">
            <v>ACTIVO</v>
          </cell>
          <cell r="EK389" t="str">
            <v>B</v>
          </cell>
          <cell r="EL389">
            <v>10000</v>
          </cell>
          <cell r="EM389">
            <v>173.625</v>
          </cell>
          <cell r="EN389">
            <v>28.9375</v>
          </cell>
          <cell r="EO389">
            <v>130.86084577867445</v>
          </cell>
          <cell r="EP389">
            <v>793</v>
          </cell>
          <cell r="EQ389">
            <v>4668391</v>
          </cell>
          <cell r="ER389">
            <v>4.5673146148308135</v>
          </cell>
          <cell r="ES389">
            <v>115.75</v>
          </cell>
        </row>
        <row r="390">
          <cell r="F390">
            <v>107170</v>
          </cell>
          <cell r="G390" t="str">
            <v>GRANILLO CHOCOLATE MANAR</v>
          </cell>
          <cell r="H390">
            <v>150</v>
          </cell>
          <cell r="I390">
            <v>150</v>
          </cell>
          <cell r="J390">
            <v>100</v>
          </cell>
          <cell r="K390">
            <v>125</v>
          </cell>
          <cell r="L390">
            <v>100</v>
          </cell>
          <cell r="M390">
            <v>100</v>
          </cell>
          <cell r="N390">
            <v>125</v>
          </cell>
          <cell r="O390">
            <v>150</v>
          </cell>
          <cell r="P390">
            <v>150</v>
          </cell>
          <cell r="Q390">
            <v>200</v>
          </cell>
          <cell r="R390">
            <v>300</v>
          </cell>
          <cell r="S390">
            <v>100</v>
          </cell>
          <cell r="T390">
            <v>25</v>
          </cell>
          <cell r="U390">
            <v>150</v>
          </cell>
          <cell r="V390">
            <v>250</v>
          </cell>
          <cell r="W390">
            <v>250</v>
          </cell>
          <cell r="X390">
            <v>150</v>
          </cell>
          <cell r="Y390">
            <v>125</v>
          </cell>
          <cell r="Z390">
            <v>50</v>
          </cell>
          <cell r="AA390">
            <v>75</v>
          </cell>
          <cell r="AB390">
            <v>200</v>
          </cell>
          <cell r="AC390">
            <v>100</v>
          </cell>
          <cell r="AD390">
            <v>100</v>
          </cell>
          <cell r="AE390">
            <v>250</v>
          </cell>
          <cell r="AF390">
            <v>180</v>
          </cell>
          <cell r="AG390">
            <v>185</v>
          </cell>
          <cell r="AH390">
            <v>101</v>
          </cell>
          <cell r="AI390">
            <v>175</v>
          </cell>
          <cell r="AJ390">
            <v>175</v>
          </cell>
          <cell r="AK390">
            <v>175</v>
          </cell>
          <cell r="AL390">
            <v>150</v>
          </cell>
          <cell r="AM390">
            <v>200</v>
          </cell>
          <cell r="AN390">
            <v>200</v>
          </cell>
          <cell r="AO390">
            <v>100</v>
          </cell>
          <cell r="AP390">
            <v>100</v>
          </cell>
          <cell r="AQ390">
            <v>200</v>
          </cell>
          <cell r="AR390">
            <v>125</v>
          </cell>
          <cell r="AS390">
            <v>25</v>
          </cell>
          <cell r="AT390">
            <v>175</v>
          </cell>
          <cell r="AU390">
            <v>100</v>
          </cell>
          <cell r="AV390">
            <v>125</v>
          </cell>
          <cell r="AW390">
            <v>225</v>
          </cell>
          <cell r="AX390">
            <v>200</v>
          </cell>
          <cell r="AY390">
            <v>175</v>
          </cell>
          <cell r="AZ390">
            <v>150</v>
          </cell>
          <cell r="BA390">
            <v>125</v>
          </cell>
          <cell r="BB390">
            <v>125</v>
          </cell>
          <cell r="BC390">
            <v>100</v>
          </cell>
          <cell r="BD390">
            <v>100</v>
          </cell>
          <cell r="BE390">
            <v>100</v>
          </cell>
          <cell r="BF390">
            <v>100</v>
          </cell>
          <cell r="BG390">
            <v>150</v>
          </cell>
          <cell r="BH390">
            <v>75</v>
          </cell>
          <cell r="BI390">
            <v>175</v>
          </cell>
          <cell r="BJ390">
            <v>125</v>
          </cell>
          <cell r="BK390">
            <v>125</v>
          </cell>
          <cell r="BL390">
            <v>125</v>
          </cell>
          <cell r="BM390">
            <v>125</v>
          </cell>
          <cell r="BN390">
            <v>100</v>
          </cell>
          <cell r="BO390">
            <v>375</v>
          </cell>
          <cell r="BP390">
            <v>75</v>
          </cell>
          <cell r="BQ390">
            <v>150</v>
          </cell>
          <cell r="BR390">
            <v>75</v>
          </cell>
          <cell r="BS390">
            <v>75</v>
          </cell>
          <cell r="BT390">
            <v>75</v>
          </cell>
          <cell r="BU390">
            <v>150</v>
          </cell>
          <cell r="BV390">
            <v>25</v>
          </cell>
          <cell r="BW390">
            <v>225</v>
          </cell>
          <cell r="BX390">
            <v>300</v>
          </cell>
          <cell r="BY390">
            <v>150</v>
          </cell>
          <cell r="BZ390">
            <v>100</v>
          </cell>
          <cell r="CA390">
            <v>325</v>
          </cell>
          <cell r="CB390"/>
          <cell r="CC390">
            <v>25</v>
          </cell>
          <cell r="CD390">
            <v>225</v>
          </cell>
          <cell r="CE390">
            <v>100</v>
          </cell>
          <cell r="CF390">
            <v>425</v>
          </cell>
          <cell r="CG390">
            <v>50</v>
          </cell>
          <cell r="CH390">
            <v>250</v>
          </cell>
          <cell r="CI390">
            <v>50</v>
          </cell>
          <cell r="CJ390">
            <v>75</v>
          </cell>
          <cell r="CK390">
            <v>200</v>
          </cell>
          <cell r="CL390">
            <v>25</v>
          </cell>
          <cell r="CM390">
            <v>275</v>
          </cell>
          <cell r="CN390">
            <v>100</v>
          </cell>
          <cell r="CO390">
            <v>275</v>
          </cell>
          <cell r="CP390">
            <v>200</v>
          </cell>
          <cell r="CQ390">
            <v>325</v>
          </cell>
          <cell r="CR390">
            <v>50</v>
          </cell>
          <cell r="CS390">
            <v>125</v>
          </cell>
          <cell r="CT390">
            <v>225</v>
          </cell>
          <cell r="CU390">
            <v>175</v>
          </cell>
          <cell r="CV390">
            <v>200</v>
          </cell>
          <cell r="CW390">
            <v>125</v>
          </cell>
          <cell r="CX390">
            <v>150</v>
          </cell>
          <cell r="CY390">
            <v>350</v>
          </cell>
          <cell r="CZ390">
            <v>25</v>
          </cell>
          <cell r="DA390">
            <v>125</v>
          </cell>
          <cell r="DB390">
            <v>250</v>
          </cell>
          <cell r="DC390">
            <v>150</v>
          </cell>
          <cell r="DD390">
            <v>25</v>
          </cell>
          <cell r="DE390">
            <v>100</v>
          </cell>
          <cell r="DF390">
            <v>150</v>
          </cell>
          <cell r="DG390">
            <v>25</v>
          </cell>
          <cell r="DH390">
            <v>25</v>
          </cell>
          <cell r="DI390">
            <v>25</v>
          </cell>
          <cell r="DJ390">
            <v>175</v>
          </cell>
          <cell r="DK390">
            <v>100</v>
          </cell>
          <cell r="DL390">
            <v>75</v>
          </cell>
          <cell r="DM390">
            <v>275</v>
          </cell>
          <cell r="DN390">
            <v>125</v>
          </cell>
          <cell r="DO390">
            <v>275</v>
          </cell>
          <cell r="DP390">
            <v>50</v>
          </cell>
          <cell r="DQ390">
            <v>75</v>
          </cell>
          <cell r="DR390">
            <v>150</v>
          </cell>
          <cell r="DS390">
            <v>300</v>
          </cell>
          <cell r="DT390">
            <v>250</v>
          </cell>
          <cell r="DU390">
            <v>250</v>
          </cell>
          <cell r="DV390">
            <v>175</v>
          </cell>
          <cell r="DW390">
            <v>225</v>
          </cell>
          <cell r="DX390">
            <v>275</v>
          </cell>
          <cell r="DY390">
            <v>174</v>
          </cell>
          <cell r="DZ390">
            <v>150</v>
          </cell>
          <cell r="EA390">
            <v>50</v>
          </cell>
          <cell r="EB390">
            <v>250</v>
          </cell>
          <cell r="EC390">
            <v>100</v>
          </cell>
          <cell r="ED390">
            <v>50</v>
          </cell>
          <cell r="EE390">
            <v>275</v>
          </cell>
          <cell r="EF390">
            <v>150</v>
          </cell>
          <cell r="EG390"/>
          <cell r="EH390">
            <v>150</v>
          </cell>
          <cell r="EI390">
            <v>150</v>
          </cell>
          <cell r="EJ390" t="str">
            <v>ACTIVO</v>
          </cell>
          <cell r="EK390" t="str">
            <v>B</v>
          </cell>
          <cell r="EL390">
            <v>375</v>
          </cell>
          <cell r="EM390">
            <v>166.625</v>
          </cell>
          <cell r="EN390">
            <v>27.770833333333332</v>
          </cell>
          <cell r="EO390">
            <v>100.6705927785124</v>
          </cell>
          <cell r="EP390">
            <v>425</v>
          </cell>
          <cell r="EQ390">
            <v>1131350</v>
          </cell>
          <cell r="ER390">
            <v>2.5506376594148539</v>
          </cell>
          <cell r="ES390">
            <v>111.08333333333333</v>
          </cell>
        </row>
        <row r="391">
          <cell r="F391">
            <v>393399</v>
          </cell>
          <cell r="G391" t="str">
            <v>PALITOS DE CHOCOLATE PURATOS</v>
          </cell>
          <cell r="H391">
            <v>2.52</v>
          </cell>
          <cell r="I391">
            <v>2.1599999999999997</v>
          </cell>
          <cell r="J391">
            <v>1.7999999999999998</v>
          </cell>
          <cell r="K391">
            <v>1.7999999999999998</v>
          </cell>
          <cell r="L391">
            <v>1.44</v>
          </cell>
          <cell r="M391">
            <v>1.7999999999999998</v>
          </cell>
          <cell r="N391">
            <v>2.5199999999999996</v>
          </cell>
          <cell r="O391">
            <v>2.16</v>
          </cell>
          <cell r="P391">
            <v>2.52</v>
          </cell>
          <cell r="Q391">
            <v>2.5199999999999996</v>
          </cell>
          <cell r="R391">
            <v>3.6</v>
          </cell>
          <cell r="S391">
            <v>1.44</v>
          </cell>
          <cell r="T391"/>
          <cell r="U391">
            <v>2.1599999999999997</v>
          </cell>
          <cell r="V391">
            <v>1.08</v>
          </cell>
          <cell r="W391">
            <v>2.88</v>
          </cell>
          <cell r="X391">
            <v>4.3199999999999994</v>
          </cell>
          <cell r="Y391">
            <v>3.24</v>
          </cell>
          <cell r="Z391">
            <v>5.4</v>
          </cell>
          <cell r="AA391">
            <v>1.44</v>
          </cell>
          <cell r="AB391">
            <v>3.96</v>
          </cell>
          <cell r="AC391">
            <v>2.16</v>
          </cell>
          <cell r="AD391">
            <v>3.24</v>
          </cell>
          <cell r="AE391">
            <v>3.24</v>
          </cell>
          <cell r="AF391">
            <v>2.8799999999999994</v>
          </cell>
          <cell r="AG391">
            <v>3.96</v>
          </cell>
          <cell r="AH391">
            <v>2.8</v>
          </cell>
          <cell r="AI391">
            <v>3.96</v>
          </cell>
          <cell r="AJ391">
            <v>3.24</v>
          </cell>
          <cell r="AK391">
            <v>5.4</v>
          </cell>
          <cell r="AL391">
            <v>3.96</v>
          </cell>
          <cell r="AM391">
            <v>5.3999999999999995</v>
          </cell>
          <cell r="AN391">
            <v>3.24</v>
          </cell>
          <cell r="AO391">
            <v>5.04</v>
          </cell>
          <cell r="AP391">
            <v>3.96</v>
          </cell>
          <cell r="AQ391">
            <v>4.3199999999999994</v>
          </cell>
          <cell r="AR391">
            <v>4.32</v>
          </cell>
          <cell r="AS391">
            <v>0.72</v>
          </cell>
          <cell r="AT391">
            <v>5.4</v>
          </cell>
          <cell r="AU391">
            <v>5.04</v>
          </cell>
          <cell r="AV391">
            <v>4.3199999999999994</v>
          </cell>
          <cell r="AW391">
            <v>3.24</v>
          </cell>
          <cell r="AX391">
            <v>4.68</v>
          </cell>
          <cell r="AY391">
            <v>5.04</v>
          </cell>
          <cell r="AZ391">
            <v>4.32</v>
          </cell>
          <cell r="BA391">
            <v>5.3999999999999995</v>
          </cell>
          <cell r="BB391">
            <v>4.3199999999999994</v>
          </cell>
          <cell r="BC391">
            <v>5.4</v>
          </cell>
          <cell r="BD391">
            <v>4.68</v>
          </cell>
          <cell r="BE391">
            <v>5.04</v>
          </cell>
          <cell r="BF391">
            <v>6.84</v>
          </cell>
          <cell r="BG391">
            <v>4.32</v>
          </cell>
          <cell r="BH391">
            <v>2.88</v>
          </cell>
          <cell r="BI391">
            <v>5.76</v>
          </cell>
          <cell r="BJ391">
            <v>3.9599999999999991</v>
          </cell>
          <cell r="BK391">
            <v>4.3199999999999994</v>
          </cell>
          <cell r="BL391">
            <v>4.3199999999999994</v>
          </cell>
          <cell r="BM391">
            <v>4.68</v>
          </cell>
          <cell r="BN391">
            <v>5.76</v>
          </cell>
          <cell r="BO391">
            <v>3.9599999999999995</v>
          </cell>
          <cell r="BP391">
            <v>4.68</v>
          </cell>
          <cell r="BQ391">
            <v>3.96</v>
          </cell>
          <cell r="BR391">
            <v>5.3999999999999995</v>
          </cell>
          <cell r="BS391">
            <v>3.9599999999999995</v>
          </cell>
          <cell r="BT391">
            <v>3.96</v>
          </cell>
          <cell r="BU391">
            <v>4.68</v>
          </cell>
          <cell r="BV391">
            <v>4.32</v>
          </cell>
          <cell r="BW391">
            <v>4.32</v>
          </cell>
          <cell r="BX391">
            <v>5.0399999999999991</v>
          </cell>
          <cell r="BY391">
            <v>5.04</v>
          </cell>
          <cell r="BZ391">
            <v>5.4</v>
          </cell>
          <cell r="CA391">
            <v>5.04</v>
          </cell>
          <cell r="CB391">
            <v>4.68</v>
          </cell>
          <cell r="CC391">
            <v>4.32</v>
          </cell>
          <cell r="CD391">
            <v>4.32</v>
          </cell>
          <cell r="CE391">
            <v>5.4</v>
          </cell>
          <cell r="CF391">
            <v>4.3199999999999994</v>
          </cell>
          <cell r="CG391">
            <v>4.3199999999999994</v>
          </cell>
          <cell r="CH391">
            <v>4.68</v>
          </cell>
          <cell r="CI391">
            <v>3.96</v>
          </cell>
          <cell r="CJ391">
            <v>4.68</v>
          </cell>
          <cell r="CK391">
            <v>3.9599999999999995</v>
          </cell>
          <cell r="CL391">
            <v>3.96</v>
          </cell>
          <cell r="CM391">
            <v>4.68</v>
          </cell>
          <cell r="CN391">
            <v>4.68</v>
          </cell>
          <cell r="CO391">
            <v>4.68</v>
          </cell>
          <cell r="CP391">
            <v>4.32</v>
          </cell>
          <cell r="CQ391">
            <v>4.68</v>
          </cell>
          <cell r="CR391">
            <v>3.96</v>
          </cell>
          <cell r="CS391">
            <v>0.72</v>
          </cell>
          <cell r="CT391">
            <v>3.9599999999999991</v>
          </cell>
          <cell r="CU391">
            <v>3.5999999999999996</v>
          </cell>
          <cell r="CV391">
            <v>3.2399999999999998</v>
          </cell>
          <cell r="CW391">
            <v>3.5999999999999992</v>
          </cell>
          <cell r="CX391">
            <v>3.5999999999999996</v>
          </cell>
          <cell r="CY391">
            <v>3.2399999999999998</v>
          </cell>
          <cell r="CZ391">
            <v>2.88</v>
          </cell>
          <cell r="DA391">
            <v>3.5999999999999992</v>
          </cell>
          <cell r="DB391">
            <v>3.2399999999999998</v>
          </cell>
          <cell r="DC391">
            <v>3.2399999999999998</v>
          </cell>
          <cell r="DD391">
            <v>3.5999999999999996</v>
          </cell>
          <cell r="DE391">
            <v>2.8799999999999994</v>
          </cell>
          <cell r="DF391">
            <v>3.5999999999999996</v>
          </cell>
          <cell r="DG391">
            <v>3.5999999999999996</v>
          </cell>
          <cell r="DH391">
            <v>1.44</v>
          </cell>
          <cell r="DI391"/>
          <cell r="DJ391"/>
          <cell r="DK391"/>
          <cell r="DL391"/>
          <cell r="DM391">
            <v>0.72</v>
          </cell>
          <cell r="DN391"/>
          <cell r="DO391">
            <v>1.08</v>
          </cell>
          <cell r="DP391">
            <v>2.88</v>
          </cell>
          <cell r="DQ391">
            <v>3.2399999999999998</v>
          </cell>
          <cell r="DR391">
            <v>3.5999999999999992</v>
          </cell>
          <cell r="DS391">
            <v>3.5999999999999992</v>
          </cell>
          <cell r="DT391">
            <v>4.32</v>
          </cell>
          <cell r="DU391">
            <v>5.7600000000000007</v>
          </cell>
          <cell r="DV391">
            <v>4.3199999999999994</v>
          </cell>
          <cell r="DW391">
            <v>3.2399999999999998</v>
          </cell>
          <cell r="DX391">
            <v>3.9599999999999995</v>
          </cell>
          <cell r="DY391">
            <v>4.3199999999999994</v>
          </cell>
          <cell r="DZ391">
            <v>4.3199999999999994</v>
          </cell>
          <cell r="EA391">
            <v>5.04</v>
          </cell>
          <cell r="EB391">
            <v>5.3999999999999995</v>
          </cell>
          <cell r="EC391">
            <v>3.2799999999999994</v>
          </cell>
          <cell r="ED391">
            <v>5.4</v>
          </cell>
          <cell r="EE391">
            <v>3.2399999999999993</v>
          </cell>
          <cell r="EF391">
            <v>3.2399999999999993</v>
          </cell>
          <cell r="EG391">
            <v>5.76</v>
          </cell>
          <cell r="EH391">
            <v>4.32</v>
          </cell>
          <cell r="EI391">
            <v>2.5599999999999996</v>
          </cell>
          <cell r="EJ391" t="str">
            <v>ACTIVO</v>
          </cell>
          <cell r="EK391" t="str">
            <v>C</v>
          </cell>
          <cell r="EL391">
            <v>57.6</v>
          </cell>
          <cell r="EM391">
            <v>3.8359999999999999</v>
          </cell>
          <cell r="EN391">
            <v>0.63933333333333331</v>
          </cell>
          <cell r="EO391">
            <v>0.92922927940364508</v>
          </cell>
          <cell r="EP391">
            <v>68</v>
          </cell>
          <cell r="EQ391">
            <v>3941592.12</v>
          </cell>
          <cell r="ER391">
            <v>17.726798748696559</v>
          </cell>
          <cell r="ES391">
            <v>1.9179999999999999</v>
          </cell>
        </row>
        <row r="392">
          <cell r="F392">
            <v>107249</v>
          </cell>
          <cell r="G392" t="str">
            <v>COBERTURA CHOCOLATES MONEDAS PURATOS</v>
          </cell>
          <cell r="H392">
            <v>60</v>
          </cell>
          <cell r="I392">
            <v>60</v>
          </cell>
          <cell r="J392">
            <v>90</v>
          </cell>
          <cell r="K392">
            <v>30</v>
          </cell>
          <cell r="L392">
            <v>60</v>
          </cell>
          <cell r="M392">
            <v>70</v>
          </cell>
          <cell r="N392">
            <v>60</v>
          </cell>
          <cell r="O392">
            <v>100</v>
          </cell>
          <cell r="P392">
            <v>50</v>
          </cell>
          <cell r="Q392">
            <v>80</v>
          </cell>
          <cell r="R392">
            <v>120</v>
          </cell>
          <cell r="S392">
            <v>30</v>
          </cell>
          <cell r="T392">
            <v>40</v>
          </cell>
          <cell r="U392">
            <v>20</v>
          </cell>
          <cell r="V392">
            <v>120</v>
          </cell>
          <cell r="W392">
            <v>60</v>
          </cell>
          <cell r="X392">
            <v>80</v>
          </cell>
          <cell r="Y392">
            <v>61</v>
          </cell>
          <cell r="Z392"/>
          <cell r="AA392">
            <v>11</v>
          </cell>
          <cell r="AB392">
            <v>80</v>
          </cell>
          <cell r="AC392">
            <v>60</v>
          </cell>
          <cell r="AD392">
            <v>50</v>
          </cell>
          <cell r="AE392">
            <v>130</v>
          </cell>
          <cell r="AF392">
            <v>20</v>
          </cell>
          <cell r="AG392">
            <v>50</v>
          </cell>
          <cell r="AH392">
            <v>41</v>
          </cell>
          <cell r="AI392">
            <v>60</v>
          </cell>
          <cell r="AJ392">
            <v>79</v>
          </cell>
          <cell r="AK392">
            <v>50</v>
          </cell>
          <cell r="AL392">
            <v>40</v>
          </cell>
          <cell r="AM392">
            <v>70</v>
          </cell>
          <cell r="AN392">
            <v>60</v>
          </cell>
          <cell r="AO392">
            <v>60</v>
          </cell>
          <cell r="AP392">
            <v>30</v>
          </cell>
          <cell r="AQ392">
            <v>100</v>
          </cell>
          <cell r="AR392">
            <v>20</v>
          </cell>
          <cell r="AS392">
            <v>20</v>
          </cell>
          <cell r="AT392">
            <v>30</v>
          </cell>
          <cell r="AU392">
            <v>40</v>
          </cell>
          <cell r="AV392">
            <v>30</v>
          </cell>
          <cell r="AW392">
            <v>31</v>
          </cell>
          <cell r="AX392">
            <v>40</v>
          </cell>
          <cell r="AY392">
            <v>50</v>
          </cell>
          <cell r="AZ392">
            <v>70</v>
          </cell>
          <cell r="BA392">
            <v>20</v>
          </cell>
          <cell r="BB392">
            <v>80</v>
          </cell>
          <cell r="BC392">
            <v>20</v>
          </cell>
          <cell r="BD392">
            <v>40</v>
          </cell>
          <cell r="BE392">
            <v>50</v>
          </cell>
          <cell r="BF392">
            <v>60</v>
          </cell>
          <cell r="BG392">
            <v>20</v>
          </cell>
          <cell r="BH392">
            <v>10</v>
          </cell>
          <cell r="BI392">
            <v>90</v>
          </cell>
          <cell r="BJ392">
            <v>120</v>
          </cell>
          <cell r="BK392">
            <v>30</v>
          </cell>
          <cell r="BL392">
            <v>40</v>
          </cell>
          <cell r="BM392">
            <v>100</v>
          </cell>
          <cell r="BN392"/>
          <cell r="BO392">
            <v>200</v>
          </cell>
          <cell r="BP392">
            <v>30</v>
          </cell>
          <cell r="BQ392">
            <v>40</v>
          </cell>
          <cell r="BR392">
            <v>20</v>
          </cell>
          <cell r="BS392"/>
          <cell r="BT392"/>
          <cell r="BU392">
            <v>130</v>
          </cell>
          <cell r="BV392"/>
          <cell r="BW392">
            <v>80</v>
          </cell>
          <cell r="BX392">
            <v>168</v>
          </cell>
          <cell r="BY392">
            <v>68</v>
          </cell>
          <cell r="BZ392">
            <v>26</v>
          </cell>
          <cell r="CA392">
            <v>156</v>
          </cell>
          <cell r="CB392"/>
          <cell r="CC392"/>
          <cell r="CD392">
            <v>109</v>
          </cell>
          <cell r="CE392">
            <v>20</v>
          </cell>
          <cell r="CF392">
            <v>110</v>
          </cell>
          <cell r="CG392"/>
          <cell r="CH392">
            <v>120</v>
          </cell>
          <cell r="CI392"/>
          <cell r="CJ392"/>
          <cell r="CK392">
            <v>30</v>
          </cell>
          <cell r="CL392"/>
          <cell r="CM392">
            <v>91</v>
          </cell>
          <cell r="CN392">
            <v>32</v>
          </cell>
          <cell r="CO392">
            <v>87</v>
          </cell>
          <cell r="CP392">
            <v>10</v>
          </cell>
          <cell r="CQ392">
            <v>134</v>
          </cell>
          <cell r="CR392"/>
          <cell r="CS392">
            <v>72</v>
          </cell>
          <cell r="CT392">
            <v>88</v>
          </cell>
          <cell r="CU392">
            <v>75</v>
          </cell>
          <cell r="CV392"/>
          <cell r="CW392">
            <v>58</v>
          </cell>
          <cell r="CX392">
            <v>87</v>
          </cell>
          <cell r="CY392">
            <v>72</v>
          </cell>
          <cell r="CZ392"/>
          <cell r="DA392"/>
          <cell r="DB392">
            <v>129</v>
          </cell>
          <cell r="DC392"/>
          <cell r="DD392"/>
          <cell r="DE392"/>
          <cell r="DF392">
            <v>61</v>
          </cell>
          <cell r="DG392"/>
          <cell r="DH392"/>
          <cell r="DI392"/>
          <cell r="DJ392"/>
          <cell r="DK392">
            <v>58</v>
          </cell>
          <cell r="DL392"/>
          <cell r="DM392">
            <v>87</v>
          </cell>
          <cell r="DN392">
            <v>22</v>
          </cell>
          <cell r="DO392">
            <v>72</v>
          </cell>
          <cell r="DP392">
            <v>22</v>
          </cell>
          <cell r="DQ392"/>
          <cell r="DR392">
            <v>74</v>
          </cell>
          <cell r="DS392">
            <v>62</v>
          </cell>
          <cell r="DT392">
            <v>75</v>
          </cell>
          <cell r="DU392"/>
          <cell r="DV392"/>
          <cell r="DW392"/>
          <cell r="DX392">
            <v>109</v>
          </cell>
          <cell r="DY392">
            <v>76</v>
          </cell>
          <cell r="DZ392"/>
          <cell r="EA392"/>
          <cell r="EB392">
            <v>135</v>
          </cell>
          <cell r="EC392"/>
          <cell r="ED392">
            <v>44</v>
          </cell>
          <cell r="EE392">
            <v>45</v>
          </cell>
          <cell r="EF392"/>
          <cell r="EG392"/>
          <cell r="EH392"/>
          <cell r="EI392"/>
          <cell r="EJ392" t="str">
            <v>ACTIVO</v>
          </cell>
          <cell r="EK392" t="str">
            <v>C</v>
          </cell>
          <cell r="EL392">
            <v>200</v>
          </cell>
          <cell r="EM392">
            <v>67.769230769230774</v>
          </cell>
          <cell r="EN392">
            <v>11.294871794871796</v>
          </cell>
          <cell r="EO392">
            <v>47.832269703155802</v>
          </cell>
          <cell r="EP392">
            <v>303</v>
          </cell>
          <cell r="EQ392">
            <v>1136250</v>
          </cell>
          <cell r="ER392">
            <v>4.4710556186152095</v>
          </cell>
          <cell r="ES392">
            <v>33.884615384615387</v>
          </cell>
        </row>
        <row r="393">
          <cell r="F393">
            <v>107133</v>
          </cell>
          <cell r="G393" t="str">
            <v>GANACHE PURATOS</v>
          </cell>
          <cell r="H393">
            <v>120</v>
          </cell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>
            <v>28</v>
          </cell>
          <cell r="W393">
            <v>464</v>
          </cell>
          <cell r="X393">
            <v>585.5</v>
          </cell>
          <cell r="Y393">
            <v>416</v>
          </cell>
          <cell r="Z393">
            <v>164</v>
          </cell>
          <cell r="AA393">
            <v>367</v>
          </cell>
          <cell r="AB393">
            <v>627.5</v>
          </cell>
          <cell r="AC393">
            <v>493</v>
          </cell>
          <cell r="AD393">
            <v>717.5</v>
          </cell>
          <cell r="AE393">
            <v>577</v>
          </cell>
          <cell r="AF393">
            <v>423</v>
          </cell>
          <cell r="AG393">
            <v>707.5</v>
          </cell>
          <cell r="AH393">
            <v>742.5</v>
          </cell>
          <cell r="AI393">
            <v>670.5</v>
          </cell>
          <cell r="AJ393">
            <v>652.5</v>
          </cell>
          <cell r="AK393">
            <v>785.5</v>
          </cell>
          <cell r="AL393">
            <v>534.5</v>
          </cell>
          <cell r="AM393">
            <v>536</v>
          </cell>
          <cell r="AN393">
            <v>734</v>
          </cell>
          <cell r="AO393">
            <v>490</v>
          </cell>
          <cell r="AP393">
            <v>553.5</v>
          </cell>
          <cell r="AQ393">
            <v>678.5</v>
          </cell>
          <cell r="AR393">
            <v>522</v>
          </cell>
          <cell r="AS393">
            <v>260</v>
          </cell>
          <cell r="AT393">
            <v>552</v>
          </cell>
          <cell r="AU393">
            <v>470</v>
          </cell>
          <cell r="AV393">
            <v>416</v>
          </cell>
          <cell r="AW393">
            <v>324</v>
          </cell>
          <cell r="AX393">
            <v>388</v>
          </cell>
          <cell r="AY393">
            <v>368</v>
          </cell>
          <cell r="AZ393">
            <v>376</v>
          </cell>
          <cell r="BA393">
            <v>364</v>
          </cell>
          <cell r="BB393">
            <v>644</v>
          </cell>
          <cell r="BC393">
            <v>593.5</v>
          </cell>
          <cell r="BD393">
            <v>560</v>
          </cell>
          <cell r="BE393">
            <v>668</v>
          </cell>
          <cell r="BF393">
            <v>725</v>
          </cell>
          <cell r="BG393">
            <v>444</v>
          </cell>
          <cell r="BH393">
            <v>248</v>
          </cell>
          <cell r="BI393">
            <v>568</v>
          </cell>
          <cell r="BJ393">
            <v>540</v>
          </cell>
          <cell r="BK393">
            <v>828</v>
          </cell>
          <cell r="BL393">
            <v>956</v>
          </cell>
          <cell r="BM393">
            <v>848</v>
          </cell>
          <cell r="BN393">
            <v>765</v>
          </cell>
          <cell r="BO393">
            <v>496</v>
          </cell>
          <cell r="BP393">
            <v>620</v>
          </cell>
          <cell r="BQ393">
            <v>732</v>
          </cell>
          <cell r="BR393">
            <v>700</v>
          </cell>
          <cell r="BS393">
            <v>616</v>
          </cell>
          <cell r="BT393">
            <v>720</v>
          </cell>
          <cell r="BU393">
            <v>1476</v>
          </cell>
          <cell r="BV393">
            <v>2304</v>
          </cell>
          <cell r="BW393">
            <v>880</v>
          </cell>
          <cell r="BX393">
            <v>1006</v>
          </cell>
          <cell r="BY393">
            <v>770</v>
          </cell>
          <cell r="BZ393">
            <v>156</v>
          </cell>
          <cell r="CA393">
            <v>600</v>
          </cell>
          <cell r="CB393">
            <v>464</v>
          </cell>
          <cell r="CC393">
            <v>760</v>
          </cell>
          <cell r="CD393">
            <v>1058</v>
          </cell>
          <cell r="CE393">
            <v>624</v>
          </cell>
          <cell r="CF393">
            <v>589</v>
          </cell>
          <cell r="CG393">
            <v>2584</v>
          </cell>
          <cell r="CH393">
            <v>312</v>
          </cell>
          <cell r="CI393">
            <v>460</v>
          </cell>
          <cell r="CJ393">
            <v>648</v>
          </cell>
          <cell r="CK393">
            <v>584</v>
          </cell>
          <cell r="CL393">
            <v>760</v>
          </cell>
          <cell r="CM393">
            <v>788</v>
          </cell>
          <cell r="CN393">
            <v>976</v>
          </cell>
          <cell r="CO393">
            <v>892</v>
          </cell>
          <cell r="CP393">
            <v>935</v>
          </cell>
          <cell r="CQ393">
            <v>1084</v>
          </cell>
          <cell r="CR393">
            <v>1164</v>
          </cell>
          <cell r="CS393">
            <v>864</v>
          </cell>
          <cell r="CT393">
            <v>1504</v>
          </cell>
          <cell r="CU393">
            <v>440</v>
          </cell>
          <cell r="CV393">
            <v>884</v>
          </cell>
          <cell r="CW393">
            <v>653</v>
          </cell>
          <cell r="CX393">
            <v>888</v>
          </cell>
          <cell r="CY393">
            <v>544</v>
          </cell>
          <cell r="CZ393">
            <v>676</v>
          </cell>
          <cell r="DA393">
            <v>1016</v>
          </cell>
          <cell r="DB393">
            <v>1060</v>
          </cell>
          <cell r="DC393">
            <v>1384</v>
          </cell>
          <cell r="DD393">
            <v>1808</v>
          </cell>
          <cell r="DE393">
            <v>592</v>
          </cell>
          <cell r="DF393">
            <v>312</v>
          </cell>
          <cell r="DG393">
            <v>118.8</v>
          </cell>
          <cell r="DH393">
            <v>24</v>
          </cell>
          <cell r="DI393"/>
          <cell r="DJ393">
            <v>96</v>
          </cell>
          <cell r="DK393">
            <v>120</v>
          </cell>
          <cell r="DL393">
            <v>105</v>
          </cell>
          <cell r="DM393">
            <v>80</v>
          </cell>
          <cell r="DN393">
            <v>52</v>
          </cell>
          <cell r="DO393">
            <v>88</v>
          </cell>
          <cell r="DP393">
            <v>204</v>
          </cell>
          <cell r="DQ393">
            <v>360</v>
          </cell>
          <cell r="DR393">
            <v>424</v>
          </cell>
          <cell r="DS393">
            <v>436</v>
          </cell>
          <cell r="DT393">
            <v>671</v>
          </cell>
          <cell r="DU393">
            <v>620</v>
          </cell>
          <cell r="DV393">
            <v>172</v>
          </cell>
          <cell r="DW393">
            <v>680</v>
          </cell>
          <cell r="DX393">
            <v>1216</v>
          </cell>
          <cell r="DY393">
            <v>752</v>
          </cell>
          <cell r="DZ393">
            <v>624</v>
          </cell>
          <cell r="EA393"/>
          <cell r="EB393">
            <v>664</v>
          </cell>
          <cell r="EC393">
            <v>548</v>
          </cell>
          <cell r="ED393">
            <v>900</v>
          </cell>
          <cell r="EE393">
            <v>958</v>
          </cell>
          <cell r="EF393">
            <v>1136</v>
          </cell>
          <cell r="EG393">
            <v>312</v>
          </cell>
          <cell r="EH393">
            <v>636</v>
          </cell>
          <cell r="EI393">
            <v>396</v>
          </cell>
          <cell r="EJ393" t="str">
            <v>ACTIVO</v>
          </cell>
          <cell r="EK393" t="str">
            <v>A</v>
          </cell>
          <cell r="EL393"/>
          <cell r="EM393">
            <v>487.73913043478262</v>
          </cell>
          <cell r="EN393">
            <v>81.289855072463766</v>
          </cell>
          <cell r="EO393">
            <v>471.17426837171053</v>
          </cell>
          <cell r="EP393">
            <v>1456</v>
          </cell>
          <cell r="EQ393">
            <v>6158676.1600000001</v>
          </cell>
          <cell r="ER393">
            <v>2.9852023533606702</v>
          </cell>
          <cell r="ES393">
            <v>243.86956521739131</v>
          </cell>
        </row>
        <row r="394">
          <cell r="F394">
            <v>107303</v>
          </cell>
          <cell r="G394" t="str">
            <v>CURLS CHOCOLATE PURATOS</v>
          </cell>
          <cell r="H394">
            <v>4</v>
          </cell>
          <cell r="I394"/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>
            <v>40</v>
          </cell>
          <cell r="X394">
            <v>4</v>
          </cell>
          <cell r="Y394">
            <v>0</v>
          </cell>
          <cell r="Z394">
            <v>16</v>
          </cell>
          <cell r="AA394">
            <v>4</v>
          </cell>
          <cell r="AB394">
            <v>36</v>
          </cell>
          <cell r="AC394">
            <v>20</v>
          </cell>
          <cell r="AD394">
            <v>56</v>
          </cell>
          <cell r="AE394"/>
          <cell r="AF394">
            <v>32</v>
          </cell>
          <cell r="AG394">
            <v>20</v>
          </cell>
          <cell r="AH394">
            <v>12</v>
          </cell>
          <cell r="AI394">
            <v>20</v>
          </cell>
          <cell r="AJ394">
            <v>24</v>
          </cell>
          <cell r="AK394">
            <v>16</v>
          </cell>
          <cell r="AL394">
            <v>16</v>
          </cell>
          <cell r="AM394">
            <v>16</v>
          </cell>
          <cell r="AN394">
            <v>16</v>
          </cell>
          <cell r="AO394">
            <v>28</v>
          </cell>
          <cell r="AP394">
            <v>8</v>
          </cell>
          <cell r="AQ394">
            <v>20</v>
          </cell>
          <cell r="AR394">
            <v>12</v>
          </cell>
          <cell r="AS394">
            <v>16</v>
          </cell>
          <cell r="AT394">
            <v>12</v>
          </cell>
          <cell r="AU394">
            <v>16</v>
          </cell>
          <cell r="AV394">
            <v>16</v>
          </cell>
          <cell r="AW394">
            <v>36</v>
          </cell>
          <cell r="AX394">
            <v>12</v>
          </cell>
          <cell r="AY394"/>
          <cell r="AZ394">
            <v>12</v>
          </cell>
          <cell r="BA394">
            <v>4</v>
          </cell>
          <cell r="BB394">
            <v>20</v>
          </cell>
          <cell r="BC394">
            <v>16</v>
          </cell>
          <cell r="BD394">
            <v>12</v>
          </cell>
          <cell r="BE394">
            <v>12</v>
          </cell>
          <cell r="BF394"/>
          <cell r="BG394">
            <v>4</v>
          </cell>
          <cell r="BH394"/>
          <cell r="BI394">
            <v>8</v>
          </cell>
          <cell r="BJ394">
            <v>16</v>
          </cell>
          <cell r="BK394">
            <v>16</v>
          </cell>
          <cell r="BL394">
            <v>16</v>
          </cell>
          <cell r="BM394">
            <v>16</v>
          </cell>
          <cell r="BN394">
            <v>4</v>
          </cell>
          <cell r="BO394">
            <v>12</v>
          </cell>
          <cell r="BP394">
            <v>4</v>
          </cell>
          <cell r="BQ394">
            <v>20</v>
          </cell>
          <cell r="BR394">
            <v>16</v>
          </cell>
          <cell r="BS394">
            <v>16</v>
          </cell>
          <cell r="BT394">
            <v>28</v>
          </cell>
          <cell r="BU394">
            <v>8</v>
          </cell>
          <cell r="BV394"/>
          <cell r="BW394">
            <v>8</v>
          </cell>
          <cell r="BX394">
            <v>60</v>
          </cell>
          <cell r="BY394">
            <v>16</v>
          </cell>
          <cell r="BZ394">
            <v>4</v>
          </cell>
          <cell r="CA394">
            <v>28</v>
          </cell>
          <cell r="CB394">
            <v>8</v>
          </cell>
          <cell r="CC394">
            <v>32</v>
          </cell>
          <cell r="CD394">
            <v>12</v>
          </cell>
          <cell r="CE394">
            <v>12</v>
          </cell>
          <cell r="CF394">
            <v>8</v>
          </cell>
          <cell r="CG394">
            <v>20</v>
          </cell>
          <cell r="CH394">
            <v>12</v>
          </cell>
          <cell r="CI394">
            <v>12</v>
          </cell>
          <cell r="CJ394">
            <v>4</v>
          </cell>
          <cell r="CK394">
            <v>8</v>
          </cell>
          <cell r="CL394">
            <v>16</v>
          </cell>
          <cell r="CM394">
            <v>8</v>
          </cell>
          <cell r="CN394">
            <v>8</v>
          </cell>
          <cell r="CO394">
            <v>12</v>
          </cell>
          <cell r="CP394">
            <v>16</v>
          </cell>
          <cell r="CQ394">
            <v>12</v>
          </cell>
          <cell r="CR394">
            <v>16</v>
          </cell>
          <cell r="CS394">
            <v>12</v>
          </cell>
          <cell r="CT394">
            <v>28</v>
          </cell>
          <cell r="CU394">
            <v>4</v>
          </cell>
          <cell r="CV394">
            <v>16</v>
          </cell>
          <cell r="CW394">
            <v>16</v>
          </cell>
          <cell r="CX394">
            <v>20</v>
          </cell>
          <cell r="CY394">
            <v>8</v>
          </cell>
          <cell r="CZ394">
            <v>4</v>
          </cell>
          <cell r="DA394">
            <v>20</v>
          </cell>
          <cell r="DB394"/>
          <cell r="DC394">
            <v>12</v>
          </cell>
          <cell r="DD394">
            <v>12</v>
          </cell>
          <cell r="DE394">
            <v>24</v>
          </cell>
          <cell r="DF394">
            <v>16</v>
          </cell>
          <cell r="DG394">
            <v>8</v>
          </cell>
          <cell r="DH394">
            <v>4</v>
          </cell>
          <cell r="DI394"/>
          <cell r="DJ394">
            <v>12</v>
          </cell>
          <cell r="DK394">
            <v>28</v>
          </cell>
          <cell r="DL394">
            <v>28</v>
          </cell>
          <cell r="DM394">
            <v>12</v>
          </cell>
          <cell r="DN394">
            <v>20</v>
          </cell>
          <cell r="DO394">
            <v>20</v>
          </cell>
          <cell r="DP394">
            <v>24</v>
          </cell>
          <cell r="DQ394">
            <v>32</v>
          </cell>
          <cell r="DR394">
            <v>20</v>
          </cell>
          <cell r="DS394">
            <v>24</v>
          </cell>
          <cell r="DT394">
            <v>24</v>
          </cell>
          <cell r="DU394">
            <v>16</v>
          </cell>
          <cell r="DV394">
            <v>8</v>
          </cell>
          <cell r="DW394">
            <v>20</v>
          </cell>
          <cell r="DX394">
            <v>24</v>
          </cell>
          <cell r="DY394">
            <v>32</v>
          </cell>
          <cell r="DZ394">
            <v>36</v>
          </cell>
          <cell r="EA394"/>
          <cell r="EB394">
            <v>24</v>
          </cell>
          <cell r="EC394">
            <v>20</v>
          </cell>
          <cell r="ED394">
            <v>28</v>
          </cell>
          <cell r="EE394">
            <v>24</v>
          </cell>
          <cell r="EF394">
            <v>12</v>
          </cell>
          <cell r="EG394"/>
          <cell r="EH394">
            <v>20</v>
          </cell>
          <cell r="EI394">
            <v>8</v>
          </cell>
          <cell r="EJ394" t="str">
            <v>ACTIVO</v>
          </cell>
          <cell r="EK394" t="str">
            <v>B</v>
          </cell>
          <cell r="EL394">
            <v>80</v>
          </cell>
          <cell r="EM394">
            <v>22.181818181818183</v>
          </cell>
          <cell r="EN394">
            <v>3.6969696969696972</v>
          </cell>
          <cell r="EO394">
            <v>9.4963795464269385</v>
          </cell>
          <cell r="EP394">
            <v>140</v>
          </cell>
          <cell r="EQ394">
            <v>3130317.4</v>
          </cell>
          <cell r="ER394">
            <v>6.3114754098360653</v>
          </cell>
          <cell r="ES394">
            <v>11.090909090909092</v>
          </cell>
        </row>
        <row r="395">
          <cell r="F395">
            <v>107356</v>
          </cell>
          <cell r="G395" t="str">
            <v>CHOCOLATE SEMI AMARGO 54% MEL</v>
          </cell>
          <cell r="H395">
            <v>30</v>
          </cell>
          <cell r="I395"/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>
            <v>45</v>
          </cell>
          <cell r="W395">
            <v>285</v>
          </cell>
          <cell r="X395">
            <v>44</v>
          </cell>
          <cell r="Y395">
            <v>120</v>
          </cell>
          <cell r="Z395">
            <v>90</v>
          </cell>
          <cell r="AA395">
            <v>170</v>
          </cell>
          <cell r="AB395">
            <v>250</v>
          </cell>
          <cell r="AC395">
            <v>170</v>
          </cell>
          <cell r="AD395">
            <v>390</v>
          </cell>
          <cell r="AE395">
            <v>100</v>
          </cell>
          <cell r="AF395">
            <v>190</v>
          </cell>
          <cell r="AG395">
            <v>160</v>
          </cell>
          <cell r="AH395">
            <v>200</v>
          </cell>
          <cell r="AI395">
            <v>170</v>
          </cell>
          <cell r="AJ395">
            <v>180</v>
          </cell>
          <cell r="AK395">
            <v>200</v>
          </cell>
          <cell r="AL395">
            <v>330</v>
          </cell>
          <cell r="AM395">
            <v>130</v>
          </cell>
          <cell r="AN395">
            <v>130</v>
          </cell>
          <cell r="AO395">
            <v>150</v>
          </cell>
          <cell r="AP395">
            <v>140</v>
          </cell>
          <cell r="AQ395">
            <v>280</v>
          </cell>
          <cell r="AR395">
            <v>210</v>
          </cell>
          <cell r="AS395">
            <v>70</v>
          </cell>
          <cell r="AT395">
            <v>70</v>
          </cell>
          <cell r="AU395">
            <v>160</v>
          </cell>
          <cell r="AV395">
            <v>56.5</v>
          </cell>
          <cell r="AW395"/>
          <cell r="AX395"/>
          <cell r="AY395"/>
          <cell r="AZ395">
            <v>30</v>
          </cell>
          <cell r="BA395">
            <v>30</v>
          </cell>
          <cell r="BB395">
            <v>168</v>
          </cell>
          <cell r="BC395">
            <v>136.44</v>
          </cell>
          <cell r="BD395">
            <v>120</v>
          </cell>
          <cell r="BE395">
            <v>110</v>
          </cell>
          <cell r="BF395">
            <v>60</v>
          </cell>
          <cell r="BG395">
            <v>100</v>
          </cell>
          <cell r="BH395">
            <v>60</v>
          </cell>
          <cell r="BI395">
            <v>110</v>
          </cell>
          <cell r="BJ395">
            <v>84</v>
          </cell>
          <cell r="BK395">
            <v>120</v>
          </cell>
          <cell r="BL395">
            <v>20</v>
          </cell>
          <cell r="BM395">
            <v>50</v>
          </cell>
          <cell r="BN395">
            <v>40</v>
          </cell>
          <cell r="BO395">
            <v>60</v>
          </cell>
          <cell r="BP395">
            <v>80</v>
          </cell>
          <cell r="BQ395">
            <v>50</v>
          </cell>
          <cell r="BR395">
            <v>70</v>
          </cell>
          <cell r="BS395">
            <v>130</v>
          </cell>
          <cell r="BT395">
            <v>110</v>
          </cell>
          <cell r="BU395">
            <v>80</v>
          </cell>
          <cell r="BV395">
            <v>30</v>
          </cell>
          <cell r="BW395">
            <v>130</v>
          </cell>
          <cell r="BX395">
            <v>320</v>
          </cell>
          <cell r="BY395">
            <v>230</v>
          </cell>
          <cell r="BZ395">
            <v>30</v>
          </cell>
          <cell r="CA395">
            <v>200</v>
          </cell>
          <cell r="CB395">
            <v>110</v>
          </cell>
          <cell r="CC395">
            <v>210</v>
          </cell>
          <cell r="CD395">
            <v>60</v>
          </cell>
          <cell r="CE395">
            <v>60</v>
          </cell>
          <cell r="CF395">
            <v>50</v>
          </cell>
          <cell r="CG395">
            <v>180</v>
          </cell>
          <cell r="CH395">
            <v>80</v>
          </cell>
          <cell r="CI395">
            <v>80</v>
          </cell>
          <cell r="CJ395">
            <v>90</v>
          </cell>
          <cell r="CK395">
            <v>200</v>
          </cell>
          <cell r="CL395">
            <v>170</v>
          </cell>
          <cell r="CM395">
            <v>30</v>
          </cell>
          <cell r="CN395">
            <v>60</v>
          </cell>
          <cell r="CO395">
            <v>190</v>
          </cell>
          <cell r="CP395">
            <v>240</v>
          </cell>
          <cell r="CQ395">
            <v>110</v>
          </cell>
          <cell r="CR395">
            <v>160</v>
          </cell>
          <cell r="CS395">
            <v>80</v>
          </cell>
          <cell r="CT395">
            <v>210</v>
          </cell>
          <cell r="CU395">
            <v>30</v>
          </cell>
          <cell r="CV395">
            <v>200</v>
          </cell>
          <cell r="CW395">
            <v>110</v>
          </cell>
          <cell r="CX395">
            <v>100</v>
          </cell>
          <cell r="CY395">
            <v>80</v>
          </cell>
          <cell r="CZ395">
            <v>90</v>
          </cell>
          <cell r="DA395">
            <v>150</v>
          </cell>
          <cell r="DB395">
            <v>50</v>
          </cell>
          <cell r="DC395">
            <v>160</v>
          </cell>
          <cell r="DD395">
            <v>90</v>
          </cell>
          <cell r="DE395">
            <v>150</v>
          </cell>
          <cell r="DF395">
            <v>80</v>
          </cell>
          <cell r="DG395">
            <v>20</v>
          </cell>
          <cell r="DH395">
            <v>30</v>
          </cell>
          <cell r="DI395"/>
          <cell r="DJ395">
            <v>190</v>
          </cell>
          <cell r="DK395">
            <v>140</v>
          </cell>
          <cell r="DL395">
            <v>190</v>
          </cell>
          <cell r="DM395">
            <v>80</v>
          </cell>
          <cell r="DN395">
            <v>110</v>
          </cell>
          <cell r="DO395">
            <v>140</v>
          </cell>
          <cell r="DP395">
            <v>120</v>
          </cell>
          <cell r="DQ395">
            <v>120</v>
          </cell>
          <cell r="DR395">
            <v>110</v>
          </cell>
          <cell r="DS395">
            <v>100</v>
          </cell>
          <cell r="DT395">
            <v>120</v>
          </cell>
          <cell r="DU395">
            <v>80</v>
          </cell>
          <cell r="DV395">
            <v>60</v>
          </cell>
          <cell r="DW395">
            <v>50</v>
          </cell>
          <cell r="DX395"/>
          <cell r="DY395"/>
          <cell r="DZ395">
            <v>98</v>
          </cell>
          <cell r="EA395"/>
          <cell r="EB395">
            <v>62</v>
          </cell>
          <cell r="EC395"/>
          <cell r="ED395">
            <v>100</v>
          </cell>
          <cell r="EE395">
            <v>150</v>
          </cell>
          <cell r="EF395">
            <v>90</v>
          </cell>
          <cell r="EG395">
            <v>20</v>
          </cell>
          <cell r="EH395">
            <v>110</v>
          </cell>
          <cell r="EI395">
            <v>30</v>
          </cell>
          <cell r="EJ395" t="str">
            <v>ACTIVO</v>
          </cell>
          <cell r="EK395" t="str">
            <v>B</v>
          </cell>
          <cell r="EL395"/>
          <cell r="EM395">
            <v>106.5</v>
          </cell>
          <cell r="EN395">
            <v>17.75</v>
          </cell>
          <cell r="EO395">
            <v>66.984802123539595</v>
          </cell>
          <cell r="EP395">
            <v>0</v>
          </cell>
          <cell r="EQ395">
            <v>0</v>
          </cell>
          <cell r="ER395">
            <v>0</v>
          </cell>
          <cell r="ES395">
            <v>35.5</v>
          </cell>
        </row>
        <row r="396">
          <cell r="F396">
            <v>393400</v>
          </cell>
          <cell r="G396" t="str">
            <v>COVER PASTELERÍA U2 SEMIAMARGO GOTA PURATOS</v>
          </cell>
          <cell r="H396">
            <v>34</v>
          </cell>
          <cell r="I396"/>
          <cell r="J396">
            <v>24</v>
          </cell>
          <cell r="K396">
            <v>48</v>
          </cell>
          <cell r="L396">
            <v>12</v>
          </cell>
          <cell r="M396">
            <v>24</v>
          </cell>
          <cell r="N396">
            <v>60</v>
          </cell>
          <cell r="O396"/>
          <cell r="P396">
            <v>36</v>
          </cell>
          <cell r="Q396">
            <v>32</v>
          </cell>
          <cell r="R396"/>
          <cell r="S396">
            <v>10</v>
          </cell>
          <cell r="T396">
            <v>36</v>
          </cell>
          <cell r="U396">
            <v>72</v>
          </cell>
          <cell r="V396">
            <v>60</v>
          </cell>
          <cell r="W396">
            <v>36</v>
          </cell>
          <cell r="X396">
            <v>36</v>
          </cell>
          <cell r="Y396">
            <v>46</v>
          </cell>
          <cell r="Z396">
            <v>36</v>
          </cell>
          <cell r="AA396">
            <v>0</v>
          </cell>
          <cell r="AB396">
            <v>48</v>
          </cell>
          <cell r="AC396">
            <v>44</v>
          </cell>
          <cell r="AD396">
            <v>44</v>
          </cell>
          <cell r="AE396">
            <v>96</v>
          </cell>
          <cell r="AF396">
            <v>12</v>
          </cell>
          <cell r="AG396">
            <v>12</v>
          </cell>
          <cell r="AH396">
            <v>72</v>
          </cell>
          <cell r="AI396">
            <v>48</v>
          </cell>
          <cell r="AJ396">
            <v>48</v>
          </cell>
          <cell r="AK396">
            <v>44</v>
          </cell>
          <cell r="AL396">
            <v>36</v>
          </cell>
          <cell r="AM396">
            <v>60</v>
          </cell>
          <cell r="AN396">
            <v>60</v>
          </cell>
          <cell r="AO396">
            <v>72</v>
          </cell>
          <cell r="AP396">
            <v>48</v>
          </cell>
          <cell r="AQ396">
            <v>36</v>
          </cell>
          <cell r="AR396">
            <v>36</v>
          </cell>
          <cell r="AS396">
            <v>12</v>
          </cell>
          <cell r="AT396">
            <v>72</v>
          </cell>
          <cell r="AU396">
            <v>24</v>
          </cell>
          <cell r="AV396">
            <v>22</v>
          </cell>
          <cell r="AW396">
            <v>84</v>
          </cell>
          <cell r="AX396">
            <v>24</v>
          </cell>
          <cell r="AY396">
            <v>48</v>
          </cell>
          <cell r="AZ396">
            <v>84</v>
          </cell>
          <cell r="BA396">
            <v>36</v>
          </cell>
          <cell r="BB396">
            <v>76</v>
          </cell>
          <cell r="BC396"/>
          <cell r="BD396">
            <v>48</v>
          </cell>
          <cell r="BE396">
            <v>24</v>
          </cell>
          <cell r="BF396">
            <v>84</v>
          </cell>
          <cell r="BG396">
            <v>80</v>
          </cell>
          <cell r="BH396">
            <v>12</v>
          </cell>
          <cell r="BI396">
            <v>60</v>
          </cell>
          <cell r="BJ396">
            <v>48</v>
          </cell>
          <cell r="BK396">
            <v>44</v>
          </cell>
          <cell r="BL396">
            <v>48</v>
          </cell>
          <cell r="BM396">
            <v>96</v>
          </cell>
          <cell r="BN396">
            <v>24</v>
          </cell>
          <cell r="BO396">
            <v>60</v>
          </cell>
          <cell r="BP396"/>
          <cell r="BQ396">
            <v>72</v>
          </cell>
          <cell r="BR396">
            <v>72</v>
          </cell>
          <cell r="BS396">
            <v>54</v>
          </cell>
          <cell r="BT396"/>
          <cell r="BU396">
            <v>72</v>
          </cell>
          <cell r="BV396">
            <v>48</v>
          </cell>
          <cell r="BW396">
            <v>36</v>
          </cell>
          <cell r="BX396">
            <v>36</v>
          </cell>
          <cell r="BY396">
            <v>36</v>
          </cell>
          <cell r="BZ396">
            <v>36</v>
          </cell>
          <cell r="CA396">
            <v>48</v>
          </cell>
          <cell r="CB396"/>
          <cell r="CC396">
            <v>36</v>
          </cell>
          <cell r="CD396">
            <v>24</v>
          </cell>
          <cell r="CE396">
            <v>72</v>
          </cell>
          <cell r="CF396">
            <v>48</v>
          </cell>
          <cell r="CG396">
            <v>48</v>
          </cell>
          <cell r="CH396">
            <v>24</v>
          </cell>
          <cell r="CI396">
            <v>36</v>
          </cell>
          <cell r="CJ396">
            <v>36</v>
          </cell>
          <cell r="CK396">
            <v>48</v>
          </cell>
          <cell r="CL396">
            <v>36</v>
          </cell>
          <cell r="CM396">
            <v>48</v>
          </cell>
          <cell r="CN396">
            <v>30</v>
          </cell>
          <cell r="CO396">
            <v>24</v>
          </cell>
          <cell r="CP396">
            <v>48</v>
          </cell>
          <cell r="CQ396">
            <v>58</v>
          </cell>
          <cell r="CR396">
            <v>12</v>
          </cell>
          <cell r="CS396">
            <v>20</v>
          </cell>
          <cell r="CT396">
            <v>46</v>
          </cell>
          <cell r="CU396">
            <v>24</v>
          </cell>
          <cell r="CV396">
            <v>48</v>
          </cell>
          <cell r="CW396">
            <v>24</v>
          </cell>
          <cell r="CX396">
            <v>24</v>
          </cell>
          <cell r="CY396">
            <v>36</v>
          </cell>
          <cell r="CZ396">
            <v>36</v>
          </cell>
          <cell r="DA396">
            <v>24</v>
          </cell>
          <cell r="DB396">
            <v>36</v>
          </cell>
          <cell r="DC396">
            <v>36</v>
          </cell>
          <cell r="DD396">
            <v>36</v>
          </cell>
          <cell r="DE396">
            <v>36</v>
          </cell>
          <cell r="DF396">
            <v>36</v>
          </cell>
          <cell r="DG396">
            <v>36</v>
          </cell>
          <cell r="DH396">
            <v>24</v>
          </cell>
          <cell r="DI396">
            <v>12</v>
          </cell>
          <cell r="DJ396">
            <v>36</v>
          </cell>
          <cell r="DK396">
            <v>12</v>
          </cell>
          <cell r="DL396">
            <v>34</v>
          </cell>
          <cell r="DM396">
            <v>24</v>
          </cell>
          <cell r="DN396">
            <v>36</v>
          </cell>
          <cell r="DO396">
            <v>48</v>
          </cell>
          <cell r="DP396">
            <v>36</v>
          </cell>
          <cell r="DQ396"/>
          <cell r="DR396">
            <v>36</v>
          </cell>
          <cell r="DS396">
            <v>12</v>
          </cell>
          <cell r="DT396">
            <v>24</v>
          </cell>
          <cell r="DU396">
            <v>58</v>
          </cell>
          <cell r="DV396">
            <v>24</v>
          </cell>
          <cell r="DW396">
            <v>36</v>
          </cell>
          <cell r="DX396">
            <v>60</v>
          </cell>
          <cell r="DY396">
            <v>48</v>
          </cell>
          <cell r="DZ396">
            <v>36</v>
          </cell>
          <cell r="EA396">
            <v>60</v>
          </cell>
          <cell r="EB396">
            <v>24</v>
          </cell>
          <cell r="EC396">
            <v>22</v>
          </cell>
          <cell r="ED396">
            <v>43.84</v>
          </cell>
          <cell r="EE396">
            <v>48</v>
          </cell>
          <cell r="EF396">
            <v>2.36</v>
          </cell>
          <cell r="EG396">
            <v>48</v>
          </cell>
          <cell r="EH396">
            <v>36</v>
          </cell>
          <cell r="EI396">
            <v>34</v>
          </cell>
          <cell r="EJ396" t="str">
            <v>ACTIVO</v>
          </cell>
          <cell r="EK396" t="str">
            <v>C</v>
          </cell>
          <cell r="EL396">
            <v>200</v>
          </cell>
          <cell r="EM396">
            <v>34.175000000000004</v>
          </cell>
          <cell r="EN396">
            <v>5.6958333333333337</v>
          </cell>
          <cell r="EO396">
            <v>16.79280701213882</v>
          </cell>
          <cell r="EP396">
            <v>98</v>
          </cell>
          <cell r="EQ396">
            <v>369460</v>
          </cell>
          <cell r="ER396">
            <v>2.867593269934162</v>
          </cell>
          <cell r="ES396">
            <v>17.087500000000002</v>
          </cell>
        </row>
        <row r="397">
          <cell r="F397">
            <v>107302</v>
          </cell>
          <cell r="G397" t="str">
            <v>BELCOLADE AMARGO 55% PURATOS</v>
          </cell>
          <cell r="H397"/>
          <cell r="I397">
            <v>15</v>
          </cell>
          <cell r="J397">
            <v>15</v>
          </cell>
          <cell r="K397">
            <v>15</v>
          </cell>
          <cell r="L397"/>
          <cell r="M397">
            <v>45</v>
          </cell>
          <cell r="N397">
            <v>15</v>
          </cell>
          <cell r="O397">
            <v>30</v>
          </cell>
          <cell r="P397"/>
          <cell r="Q397">
            <v>45</v>
          </cell>
          <cell r="R397">
            <v>15</v>
          </cell>
          <cell r="S397">
            <v>30</v>
          </cell>
          <cell r="T397">
            <v>45</v>
          </cell>
          <cell r="U397">
            <v>75</v>
          </cell>
          <cell r="V397">
            <v>65</v>
          </cell>
          <cell r="W397">
            <v>43</v>
          </cell>
          <cell r="X397">
            <v>91</v>
          </cell>
          <cell r="Y397">
            <v>34</v>
          </cell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>
            <v>26.5</v>
          </cell>
          <cell r="AV397">
            <v>83.5</v>
          </cell>
          <cell r="AW397">
            <v>224</v>
          </cell>
          <cell r="AX397">
            <v>182</v>
          </cell>
          <cell r="AY397">
            <v>78</v>
          </cell>
          <cell r="AZ397">
            <v>73</v>
          </cell>
          <cell r="BA397">
            <v>24</v>
          </cell>
          <cell r="BB397">
            <v>26</v>
          </cell>
          <cell r="BC397">
            <v>20</v>
          </cell>
          <cell r="BD397"/>
          <cell r="BE397"/>
          <cell r="BF397"/>
          <cell r="BG397">
            <v>20</v>
          </cell>
          <cell r="BH397"/>
          <cell r="BI397"/>
          <cell r="BJ397"/>
          <cell r="BK397">
            <v>60</v>
          </cell>
          <cell r="BL397">
            <v>170</v>
          </cell>
          <cell r="BM397">
            <v>80</v>
          </cell>
          <cell r="BN397">
            <v>40</v>
          </cell>
          <cell r="BO397">
            <v>70</v>
          </cell>
          <cell r="BP397">
            <v>20</v>
          </cell>
          <cell r="BQ397">
            <v>70</v>
          </cell>
          <cell r="BR397">
            <v>30</v>
          </cell>
          <cell r="BS397">
            <v>60</v>
          </cell>
          <cell r="BT397">
            <v>30</v>
          </cell>
          <cell r="BU397"/>
          <cell r="BV397"/>
          <cell r="BW397"/>
          <cell r="BX397">
            <v>10</v>
          </cell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K397"/>
          <cell r="DL397"/>
          <cell r="DM397"/>
          <cell r="DN397"/>
          <cell r="DO397"/>
          <cell r="DP397"/>
          <cell r="DQ397"/>
          <cell r="DR397"/>
          <cell r="DS397"/>
          <cell r="DT397"/>
          <cell r="DU397"/>
          <cell r="DV397"/>
          <cell r="DW397">
            <v>50</v>
          </cell>
          <cell r="DX397">
            <v>147</v>
          </cell>
          <cell r="DY397">
            <v>210</v>
          </cell>
          <cell r="DZ397">
            <v>104</v>
          </cell>
          <cell r="EA397"/>
          <cell r="EB397">
            <v>64</v>
          </cell>
          <cell r="EC397">
            <v>178</v>
          </cell>
          <cell r="ED397">
            <v>77</v>
          </cell>
          <cell r="EE397">
            <v>30</v>
          </cell>
          <cell r="EF397"/>
          <cell r="EG397"/>
          <cell r="EH397"/>
          <cell r="EI397">
            <v>30</v>
          </cell>
          <cell r="EJ397" t="str">
            <v>ACTIVO</v>
          </cell>
          <cell r="EK397" t="str">
            <v>C</v>
          </cell>
          <cell r="EL397">
            <v>0</v>
          </cell>
          <cell r="EM397">
            <v>107.5</v>
          </cell>
          <cell r="EN397">
            <v>17.916666666666668</v>
          </cell>
          <cell r="EO397">
            <v>43.547257506801003</v>
          </cell>
          <cell r="EP397">
            <v>265</v>
          </cell>
          <cell r="EQ397">
            <v>3434400</v>
          </cell>
          <cell r="ER397">
            <v>2.4651162790697674</v>
          </cell>
          <cell r="ES397">
            <v>53.75</v>
          </cell>
        </row>
        <row r="398">
          <cell r="F398">
            <v>405350</v>
          </cell>
          <cell r="G398" t="str">
            <v>MOSTACILLA CIRCULO 6 COLORES AMBROSIA</v>
          </cell>
          <cell r="H398"/>
          <cell r="I398"/>
          <cell r="J398"/>
          <cell r="K398"/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>
            <v>72</v>
          </cell>
          <cell r="AM398">
            <v>128</v>
          </cell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K398"/>
          <cell r="DL398"/>
          <cell r="DM398"/>
          <cell r="DN398"/>
          <cell r="DO398"/>
          <cell r="DP398"/>
          <cell r="DQ398"/>
          <cell r="DR398"/>
          <cell r="DS398"/>
          <cell r="DT398"/>
          <cell r="DU398"/>
          <cell r="DV398"/>
          <cell r="DW398"/>
          <cell r="DX398"/>
          <cell r="DY398"/>
          <cell r="DZ398"/>
          <cell r="EA398"/>
          <cell r="EB398"/>
          <cell r="EC398"/>
          <cell r="ED398"/>
          <cell r="EE398"/>
          <cell r="EF398"/>
          <cell r="EG398"/>
          <cell r="EH398"/>
          <cell r="EI398"/>
          <cell r="EJ398" t="str">
            <v>SIN USO</v>
          </cell>
          <cell r="EK398" t="str">
            <v/>
          </cell>
          <cell r="EL398"/>
          <cell r="EM398">
            <v>0</v>
          </cell>
          <cell r="EN398">
            <v>0</v>
          </cell>
          <cell r="EO398">
            <v>0</v>
          </cell>
          <cell r="EP398">
            <v>0</v>
          </cell>
          <cell r="EQ398">
            <v>0</v>
          </cell>
          <cell r="ER398">
            <v>0</v>
          </cell>
          <cell r="ES398">
            <v>0</v>
          </cell>
        </row>
        <row r="399">
          <cell r="F399">
            <v>101002</v>
          </cell>
          <cell r="G399" t="str">
            <v>CACAO AMARGO PURATOS</v>
          </cell>
          <cell r="H399">
            <v>25</v>
          </cell>
          <cell r="I399">
            <v>25</v>
          </cell>
          <cell r="J399"/>
          <cell r="K399">
            <v>25</v>
          </cell>
          <cell r="L399">
            <v>25</v>
          </cell>
          <cell r="M399">
            <v>25</v>
          </cell>
          <cell r="N399">
            <v>25</v>
          </cell>
          <cell r="O399">
            <v>25</v>
          </cell>
          <cell r="P399">
            <v>50</v>
          </cell>
          <cell r="Q399">
            <v>25</v>
          </cell>
          <cell r="R399">
            <v>25</v>
          </cell>
          <cell r="S399">
            <v>25</v>
          </cell>
          <cell r="T399"/>
          <cell r="U399">
            <v>25</v>
          </cell>
          <cell r="V399">
            <v>50</v>
          </cell>
          <cell r="W399">
            <v>25</v>
          </cell>
          <cell r="X399">
            <v>25</v>
          </cell>
          <cell r="Y399"/>
          <cell r="Z399"/>
          <cell r="AA399"/>
          <cell r="AB399">
            <v>25</v>
          </cell>
          <cell r="AC399">
            <v>25</v>
          </cell>
          <cell r="AD399">
            <v>100</v>
          </cell>
          <cell r="AE399">
            <v>25</v>
          </cell>
          <cell r="AF399">
            <v>25</v>
          </cell>
          <cell r="AG399">
            <v>25</v>
          </cell>
          <cell r="AH399">
            <v>1</v>
          </cell>
          <cell r="AI399">
            <v>25</v>
          </cell>
          <cell r="AJ399">
            <v>50</v>
          </cell>
          <cell r="AK399"/>
          <cell r="AL399"/>
          <cell r="AM399">
            <v>50</v>
          </cell>
          <cell r="AN399">
            <v>25</v>
          </cell>
          <cell r="AO399">
            <v>25</v>
          </cell>
          <cell r="AP399"/>
          <cell r="AQ399">
            <v>50</v>
          </cell>
          <cell r="AR399">
            <v>25</v>
          </cell>
          <cell r="AS399"/>
          <cell r="AT399">
            <v>25</v>
          </cell>
          <cell r="AU399"/>
          <cell r="AV399">
            <v>25</v>
          </cell>
          <cell r="AW399">
            <v>25</v>
          </cell>
          <cell r="AX399">
            <v>25</v>
          </cell>
          <cell r="AY399"/>
          <cell r="AZ399">
            <v>25</v>
          </cell>
          <cell r="BA399">
            <v>25</v>
          </cell>
          <cell r="BB399">
            <v>25</v>
          </cell>
          <cell r="BC399"/>
          <cell r="BD399">
            <v>25</v>
          </cell>
          <cell r="BE399">
            <v>25</v>
          </cell>
          <cell r="BF399">
            <v>25.83</v>
          </cell>
          <cell r="BG399">
            <v>25</v>
          </cell>
          <cell r="BH399"/>
          <cell r="BI399">
            <v>25</v>
          </cell>
          <cell r="BJ399">
            <v>25</v>
          </cell>
          <cell r="BK399">
            <v>50</v>
          </cell>
          <cell r="BL399">
            <v>25</v>
          </cell>
          <cell r="BM399">
            <v>50</v>
          </cell>
          <cell r="BN399"/>
          <cell r="BO399">
            <v>50</v>
          </cell>
          <cell r="BP399">
            <v>25</v>
          </cell>
          <cell r="BQ399">
            <v>25</v>
          </cell>
          <cell r="BR399"/>
          <cell r="BS399"/>
          <cell r="BT399"/>
          <cell r="BU399">
            <v>25</v>
          </cell>
          <cell r="BV399"/>
          <cell r="BW399">
            <v>25</v>
          </cell>
          <cell r="BX399">
            <v>56.489000000000004</v>
          </cell>
          <cell r="BY399">
            <v>25</v>
          </cell>
          <cell r="BZ399"/>
          <cell r="CA399">
            <v>75</v>
          </cell>
          <cell r="CB399"/>
          <cell r="CC399"/>
          <cell r="CD399">
            <v>25</v>
          </cell>
          <cell r="CE399"/>
          <cell r="CF399">
            <v>25</v>
          </cell>
          <cell r="CG399"/>
          <cell r="CH399">
            <v>75</v>
          </cell>
          <cell r="CI399"/>
          <cell r="CJ399"/>
          <cell r="CK399"/>
          <cell r="CL399"/>
          <cell r="CM399">
            <v>75</v>
          </cell>
          <cell r="CN399">
            <v>25</v>
          </cell>
          <cell r="CO399"/>
          <cell r="CP399">
            <v>25</v>
          </cell>
          <cell r="CQ399">
            <v>50</v>
          </cell>
          <cell r="CR399"/>
          <cell r="CS399"/>
          <cell r="CT399">
            <v>25</v>
          </cell>
          <cell r="CU399">
            <v>50</v>
          </cell>
          <cell r="CV399"/>
          <cell r="CW399"/>
          <cell r="CX399">
            <v>25</v>
          </cell>
          <cell r="CY399">
            <v>75</v>
          </cell>
          <cell r="CZ399"/>
          <cell r="DA399"/>
          <cell r="DB399">
            <v>75</v>
          </cell>
          <cell r="DC399">
            <v>25</v>
          </cell>
          <cell r="DD399"/>
          <cell r="DE399"/>
          <cell r="DF399"/>
          <cell r="DG399"/>
          <cell r="DH399"/>
          <cell r="DI399"/>
          <cell r="DJ399"/>
          <cell r="DK399">
            <v>25</v>
          </cell>
          <cell r="DL399"/>
          <cell r="DM399">
            <v>50</v>
          </cell>
          <cell r="DN399"/>
          <cell r="DO399">
            <v>50</v>
          </cell>
          <cell r="DP399"/>
          <cell r="DQ399"/>
          <cell r="DR399">
            <v>25</v>
          </cell>
          <cell r="DS399">
            <v>25</v>
          </cell>
          <cell r="DT399">
            <v>25</v>
          </cell>
          <cell r="DU399"/>
          <cell r="DV399"/>
          <cell r="DW399"/>
          <cell r="DX399">
            <v>50</v>
          </cell>
          <cell r="DY399">
            <v>25</v>
          </cell>
          <cell r="DZ399"/>
          <cell r="EA399"/>
          <cell r="EB399">
            <v>50</v>
          </cell>
          <cell r="EC399">
            <v>25</v>
          </cell>
          <cell r="ED399">
            <v>25</v>
          </cell>
          <cell r="EE399">
            <v>25</v>
          </cell>
          <cell r="EF399"/>
          <cell r="EG399"/>
          <cell r="EH399"/>
          <cell r="EI399"/>
          <cell r="EJ399" t="str">
            <v>ACTIVO</v>
          </cell>
          <cell r="EK399" t="str">
            <v>C</v>
          </cell>
          <cell r="EL399">
            <v>375</v>
          </cell>
          <cell r="EM399">
            <v>33.333333333333336</v>
          </cell>
          <cell r="EN399">
            <v>5.5555555555555562</v>
          </cell>
          <cell r="EO399">
            <v>20.259743260010442</v>
          </cell>
          <cell r="EP399">
            <v>125</v>
          </cell>
          <cell r="EQ399">
            <v>1558445</v>
          </cell>
          <cell r="ER399">
            <v>3.7499999999999996</v>
          </cell>
          <cell r="ES399">
            <v>16.666666666666668</v>
          </cell>
        </row>
        <row r="400">
          <cell r="F400">
            <v>107108</v>
          </cell>
          <cell r="G400" t="str">
            <v>DECORCREM NEGRO PURATOS</v>
          </cell>
          <cell r="H400">
            <v>985.5</v>
          </cell>
          <cell r="I400">
            <v>603</v>
          </cell>
          <cell r="J400">
            <v>1012.5</v>
          </cell>
          <cell r="K400">
            <v>477</v>
          </cell>
          <cell r="L400">
            <v>652.5</v>
          </cell>
          <cell r="M400">
            <v>517.5</v>
          </cell>
          <cell r="N400">
            <v>504</v>
          </cell>
          <cell r="O400">
            <v>598.5</v>
          </cell>
          <cell r="P400">
            <v>400.5</v>
          </cell>
          <cell r="Q400">
            <v>774</v>
          </cell>
          <cell r="R400">
            <v>693</v>
          </cell>
          <cell r="S400">
            <v>423</v>
          </cell>
          <cell r="T400">
            <v>137.5</v>
          </cell>
          <cell r="U400">
            <v>792.5</v>
          </cell>
          <cell r="V400">
            <v>810</v>
          </cell>
          <cell r="W400">
            <v>639</v>
          </cell>
          <cell r="X400">
            <v>769.5</v>
          </cell>
          <cell r="Y400">
            <v>1215</v>
          </cell>
          <cell r="Z400">
            <v>940.5</v>
          </cell>
          <cell r="AA400">
            <v>418.5</v>
          </cell>
          <cell r="AB400">
            <v>877.5</v>
          </cell>
          <cell r="AC400">
            <v>986.5</v>
          </cell>
          <cell r="AD400">
            <v>936</v>
          </cell>
          <cell r="AE400">
            <v>922.5</v>
          </cell>
          <cell r="AF400">
            <v>391.5</v>
          </cell>
          <cell r="AG400">
            <v>756</v>
          </cell>
          <cell r="AH400">
            <v>517.5</v>
          </cell>
          <cell r="AI400">
            <v>1210.5</v>
          </cell>
          <cell r="AJ400">
            <v>1269</v>
          </cell>
          <cell r="AK400">
            <v>567</v>
          </cell>
          <cell r="AL400">
            <v>1557</v>
          </cell>
          <cell r="AM400">
            <v>603</v>
          </cell>
          <cell r="AN400">
            <v>765</v>
          </cell>
          <cell r="AO400">
            <v>616.5</v>
          </cell>
          <cell r="AP400">
            <v>738</v>
          </cell>
          <cell r="AQ400">
            <v>720</v>
          </cell>
          <cell r="AR400">
            <v>1089</v>
          </cell>
          <cell r="AS400">
            <v>297</v>
          </cell>
          <cell r="AT400">
            <v>855</v>
          </cell>
          <cell r="AU400">
            <v>576</v>
          </cell>
          <cell r="AV400">
            <v>805.5</v>
          </cell>
          <cell r="AW400">
            <v>652.5</v>
          </cell>
          <cell r="AX400">
            <v>760.5</v>
          </cell>
          <cell r="AY400">
            <v>706.5</v>
          </cell>
          <cell r="AZ400">
            <v>423</v>
          </cell>
          <cell r="BA400">
            <v>171</v>
          </cell>
          <cell r="BB400">
            <v>554.70000000000005</v>
          </cell>
          <cell r="BC400">
            <v>400.5</v>
          </cell>
          <cell r="BD400">
            <v>243</v>
          </cell>
          <cell r="BE400">
            <v>310.5</v>
          </cell>
          <cell r="BF400">
            <v>167.5</v>
          </cell>
          <cell r="BG400">
            <v>661.5</v>
          </cell>
          <cell r="BH400">
            <v>373.5</v>
          </cell>
          <cell r="BI400">
            <v>1012.5</v>
          </cell>
          <cell r="BJ400">
            <v>625.5</v>
          </cell>
          <cell r="BK400">
            <v>689.5</v>
          </cell>
          <cell r="BL400">
            <v>644.5</v>
          </cell>
          <cell r="BM400">
            <v>769.5</v>
          </cell>
          <cell r="BN400">
            <v>684.5</v>
          </cell>
          <cell r="BO400">
            <v>693</v>
          </cell>
          <cell r="BP400">
            <v>476.5</v>
          </cell>
          <cell r="BQ400">
            <v>647.5</v>
          </cell>
          <cell r="BR400">
            <v>808.5</v>
          </cell>
          <cell r="BS400">
            <v>501</v>
          </cell>
          <cell r="BT400">
            <v>751.5</v>
          </cell>
          <cell r="BU400">
            <v>634.5</v>
          </cell>
          <cell r="BV400">
            <v>1350</v>
          </cell>
          <cell r="BW400">
            <v>1719</v>
          </cell>
          <cell r="BX400">
            <v>1165.5</v>
          </cell>
          <cell r="BY400">
            <v>1255.5</v>
          </cell>
          <cell r="BZ400">
            <v>922.5</v>
          </cell>
          <cell r="CA400">
            <v>517.5</v>
          </cell>
          <cell r="CB400">
            <v>1624.5</v>
          </cell>
          <cell r="CC400">
            <v>963</v>
          </cell>
          <cell r="CD400">
            <v>2313</v>
          </cell>
          <cell r="CE400">
            <v>1399.5</v>
          </cell>
          <cell r="CF400">
            <v>927</v>
          </cell>
          <cell r="CG400">
            <v>814.5</v>
          </cell>
          <cell r="CH400">
            <v>1399.5</v>
          </cell>
          <cell r="CI400">
            <v>1993.5</v>
          </cell>
          <cell r="CJ400">
            <v>1039.5</v>
          </cell>
          <cell r="CK400">
            <v>1201.5</v>
          </cell>
          <cell r="CL400">
            <v>1494</v>
          </cell>
          <cell r="CM400">
            <v>1390.5</v>
          </cell>
          <cell r="CN400">
            <v>481.5</v>
          </cell>
          <cell r="CO400">
            <v>1251</v>
          </cell>
          <cell r="CP400">
            <v>1363.5</v>
          </cell>
          <cell r="CQ400">
            <v>1014</v>
          </cell>
          <cell r="CR400">
            <v>1660.5</v>
          </cell>
          <cell r="CS400">
            <v>711</v>
          </cell>
          <cell r="CT400">
            <v>1431</v>
          </cell>
          <cell r="CU400">
            <v>738</v>
          </cell>
          <cell r="CV400">
            <v>1588.5</v>
          </cell>
          <cell r="CW400">
            <v>829</v>
          </cell>
          <cell r="CX400">
            <v>918</v>
          </cell>
          <cell r="CY400">
            <v>922.5</v>
          </cell>
          <cell r="CZ400">
            <v>1669.5</v>
          </cell>
          <cell r="DA400">
            <v>913.5</v>
          </cell>
          <cell r="DB400">
            <v>769.5</v>
          </cell>
          <cell r="DC400">
            <v>895.5</v>
          </cell>
          <cell r="DD400">
            <v>1044</v>
          </cell>
          <cell r="DE400">
            <v>783</v>
          </cell>
          <cell r="DF400">
            <v>1747.5</v>
          </cell>
          <cell r="DG400">
            <v>1242</v>
          </cell>
          <cell r="DH400">
            <v>1030.5</v>
          </cell>
          <cell r="DI400">
            <v>117</v>
          </cell>
          <cell r="DJ400">
            <v>873</v>
          </cell>
          <cell r="DK400">
            <v>571.5</v>
          </cell>
          <cell r="DL400">
            <v>1345.5</v>
          </cell>
          <cell r="DM400">
            <v>792</v>
          </cell>
          <cell r="DN400">
            <v>1161</v>
          </cell>
          <cell r="DO400">
            <v>1440</v>
          </cell>
          <cell r="DP400">
            <v>1381.5</v>
          </cell>
          <cell r="DQ400">
            <v>1314</v>
          </cell>
          <cell r="DR400">
            <v>1462.5</v>
          </cell>
          <cell r="DS400">
            <v>567</v>
          </cell>
          <cell r="DT400">
            <v>562.5</v>
          </cell>
          <cell r="DU400">
            <v>1521</v>
          </cell>
          <cell r="DV400">
            <v>985.5</v>
          </cell>
          <cell r="DW400">
            <v>1431</v>
          </cell>
          <cell r="DX400">
            <v>1579.5</v>
          </cell>
          <cell r="DY400">
            <v>859.5</v>
          </cell>
          <cell r="DZ400">
            <v>1687.5</v>
          </cell>
          <cell r="EA400">
            <v>837</v>
          </cell>
          <cell r="EB400">
            <v>1026</v>
          </cell>
          <cell r="EC400">
            <v>2007</v>
          </cell>
          <cell r="ED400">
            <v>1557</v>
          </cell>
          <cell r="EE400">
            <v>945</v>
          </cell>
          <cell r="EF400">
            <v>1521</v>
          </cell>
          <cell r="EG400">
            <v>1291.5</v>
          </cell>
          <cell r="EH400">
            <v>1246.5</v>
          </cell>
          <cell r="EI400">
            <v>1075.5</v>
          </cell>
          <cell r="EJ400" t="str">
            <v>ACTIVO</v>
          </cell>
          <cell r="EK400" t="str">
            <v>A</v>
          </cell>
          <cell r="EL400">
            <v>540</v>
          </cell>
          <cell r="EM400">
            <v>1153.44</v>
          </cell>
          <cell r="EN400">
            <v>192.24</v>
          </cell>
          <cell r="EO400">
            <v>425.57855459606452</v>
          </cell>
          <cell r="EP400">
            <v>873</v>
          </cell>
          <cell r="EQ400">
            <v>3666591.27</v>
          </cell>
          <cell r="ER400">
            <v>0.75686641697877655</v>
          </cell>
          <cell r="ES400">
            <v>576.72</v>
          </cell>
        </row>
        <row r="401">
          <cell r="F401">
            <v>107127</v>
          </cell>
          <cell r="G401" t="str">
            <v>DECORCREM BLANCO 4k PURATOS</v>
          </cell>
          <cell r="H401">
            <v>264</v>
          </cell>
          <cell r="I401"/>
          <cell r="J401">
            <v>240</v>
          </cell>
          <cell r="K401"/>
          <cell r="L401">
            <v>140</v>
          </cell>
          <cell r="M401">
            <v>56</v>
          </cell>
          <cell r="N401">
            <v>144</v>
          </cell>
          <cell r="O401">
            <v>128</v>
          </cell>
          <cell r="P401">
            <v>8</v>
          </cell>
          <cell r="Q401">
            <v>24</v>
          </cell>
          <cell r="R401">
            <v>20</v>
          </cell>
          <cell r="S401">
            <v>244</v>
          </cell>
          <cell r="T401">
            <v>8</v>
          </cell>
          <cell r="U401">
            <v>144</v>
          </cell>
          <cell r="V401">
            <v>92</v>
          </cell>
          <cell r="W401">
            <v>92</v>
          </cell>
          <cell r="X401">
            <v>136</v>
          </cell>
          <cell r="Y401">
            <v>128</v>
          </cell>
          <cell r="Z401">
            <v>208</v>
          </cell>
          <cell r="AA401">
            <v>8</v>
          </cell>
          <cell r="AB401">
            <v>208</v>
          </cell>
          <cell r="AC401">
            <v>244</v>
          </cell>
          <cell r="AD401">
            <v>16</v>
          </cell>
          <cell r="AE401">
            <v>212</v>
          </cell>
          <cell r="AF401">
            <v>8</v>
          </cell>
          <cell r="AG401">
            <v>128</v>
          </cell>
          <cell r="AH401">
            <v>9</v>
          </cell>
          <cell r="AI401">
            <v>172</v>
          </cell>
          <cell r="AJ401">
            <v>220</v>
          </cell>
          <cell r="AK401">
            <v>12</v>
          </cell>
          <cell r="AL401">
            <v>248</v>
          </cell>
          <cell r="AM401">
            <v>16</v>
          </cell>
          <cell r="AN401">
            <v>248</v>
          </cell>
          <cell r="AO401">
            <v>156</v>
          </cell>
          <cell r="AP401">
            <v>4</v>
          </cell>
          <cell r="AQ401">
            <v>132</v>
          </cell>
          <cell r="AR401">
            <v>188</v>
          </cell>
          <cell r="AS401">
            <v>24</v>
          </cell>
          <cell r="AT401">
            <v>48</v>
          </cell>
          <cell r="AU401">
            <v>88</v>
          </cell>
          <cell r="AV401">
            <v>140</v>
          </cell>
          <cell r="AW401">
            <v>137</v>
          </cell>
          <cell r="AX401">
            <v>28</v>
          </cell>
          <cell r="AY401">
            <v>40</v>
          </cell>
          <cell r="AZ401">
            <v>103</v>
          </cell>
          <cell r="BA401">
            <v>24</v>
          </cell>
          <cell r="BB401">
            <v>104</v>
          </cell>
          <cell r="BC401">
            <v>148</v>
          </cell>
          <cell r="BD401">
            <v>24</v>
          </cell>
          <cell r="BE401">
            <v>24</v>
          </cell>
          <cell r="BF401">
            <v>104</v>
          </cell>
          <cell r="BG401">
            <v>100</v>
          </cell>
          <cell r="BH401">
            <v>20</v>
          </cell>
          <cell r="BI401">
            <v>48</v>
          </cell>
          <cell r="BJ401">
            <v>160</v>
          </cell>
          <cell r="BK401">
            <v>56</v>
          </cell>
          <cell r="BL401">
            <v>88</v>
          </cell>
          <cell r="BM401">
            <v>104</v>
          </cell>
          <cell r="BN401">
            <v>104</v>
          </cell>
          <cell r="BO401">
            <v>84</v>
          </cell>
          <cell r="BP401">
            <v>84</v>
          </cell>
          <cell r="BQ401">
            <v>20</v>
          </cell>
          <cell r="BR401">
            <v>188</v>
          </cell>
          <cell r="BS401">
            <v>24</v>
          </cell>
          <cell r="BT401">
            <v>84</v>
          </cell>
          <cell r="BU401">
            <v>124</v>
          </cell>
          <cell r="BV401">
            <v>108</v>
          </cell>
          <cell r="BW401">
            <v>156</v>
          </cell>
          <cell r="BX401">
            <v>28</v>
          </cell>
          <cell r="BY401">
            <v>84.5</v>
          </cell>
          <cell r="BZ401">
            <v>192</v>
          </cell>
          <cell r="CA401">
            <v>28</v>
          </cell>
          <cell r="CB401">
            <v>104</v>
          </cell>
          <cell r="CC401">
            <v>264</v>
          </cell>
          <cell r="CD401">
            <v>144</v>
          </cell>
          <cell r="CE401">
            <v>168.5</v>
          </cell>
          <cell r="CF401">
            <v>32</v>
          </cell>
          <cell r="CG401">
            <v>44</v>
          </cell>
          <cell r="CH401">
            <v>24</v>
          </cell>
          <cell r="CI401">
            <v>144</v>
          </cell>
          <cell r="CJ401">
            <v>24</v>
          </cell>
          <cell r="CK401">
            <v>92</v>
          </cell>
          <cell r="CL401">
            <v>16</v>
          </cell>
          <cell r="CM401">
            <v>12</v>
          </cell>
          <cell r="CN401">
            <v>4</v>
          </cell>
          <cell r="CO401"/>
          <cell r="CP401"/>
          <cell r="CQ401">
            <v>8</v>
          </cell>
          <cell r="CR401">
            <v>48</v>
          </cell>
          <cell r="CS401"/>
          <cell r="CT401">
            <v>116</v>
          </cell>
          <cell r="CU401">
            <v>12</v>
          </cell>
          <cell r="CV401">
            <v>136</v>
          </cell>
          <cell r="CW401">
            <v>52</v>
          </cell>
          <cell r="CX401">
            <v>84</v>
          </cell>
          <cell r="CY401">
            <v>112</v>
          </cell>
          <cell r="CZ401">
            <v>140</v>
          </cell>
          <cell r="DA401">
            <v>24</v>
          </cell>
          <cell r="DB401">
            <v>104</v>
          </cell>
          <cell r="DC401">
            <v>88</v>
          </cell>
          <cell r="DD401">
            <v>36</v>
          </cell>
          <cell r="DE401">
            <v>80</v>
          </cell>
          <cell r="DF401">
            <v>40</v>
          </cell>
          <cell r="DG401">
            <v>100.5</v>
          </cell>
          <cell r="DH401">
            <v>12</v>
          </cell>
          <cell r="DI401">
            <v>20</v>
          </cell>
          <cell r="DJ401">
            <v>144</v>
          </cell>
          <cell r="DK401">
            <v>24</v>
          </cell>
          <cell r="DL401">
            <v>68</v>
          </cell>
          <cell r="DM401">
            <v>64</v>
          </cell>
          <cell r="DN401">
            <v>20</v>
          </cell>
          <cell r="DO401">
            <v>76</v>
          </cell>
          <cell r="DP401">
            <v>84</v>
          </cell>
          <cell r="DQ401">
            <v>20</v>
          </cell>
          <cell r="DR401">
            <v>280</v>
          </cell>
          <cell r="DS401">
            <v>84</v>
          </cell>
          <cell r="DT401">
            <v>76</v>
          </cell>
          <cell r="DU401">
            <v>31</v>
          </cell>
          <cell r="DV401">
            <v>88</v>
          </cell>
          <cell r="DW401"/>
          <cell r="DX401">
            <v>144</v>
          </cell>
          <cell r="DY401">
            <v>208</v>
          </cell>
          <cell r="DZ401">
            <v>584</v>
          </cell>
          <cell r="EA401">
            <v>628</v>
          </cell>
          <cell r="EB401">
            <v>28</v>
          </cell>
          <cell r="EC401">
            <v>64</v>
          </cell>
          <cell r="ED401">
            <v>144</v>
          </cell>
          <cell r="EE401">
            <v>100</v>
          </cell>
          <cell r="EF401">
            <v>192</v>
          </cell>
          <cell r="EG401">
            <v>160</v>
          </cell>
          <cell r="EH401">
            <v>112</v>
          </cell>
          <cell r="EI401">
            <v>20</v>
          </cell>
          <cell r="EJ401" t="str">
            <v>ACTIVO</v>
          </cell>
          <cell r="EK401" t="str">
            <v>B</v>
          </cell>
          <cell r="EL401">
            <v>480</v>
          </cell>
          <cell r="EM401">
            <v>138.79166666666666</v>
          </cell>
          <cell r="EN401">
            <v>23.131944444444443</v>
          </cell>
          <cell r="EO401">
            <v>58.151060319881793</v>
          </cell>
          <cell r="EP401">
            <v>360</v>
          </cell>
          <cell r="EQ401">
            <v>2254759.2000000002</v>
          </cell>
          <cell r="ER401">
            <v>2.5938156709696791</v>
          </cell>
          <cell r="ES401">
            <v>69.395833333333329</v>
          </cell>
        </row>
        <row r="402">
          <cell r="F402">
            <v>107197</v>
          </cell>
          <cell r="G402" t="str">
            <v>COBERTURA CHOCOLATE BLANCO</v>
          </cell>
          <cell r="H402">
            <v>170</v>
          </cell>
          <cell r="I402">
            <v>130</v>
          </cell>
          <cell r="J402">
            <v>10</v>
          </cell>
          <cell r="K402">
            <v>10</v>
          </cell>
          <cell r="L402">
            <v>20</v>
          </cell>
          <cell r="M402"/>
          <cell r="N402"/>
          <cell r="O402">
            <v>20</v>
          </cell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>
            <v>244</v>
          </cell>
          <cell r="CL402">
            <v>24</v>
          </cell>
          <cell r="CM402">
            <v>24</v>
          </cell>
          <cell r="CN402">
            <v>40</v>
          </cell>
          <cell r="CO402">
            <v>168</v>
          </cell>
          <cell r="CP402">
            <v>144</v>
          </cell>
          <cell r="CQ402">
            <v>160</v>
          </cell>
          <cell r="CR402">
            <v>36</v>
          </cell>
          <cell r="CS402">
            <v>16</v>
          </cell>
          <cell r="CT402">
            <v>40</v>
          </cell>
          <cell r="CU402">
            <v>72</v>
          </cell>
          <cell r="CV402">
            <v>20</v>
          </cell>
          <cell r="CW402">
            <v>44</v>
          </cell>
          <cell r="CX402">
            <v>20</v>
          </cell>
          <cell r="CY402">
            <v>24</v>
          </cell>
          <cell r="CZ402">
            <v>12</v>
          </cell>
          <cell r="DA402">
            <v>12</v>
          </cell>
          <cell r="DB402"/>
          <cell r="DC402">
            <v>20</v>
          </cell>
          <cell r="DD402"/>
          <cell r="DE402">
            <v>36</v>
          </cell>
          <cell r="DF402">
            <v>25</v>
          </cell>
          <cell r="DG402">
            <v>20</v>
          </cell>
          <cell r="DH402"/>
          <cell r="DI402"/>
          <cell r="DJ402"/>
          <cell r="DK402"/>
          <cell r="DL402"/>
          <cell r="DM402"/>
          <cell r="DN402">
            <v>72</v>
          </cell>
          <cell r="DO402">
            <v>24</v>
          </cell>
          <cell r="DP402">
            <v>60</v>
          </cell>
          <cell r="DQ402">
            <v>156</v>
          </cell>
          <cell r="DR402">
            <v>24</v>
          </cell>
          <cell r="DS402">
            <v>60</v>
          </cell>
          <cell r="DT402">
            <v>36</v>
          </cell>
          <cell r="DU402">
            <v>48</v>
          </cell>
          <cell r="DV402">
            <v>40</v>
          </cell>
          <cell r="DW402">
            <v>72</v>
          </cell>
          <cell r="DX402"/>
          <cell r="DY402"/>
          <cell r="DZ402"/>
          <cell r="EA402">
            <v>32</v>
          </cell>
          <cell r="EB402"/>
          <cell r="EC402"/>
          <cell r="ED402"/>
          <cell r="EE402"/>
          <cell r="EF402"/>
          <cell r="EG402"/>
          <cell r="EH402"/>
          <cell r="EI402"/>
          <cell r="EJ402" t="str">
            <v>SIN USO</v>
          </cell>
          <cell r="EK402" t="str">
            <v>C</v>
          </cell>
          <cell r="EL402" t="str">
            <v/>
          </cell>
          <cell r="EM402">
            <v>56.727272727272727</v>
          </cell>
          <cell r="EN402">
            <v>9.454545454545455</v>
          </cell>
          <cell r="EO402">
            <v>64.350306174577796</v>
          </cell>
          <cell r="EP402">
            <v>420</v>
          </cell>
          <cell r="EQ402">
            <v>2224593</v>
          </cell>
          <cell r="ER402">
            <v>7.4038461538461542</v>
          </cell>
          <cell r="ES402">
            <v>28.363636363636367</v>
          </cell>
        </row>
        <row r="403">
          <cell r="F403">
            <v>405529</v>
          </cell>
          <cell r="G403" t="str">
            <v>FLOR MANGUEADA GANACHE AMBROSIA</v>
          </cell>
          <cell r="H403"/>
          <cell r="I403"/>
          <cell r="J403"/>
          <cell r="K403"/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>
            <v>5000</v>
          </cell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K403"/>
          <cell r="DL403"/>
          <cell r="DM403"/>
          <cell r="DN403"/>
          <cell r="DO403"/>
          <cell r="DP403"/>
          <cell r="DQ403"/>
          <cell r="DR403"/>
          <cell r="DS403"/>
          <cell r="DT403"/>
          <cell r="DU403"/>
          <cell r="DV403"/>
          <cell r="DW403"/>
          <cell r="DX403"/>
          <cell r="DY403"/>
          <cell r="DZ403"/>
          <cell r="EA403"/>
          <cell r="EB403"/>
          <cell r="EC403"/>
          <cell r="ED403"/>
          <cell r="EE403"/>
          <cell r="EF403"/>
          <cell r="EG403"/>
          <cell r="EH403"/>
          <cell r="EI403"/>
          <cell r="EJ403" t="str">
            <v>SIN USO</v>
          </cell>
          <cell r="EK403" t="str">
            <v>C</v>
          </cell>
          <cell r="EL403" t="str">
            <v/>
          </cell>
          <cell r="EM403">
            <v>0</v>
          </cell>
          <cell r="EN403">
            <v>0</v>
          </cell>
          <cell r="EO403">
            <v>0</v>
          </cell>
          <cell r="EP403">
            <v>0</v>
          </cell>
          <cell r="EQ403">
            <v>0</v>
          </cell>
          <cell r="ER403">
            <v>0</v>
          </cell>
          <cell r="ES403">
            <v>0</v>
          </cell>
        </row>
        <row r="404">
          <cell r="F404">
            <v>405541</v>
          </cell>
          <cell r="G404" t="str">
            <v>CÍRCULO BLANCO #80 DDM JUMBO 2025</v>
          </cell>
          <cell r="H404"/>
          <cell r="I404"/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>
            <v>0</v>
          </cell>
          <cell r="DE404"/>
          <cell r="DF404"/>
          <cell r="DG404"/>
          <cell r="DH404">
            <v>2792</v>
          </cell>
          <cell r="DI404"/>
          <cell r="DJ404"/>
          <cell r="DK404"/>
          <cell r="DL404"/>
          <cell r="DM404"/>
          <cell r="DN404"/>
          <cell r="DO404"/>
          <cell r="DP404"/>
          <cell r="DQ404"/>
          <cell r="DR404"/>
          <cell r="DS404"/>
          <cell r="DT404"/>
          <cell r="DU404"/>
          <cell r="DV404"/>
          <cell r="DW404"/>
          <cell r="DX404"/>
          <cell r="DY404"/>
          <cell r="DZ404"/>
          <cell r="EA404"/>
          <cell r="EB404"/>
          <cell r="EC404"/>
          <cell r="ED404"/>
          <cell r="EE404"/>
          <cell r="EF404"/>
          <cell r="EG404"/>
          <cell r="EH404"/>
          <cell r="EI404"/>
          <cell r="EJ404" t="str">
            <v>SIN USO</v>
          </cell>
          <cell r="EK404" t="str">
            <v>B</v>
          </cell>
          <cell r="EL404" t="str">
            <v/>
          </cell>
          <cell r="EM404">
            <v>0</v>
          </cell>
          <cell r="EN404">
            <v>0</v>
          </cell>
          <cell r="EO404">
            <v>1974.2421330728407</v>
          </cell>
          <cell r="EP404">
            <v>0</v>
          </cell>
          <cell r="EQ404">
            <v>0</v>
          </cell>
          <cell r="ER404">
            <v>0</v>
          </cell>
          <cell r="ES404">
            <v>0</v>
          </cell>
        </row>
        <row r="405">
          <cell r="F405">
            <v>405134</v>
          </cell>
          <cell r="G405" t="str">
            <v>TRIANGULO NEGRO 45mm ZUKKER</v>
          </cell>
          <cell r="H405">
            <v>4000</v>
          </cell>
          <cell r="I405"/>
          <cell r="J405"/>
          <cell r="K405">
            <v>28000</v>
          </cell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>
            <v>800</v>
          </cell>
          <cell r="AR405"/>
          <cell r="AS405"/>
          <cell r="AT405">
            <v>1200</v>
          </cell>
          <cell r="AU405"/>
          <cell r="AV405"/>
          <cell r="AW405">
            <v>400</v>
          </cell>
          <cell r="AX405">
            <v>10000</v>
          </cell>
          <cell r="AY405"/>
          <cell r="AZ405">
            <v>3600</v>
          </cell>
          <cell r="BA405">
            <v>6400</v>
          </cell>
          <cell r="BB405"/>
          <cell r="BC405"/>
          <cell r="BD405">
            <v>6000</v>
          </cell>
          <cell r="BE405">
            <v>4400</v>
          </cell>
          <cell r="BF405"/>
          <cell r="BG405"/>
          <cell r="BH405"/>
          <cell r="BI405"/>
          <cell r="BJ405">
            <v>7200</v>
          </cell>
          <cell r="BK405"/>
          <cell r="BL405">
            <v>4000</v>
          </cell>
          <cell r="BM405">
            <v>4000</v>
          </cell>
          <cell r="BN405">
            <v>400</v>
          </cell>
          <cell r="BO405">
            <v>8000</v>
          </cell>
          <cell r="BP405"/>
          <cell r="BQ405">
            <v>1200</v>
          </cell>
          <cell r="BR405">
            <v>4000</v>
          </cell>
          <cell r="BS405"/>
          <cell r="BT405"/>
          <cell r="BU405">
            <v>6400</v>
          </cell>
          <cell r="BV405">
            <v>5200</v>
          </cell>
          <cell r="BW405">
            <v>10000</v>
          </cell>
          <cell r="BX405">
            <v>13200</v>
          </cell>
          <cell r="BY405">
            <v>6400</v>
          </cell>
          <cell r="BZ405">
            <v>2000</v>
          </cell>
          <cell r="CA405">
            <v>4800</v>
          </cell>
          <cell r="CB405">
            <v>10000</v>
          </cell>
          <cell r="CC405">
            <v>2800</v>
          </cell>
          <cell r="CD405">
            <v>13200</v>
          </cell>
          <cell r="CE405">
            <v>3200</v>
          </cell>
          <cell r="CF405">
            <v>14000</v>
          </cell>
          <cell r="CG405">
            <v>4800</v>
          </cell>
          <cell r="CH405">
            <v>5200</v>
          </cell>
          <cell r="CI405">
            <v>18800</v>
          </cell>
          <cell r="CJ405">
            <v>4400</v>
          </cell>
          <cell r="CK405">
            <v>7200</v>
          </cell>
          <cell r="CL405">
            <v>12000</v>
          </cell>
          <cell r="CM405">
            <v>3600</v>
          </cell>
          <cell r="CN405">
            <v>4000</v>
          </cell>
          <cell r="CO405">
            <v>8000</v>
          </cell>
          <cell r="CP405">
            <v>8800</v>
          </cell>
          <cell r="CQ405">
            <v>4800</v>
          </cell>
          <cell r="CR405">
            <v>14000</v>
          </cell>
          <cell r="CS405">
            <v>7200</v>
          </cell>
          <cell r="CT405">
            <v>4800</v>
          </cell>
          <cell r="CU405">
            <v>4800</v>
          </cell>
          <cell r="CV405">
            <v>8800</v>
          </cell>
          <cell r="CW405">
            <v>12800</v>
          </cell>
          <cell r="CX405"/>
          <cell r="CY405">
            <v>2400</v>
          </cell>
          <cell r="CZ405">
            <v>12000</v>
          </cell>
          <cell r="DA405">
            <v>2400</v>
          </cell>
          <cell r="DB405">
            <v>7600</v>
          </cell>
          <cell r="DC405"/>
          <cell r="DD405">
            <v>6000</v>
          </cell>
          <cell r="DE405">
            <v>4000</v>
          </cell>
          <cell r="DF405">
            <v>12000</v>
          </cell>
          <cell r="DG405"/>
          <cell r="DH405">
            <v>8400</v>
          </cell>
          <cell r="DI405"/>
          <cell r="DJ405">
            <v>4000</v>
          </cell>
          <cell r="DK405">
            <v>4000</v>
          </cell>
          <cell r="DL405">
            <v>8000</v>
          </cell>
          <cell r="DM405">
            <v>7600</v>
          </cell>
          <cell r="DN405">
            <v>8400</v>
          </cell>
          <cell r="DO405">
            <v>10400</v>
          </cell>
          <cell r="DP405">
            <v>4400</v>
          </cell>
          <cell r="DQ405">
            <v>6000</v>
          </cell>
          <cell r="DR405">
            <v>12400</v>
          </cell>
          <cell r="DS405">
            <v>4000</v>
          </cell>
          <cell r="DT405">
            <v>14000</v>
          </cell>
          <cell r="DU405">
            <v>6400</v>
          </cell>
          <cell r="DV405"/>
          <cell r="DW405">
            <v>4400</v>
          </cell>
          <cell r="DX405">
            <v>12000</v>
          </cell>
          <cell r="DY405">
            <v>6000</v>
          </cell>
          <cell r="DZ405">
            <v>4800</v>
          </cell>
          <cell r="EA405"/>
          <cell r="EB405">
            <v>6000</v>
          </cell>
          <cell r="EC405">
            <v>4400</v>
          </cell>
          <cell r="ED405">
            <v>10000</v>
          </cell>
          <cell r="EE405">
            <v>9200</v>
          </cell>
          <cell r="EF405">
            <v>6800</v>
          </cell>
          <cell r="EG405">
            <v>5200</v>
          </cell>
          <cell r="EH405">
            <v>5200</v>
          </cell>
          <cell r="EI405">
            <v>8800</v>
          </cell>
          <cell r="EJ405" t="str">
            <v>ACTIVO</v>
          </cell>
          <cell r="EK405" t="str">
            <v>C</v>
          </cell>
          <cell r="EL405"/>
          <cell r="EM405">
            <v>7200</v>
          </cell>
          <cell r="EN405">
            <v>1200</v>
          </cell>
          <cell r="EO405">
            <v>4103.2756470825607</v>
          </cell>
          <cell r="EP405">
            <v>20400</v>
          </cell>
          <cell r="EQ405">
            <v>734400</v>
          </cell>
          <cell r="ER405">
            <v>2.8333333333333335</v>
          </cell>
          <cell r="ES405">
            <v>4800</v>
          </cell>
        </row>
        <row r="406">
          <cell r="F406">
            <v>405409</v>
          </cell>
          <cell r="G406" t="str">
            <v>DECORCREM NEGRO BLOQUE PURATOS</v>
          </cell>
          <cell r="H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>
            <v>10</v>
          </cell>
          <cell r="AU406"/>
          <cell r="AV406"/>
          <cell r="AW406"/>
          <cell r="AX406"/>
          <cell r="AY406"/>
          <cell r="AZ406">
            <v>200.7</v>
          </cell>
          <cell r="BA406">
            <v>454.5</v>
          </cell>
          <cell r="BB406">
            <v>134.80000000000001</v>
          </cell>
          <cell r="BC406">
            <v>380</v>
          </cell>
          <cell r="BD406">
            <v>480</v>
          </cell>
          <cell r="BE406">
            <v>420</v>
          </cell>
          <cell r="BF406">
            <v>690</v>
          </cell>
          <cell r="BG406">
            <v>290</v>
          </cell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K406"/>
          <cell r="DL406"/>
          <cell r="DM406"/>
          <cell r="DN406"/>
          <cell r="DO406"/>
          <cell r="DP406"/>
          <cell r="DQ406"/>
          <cell r="DR406"/>
          <cell r="DS406"/>
          <cell r="DT406"/>
          <cell r="DU406"/>
          <cell r="DV406"/>
          <cell r="DW406"/>
          <cell r="DX406"/>
          <cell r="DY406"/>
          <cell r="DZ406"/>
          <cell r="EA406"/>
          <cell r="EB406"/>
          <cell r="EC406"/>
          <cell r="ED406"/>
          <cell r="EE406"/>
          <cell r="EF406"/>
          <cell r="EG406"/>
          <cell r="EH406"/>
          <cell r="EI406"/>
          <cell r="EJ406" t="str">
            <v>SIN USO</v>
          </cell>
          <cell r="EK406" t="str">
            <v/>
          </cell>
          <cell r="EL406">
            <v>0</v>
          </cell>
          <cell r="EM406">
            <v>0</v>
          </cell>
          <cell r="EN406">
            <v>0</v>
          </cell>
          <cell r="EO406">
            <v>0</v>
          </cell>
          <cell r="EP406">
            <v>0</v>
          </cell>
          <cell r="EQ406">
            <v>0</v>
          </cell>
          <cell r="ER406">
            <v>0</v>
          </cell>
          <cell r="ES406">
            <v>0</v>
          </cell>
        </row>
        <row r="407">
          <cell r="F407">
            <v>405371</v>
          </cell>
          <cell r="G407" t="str">
            <v>TRIANGULO BLANCO #45 MARMOLEADO NEGRO</v>
          </cell>
          <cell r="H407">
            <v>400</v>
          </cell>
          <cell r="I407"/>
          <cell r="J407"/>
          <cell r="K407"/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>
            <v>400</v>
          </cell>
          <cell r="AV407">
            <v>2000</v>
          </cell>
          <cell r="AW407">
            <v>1600</v>
          </cell>
          <cell r="AX407">
            <v>2800</v>
          </cell>
          <cell r="AY407">
            <v>2400</v>
          </cell>
          <cell r="AZ407">
            <v>2004</v>
          </cell>
          <cell r="BA407">
            <v>2912.5</v>
          </cell>
          <cell r="BB407">
            <v>2400</v>
          </cell>
          <cell r="BC407">
            <v>2400</v>
          </cell>
          <cell r="BD407">
            <v>2400</v>
          </cell>
          <cell r="BE407">
            <v>2400</v>
          </cell>
          <cell r="BF407">
            <v>2400</v>
          </cell>
          <cell r="BG407">
            <v>800</v>
          </cell>
          <cell r="BH407">
            <v>1200</v>
          </cell>
          <cell r="BI407">
            <v>2400</v>
          </cell>
          <cell r="BJ407">
            <v>800</v>
          </cell>
          <cell r="BK407">
            <v>2800</v>
          </cell>
          <cell r="BL407">
            <v>2400</v>
          </cell>
          <cell r="BM407">
            <v>2500</v>
          </cell>
          <cell r="BN407">
            <v>2400</v>
          </cell>
          <cell r="BO407">
            <v>2000</v>
          </cell>
          <cell r="BP407">
            <v>1600</v>
          </cell>
          <cell r="BQ407">
            <v>2000</v>
          </cell>
          <cell r="BR407">
            <v>2800</v>
          </cell>
          <cell r="BS407">
            <v>2400</v>
          </cell>
          <cell r="BT407">
            <v>2400</v>
          </cell>
          <cell r="BU407">
            <v>2400</v>
          </cell>
          <cell r="BV407">
            <v>2400</v>
          </cell>
          <cell r="BW407">
            <v>2400</v>
          </cell>
          <cell r="BX407">
            <v>2400</v>
          </cell>
          <cell r="BY407">
            <v>2000</v>
          </cell>
          <cell r="BZ407">
            <v>400</v>
          </cell>
          <cell r="CA407">
            <v>2400</v>
          </cell>
          <cell r="CB407">
            <v>2400</v>
          </cell>
          <cell r="CC407">
            <v>2400</v>
          </cell>
          <cell r="CD407">
            <v>2400</v>
          </cell>
          <cell r="CE407">
            <v>2500</v>
          </cell>
          <cell r="CF407">
            <v>2400</v>
          </cell>
          <cell r="CG407">
            <v>2800</v>
          </cell>
          <cell r="CH407">
            <v>2800</v>
          </cell>
          <cell r="CI407">
            <v>2400</v>
          </cell>
          <cell r="CJ407">
            <v>2800</v>
          </cell>
          <cell r="CK407">
            <v>2800</v>
          </cell>
          <cell r="CL407">
            <v>2400</v>
          </cell>
          <cell r="CM407">
            <v>2400</v>
          </cell>
          <cell r="CN407">
            <v>2400</v>
          </cell>
          <cell r="CO407">
            <v>3200</v>
          </cell>
          <cell r="CP407">
            <v>2400</v>
          </cell>
          <cell r="CQ407">
            <v>2400</v>
          </cell>
          <cell r="CR407">
            <v>2800</v>
          </cell>
          <cell r="CS407">
            <v>800</v>
          </cell>
          <cell r="CT407">
            <v>2400</v>
          </cell>
          <cell r="CU407">
            <v>2800</v>
          </cell>
          <cell r="CV407">
            <v>2400</v>
          </cell>
          <cell r="CW407">
            <v>2400</v>
          </cell>
          <cell r="CX407">
            <v>2400</v>
          </cell>
          <cell r="CY407">
            <v>2400</v>
          </cell>
          <cell r="CZ407">
            <v>2400</v>
          </cell>
          <cell r="DA407">
            <v>2800</v>
          </cell>
          <cell r="DB407">
            <v>2400</v>
          </cell>
          <cell r="DC407">
            <v>2400</v>
          </cell>
          <cell r="DD407">
            <v>2800</v>
          </cell>
          <cell r="DE407">
            <v>2400</v>
          </cell>
          <cell r="DF407">
            <v>2400</v>
          </cell>
          <cell r="DG407">
            <v>2400</v>
          </cell>
          <cell r="DH407">
            <v>1200</v>
          </cell>
          <cell r="DI407">
            <v>800</v>
          </cell>
          <cell r="DJ407">
            <v>2400</v>
          </cell>
          <cell r="DK407">
            <v>2400</v>
          </cell>
          <cell r="DL407">
            <v>2400</v>
          </cell>
          <cell r="DM407">
            <v>2400</v>
          </cell>
          <cell r="DN407">
            <v>2400</v>
          </cell>
          <cell r="DO407">
            <v>2400</v>
          </cell>
          <cell r="DP407">
            <v>2400</v>
          </cell>
          <cell r="DQ407">
            <v>2400</v>
          </cell>
          <cell r="DR407">
            <v>2400</v>
          </cell>
          <cell r="DS407">
            <v>2400</v>
          </cell>
          <cell r="DT407">
            <v>2400</v>
          </cell>
          <cell r="DU407">
            <v>2800</v>
          </cell>
          <cell r="DV407">
            <v>2400</v>
          </cell>
          <cell r="DW407">
            <v>2400</v>
          </cell>
          <cell r="DX407">
            <v>2400</v>
          </cell>
          <cell r="DY407">
            <v>2800</v>
          </cell>
          <cell r="DZ407">
            <v>3200</v>
          </cell>
          <cell r="EA407">
            <v>2000</v>
          </cell>
          <cell r="EB407">
            <v>3200</v>
          </cell>
          <cell r="EC407">
            <v>2800</v>
          </cell>
          <cell r="ED407">
            <v>2800</v>
          </cell>
          <cell r="EE407">
            <v>2800</v>
          </cell>
          <cell r="EF407">
            <v>2800</v>
          </cell>
          <cell r="EG407">
            <v>2800</v>
          </cell>
          <cell r="EH407">
            <v>2400</v>
          </cell>
          <cell r="EI407">
            <v>1600</v>
          </cell>
          <cell r="EJ407" t="str">
            <v>ACTIVO</v>
          </cell>
          <cell r="EK407" t="str">
            <v>C</v>
          </cell>
          <cell r="EL407"/>
          <cell r="EM407">
            <v>2496</v>
          </cell>
          <cell r="EN407">
            <v>416</v>
          </cell>
          <cell r="EO407">
            <v>536.74149910829647</v>
          </cell>
          <cell r="EP407">
            <v>7200</v>
          </cell>
          <cell r="EQ407">
            <v>324000</v>
          </cell>
          <cell r="ER407">
            <v>2.8846153846153846</v>
          </cell>
          <cell r="ES407">
            <v>1664</v>
          </cell>
        </row>
        <row r="408">
          <cell r="F408">
            <v>405373</v>
          </cell>
          <cell r="G408" t="str">
            <v>CINTA BICOLOR BNEGRO #500</v>
          </cell>
          <cell r="H408">
            <v>0.5</v>
          </cell>
          <cell r="I408"/>
          <cell r="J408"/>
          <cell r="K408"/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>
            <v>0.5</v>
          </cell>
          <cell r="AV408">
            <v>2.5</v>
          </cell>
          <cell r="AW408">
            <v>1.5</v>
          </cell>
          <cell r="AX408">
            <v>3.5</v>
          </cell>
          <cell r="AY408">
            <v>3</v>
          </cell>
          <cell r="AZ408">
            <v>119</v>
          </cell>
          <cell r="BA408">
            <v>77.39</v>
          </cell>
          <cell r="BB408">
            <v>3</v>
          </cell>
          <cell r="BC408">
            <v>3</v>
          </cell>
          <cell r="BD408">
            <v>3</v>
          </cell>
          <cell r="BE408">
            <v>3</v>
          </cell>
          <cell r="BF408">
            <v>3</v>
          </cell>
          <cell r="BG408">
            <v>1</v>
          </cell>
          <cell r="BH408">
            <v>1.5</v>
          </cell>
          <cell r="BI408">
            <v>3</v>
          </cell>
          <cell r="BJ408">
            <v>1</v>
          </cell>
          <cell r="BK408">
            <v>3.5</v>
          </cell>
          <cell r="BL408">
            <v>3</v>
          </cell>
          <cell r="BM408">
            <v>3</v>
          </cell>
          <cell r="BN408">
            <v>3</v>
          </cell>
          <cell r="BO408">
            <v>3</v>
          </cell>
          <cell r="BP408">
            <v>3</v>
          </cell>
          <cell r="BQ408">
            <v>2.5</v>
          </cell>
          <cell r="BR408">
            <v>3.5</v>
          </cell>
          <cell r="BS408">
            <v>3</v>
          </cell>
          <cell r="BT408">
            <v>3</v>
          </cell>
          <cell r="BU408">
            <v>3</v>
          </cell>
          <cell r="BV408">
            <v>3</v>
          </cell>
          <cell r="BW408">
            <v>3</v>
          </cell>
          <cell r="BX408">
            <v>3</v>
          </cell>
          <cell r="BY408">
            <v>2.5</v>
          </cell>
          <cell r="BZ408">
            <v>0.5</v>
          </cell>
          <cell r="CA408">
            <v>3</v>
          </cell>
          <cell r="CB408">
            <v>3</v>
          </cell>
          <cell r="CC408">
            <v>3</v>
          </cell>
          <cell r="CD408">
            <v>24.5</v>
          </cell>
          <cell r="CE408">
            <v>43.5</v>
          </cell>
          <cell r="CF408">
            <v>66</v>
          </cell>
          <cell r="CG408">
            <v>36.5</v>
          </cell>
          <cell r="CH408">
            <v>3.5</v>
          </cell>
          <cell r="CI408">
            <v>3</v>
          </cell>
          <cell r="CJ408">
            <v>3.5</v>
          </cell>
          <cell r="CK408">
            <v>3.5</v>
          </cell>
          <cell r="CL408">
            <v>3</v>
          </cell>
          <cell r="CM408">
            <v>40.5</v>
          </cell>
          <cell r="CN408">
            <v>3.5</v>
          </cell>
          <cell r="CO408">
            <v>28</v>
          </cell>
          <cell r="CP408">
            <v>26</v>
          </cell>
          <cell r="CQ408">
            <v>35</v>
          </cell>
          <cell r="CR408">
            <v>3.5</v>
          </cell>
          <cell r="CS408">
            <v>1</v>
          </cell>
          <cell r="CT408">
            <v>27</v>
          </cell>
          <cell r="CU408">
            <v>27.5</v>
          </cell>
          <cell r="CV408">
            <v>43</v>
          </cell>
          <cell r="CW408">
            <v>3</v>
          </cell>
          <cell r="CX408">
            <v>39</v>
          </cell>
          <cell r="CY408">
            <v>53</v>
          </cell>
          <cell r="CZ408">
            <v>103</v>
          </cell>
          <cell r="DA408">
            <v>26.5</v>
          </cell>
          <cell r="DB408">
            <v>107.5</v>
          </cell>
          <cell r="DC408">
            <v>43</v>
          </cell>
          <cell r="DD408">
            <v>3</v>
          </cell>
          <cell r="DE408">
            <v>3</v>
          </cell>
          <cell r="DF408">
            <v>3</v>
          </cell>
          <cell r="DG408">
            <v>3</v>
          </cell>
          <cell r="DH408">
            <v>1.5</v>
          </cell>
          <cell r="DI408">
            <v>1</v>
          </cell>
          <cell r="DJ408">
            <v>83</v>
          </cell>
          <cell r="DK408">
            <v>43</v>
          </cell>
          <cell r="DL408">
            <v>43</v>
          </cell>
          <cell r="DM408">
            <v>21</v>
          </cell>
          <cell r="DN408">
            <v>83</v>
          </cell>
          <cell r="DO408">
            <v>43</v>
          </cell>
          <cell r="DP408">
            <v>7.5</v>
          </cell>
          <cell r="DQ408">
            <v>3</v>
          </cell>
          <cell r="DR408">
            <v>43</v>
          </cell>
          <cell r="DS408">
            <v>43.5</v>
          </cell>
          <cell r="DT408">
            <v>136</v>
          </cell>
          <cell r="DU408">
            <v>142</v>
          </cell>
          <cell r="DV408">
            <v>55</v>
          </cell>
          <cell r="DW408">
            <v>75</v>
          </cell>
          <cell r="DX408">
            <v>106.5</v>
          </cell>
          <cell r="DY408">
            <v>3.5</v>
          </cell>
          <cell r="DZ408">
            <v>89</v>
          </cell>
          <cell r="EA408">
            <v>2.5</v>
          </cell>
          <cell r="EB408">
            <v>4</v>
          </cell>
          <cell r="EC408">
            <v>147.5</v>
          </cell>
          <cell r="ED408">
            <v>3.5</v>
          </cell>
          <cell r="EE408">
            <v>75.5</v>
          </cell>
          <cell r="EF408">
            <v>148.5</v>
          </cell>
          <cell r="EG408">
            <v>3.5</v>
          </cell>
          <cell r="EH408">
            <v>11</v>
          </cell>
          <cell r="EI408">
            <v>38.5</v>
          </cell>
          <cell r="EJ408" t="str">
            <v>ACTIVO</v>
          </cell>
          <cell r="EK408" t="str">
            <v>C</v>
          </cell>
          <cell r="EL408">
            <v>0</v>
          </cell>
          <cell r="EM408">
            <v>56.24</v>
          </cell>
          <cell r="EN408">
            <v>9.3733333333333331</v>
          </cell>
          <cell r="EO408">
            <v>24.373771414089756</v>
          </cell>
          <cell r="EP408">
            <v>351.5</v>
          </cell>
          <cell r="EQ408">
            <v>4979992.2450000001</v>
          </cell>
          <cell r="ER408">
            <v>6.25</v>
          </cell>
          <cell r="ES408">
            <v>37.493333333333332</v>
          </cell>
        </row>
        <row r="409">
          <cell r="F409">
            <v>405307</v>
          </cell>
          <cell r="G409" t="str">
            <v>TRIANGULO NEGRO COCO RALLADO ZUKKER</v>
          </cell>
          <cell r="H409"/>
          <cell r="I409"/>
          <cell r="J409"/>
          <cell r="K409"/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>
            <v>600</v>
          </cell>
          <cell r="AW409">
            <v>2200</v>
          </cell>
          <cell r="AX409">
            <v>11600</v>
          </cell>
          <cell r="AY409">
            <v>1700</v>
          </cell>
          <cell r="AZ409">
            <v>1500</v>
          </cell>
          <cell r="BA409"/>
          <cell r="BB409">
            <v>9600</v>
          </cell>
          <cell r="BC409">
            <v>400</v>
          </cell>
          <cell r="BD409"/>
          <cell r="BE409"/>
          <cell r="BF409">
            <v>9000</v>
          </cell>
          <cell r="BG409"/>
          <cell r="BH409">
            <v>400</v>
          </cell>
          <cell r="BI409">
            <v>4800</v>
          </cell>
          <cell r="BJ409">
            <v>2400</v>
          </cell>
          <cell r="BK409">
            <v>6000</v>
          </cell>
          <cell r="BL409">
            <v>9100</v>
          </cell>
          <cell r="BM409"/>
          <cell r="BN409">
            <v>11520</v>
          </cell>
          <cell r="BO409"/>
          <cell r="BP409">
            <v>5700</v>
          </cell>
          <cell r="BQ409">
            <v>1600</v>
          </cell>
          <cell r="BR409">
            <v>10000</v>
          </cell>
          <cell r="BS409"/>
          <cell r="BT409">
            <v>11700</v>
          </cell>
          <cell r="BU409">
            <v>9000</v>
          </cell>
          <cell r="BV409"/>
          <cell r="BW409"/>
          <cell r="BX409">
            <v>10500</v>
          </cell>
          <cell r="BY409"/>
          <cell r="BZ409"/>
          <cell r="CA409">
            <v>300</v>
          </cell>
          <cell r="CB409">
            <v>11100</v>
          </cell>
          <cell r="CC409"/>
          <cell r="CD409"/>
          <cell r="CE409"/>
          <cell r="CF409"/>
          <cell r="CG409">
            <v>7200</v>
          </cell>
          <cell r="CH409"/>
          <cell r="CI409">
            <v>5200</v>
          </cell>
          <cell r="CJ409"/>
          <cell r="CK409">
            <v>4400</v>
          </cell>
          <cell r="CL409">
            <v>3000</v>
          </cell>
          <cell r="CM409">
            <v>300</v>
          </cell>
          <cell r="CN409">
            <v>4400</v>
          </cell>
          <cell r="CO409">
            <v>1800</v>
          </cell>
          <cell r="CP409">
            <v>9900</v>
          </cell>
          <cell r="CQ409"/>
          <cell r="CR409">
            <v>600</v>
          </cell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K409"/>
          <cell r="DL409"/>
          <cell r="DM409"/>
          <cell r="DN409"/>
          <cell r="DO409"/>
          <cell r="DP409"/>
          <cell r="DQ409"/>
          <cell r="DR409"/>
          <cell r="DS409"/>
          <cell r="DT409"/>
          <cell r="DU409"/>
          <cell r="DV409"/>
          <cell r="DW409"/>
          <cell r="DX409"/>
          <cell r="DY409"/>
          <cell r="DZ409"/>
          <cell r="EA409"/>
          <cell r="EB409"/>
          <cell r="EC409"/>
          <cell r="ED409"/>
          <cell r="EE409"/>
          <cell r="EF409"/>
          <cell r="EG409"/>
          <cell r="EH409"/>
          <cell r="EI409"/>
          <cell r="EJ409" t="str">
            <v>SIN USO</v>
          </cell>
          <cell r="EK409" t="str">
            <v>C</v>
          </cell>
          <cell r="EL409">
            <v>3400</v>
          </cell>
          <cell r="EM409">
            <v>0</v>
          </cell>
          <cell r="EN409">
            <v>0</v>
          </cell>
          <cell r="EO409">
            <v>3988.9107154274807</v>
          </cell>
          <cell r="EP409">
            <v>0</v>
          </cell>
          <cell r="EQ409">
            <v>0</v>
          </cell>
          <cell r="ER409">
            <v>0</v>
          </cell>
          <cell r="ES409">
            <v>0</v>
          </cell>
        </row>
        <row r="410">
          <cell r="F410">
            <v>405332</v>
          </cell>
          <cell r="G410" t="str">
            <v>GRANILLO DE COLORES MANAR</v>
          </cell>
          <cell r="H410"/>
          <cell r="I410"/>
          <cell r="J410"/>
          <cell r="K410"/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>
            <v>25</v>
          </cell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K410"/>
          <cell r="DL410"/>
          <cell r="DM410"/>
          <cell r="DN410"/>
          <cell r="DO410"/>
          <cell r="DP410"/>
          <cell r="DQ410"/>
          <cell r="DR410"/>
          <cell r="DS410"/>
          <cell r="DT410"/>
          <cell r="DU410"/>
          <cell r="DV410"/>
          <cell r="DW410"/>
          <cell r="DX410"/>
          <cell r="DY410"/>
          <cell r="DZ410"/>
          <cell r="EA410"/>
          <cell r="EB410"/>
          <cell r="EC410"/>
          <cell r="ED410"/>
          <cell r="EE410"/>
          <cell r="EF410"/>
          <cell r="EG410"/>
          <cell r="EH410"/>
          <cell r="EI410"/>
          <cell r="EJ410" t="str">
            <v>SIN USO</v>
          </cell>
          <cell r="EK410" t="str">
            <v>C</v>
          </cell>
          <cell r="EL410">
            <v>0</v>
          </cell>
          <cell r="EM410">
            <v>0</v>
          </cell>
          <cell r="EN410">
            <v>0</v>
          </cell>
          <cell r="EO410">
            <v>0</v>
          </cell>
          <cell r="EP410">
            <v>0</v>
          </cell>
          <cell r="EQ410">
            <v>0</v>
          </cell>
          <cell r="ER410">
            <v>0</v>
          </cell>
          <cell r="ES410">
            <v>0</v>
          </cell>
        </row>
        <row r="411">
          <cell r="F411">
            <v>405311</v>
          </cell>
          <cell r="G411" t="str">
            <v>TRIANGULO BLANCO RAYADO ROJO</v>
          </cell>
          <cell r="H411"/>
          <cell r="I411"/>
          <cell r="J411"/>
          <cell r="K411"/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>
            <v>3648</v>
          </cell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K411"/>
          <cell r="DL411"/>
          <cell r="DM411"/>
          <cell r="DN411"/>
          <cell r="DO411"/>
          <cell r="DP411"/>
          <cell r="DQ411"/>
          <cell r="DR411"/>
          <cell r="DS411"/>
          <cell r="DT411"/>
          <cell r="DU411"/>
          <cell r="DV411"/>
          <cell r="DW411"/>
          <cell r="DX411"/>
          <cell r="DY411"/>
          <cell r="DZ411"/>
          <cell r="EA411"/>
          <cell r="EB411"/>
          <cell r="EC411"/>
          <cell r="ED411"/>
          <cell r="EE411"/>
          <cell r="EF411"/>
          <cell r="EG411"/>
          <cell r="EH411"/>
          <cell r="EI411"/>
          <cell r="EJ411" t="str">
            <v>SIN USO</v>
          </cell>
          <cell r="EK411" t="str">
            <v>C</v>
          </cell>
          <cell r="EL411" t="str">
            <v/>
          </cell>
          <cell r="EM411">
            <v>0</v>
          </cell>
          <cell r="EN411">
            <v>0</v>
          </cell>
          <cell r="EO411">
            <v>0</v>
          </cell>
          <cell r="EP411">
            <v>0</v>
          </cell>
          <cell r="EQ411">
            <v>0</v>
          </cell>
          <cell r="ER411">
            <v>0</v>
          </cell>
          <cell r="ES411">
            <v>0</v>
          </cell>
        </row>
        <row r="412">
          <cell r="F412">
            <v>107349</v>
          </cell>
          <cell r="G412" t="str">
            <v>FLOR DE LOTO CHOCOLATE MORADA AMBROSIA</v>
          </cell>
          <cell r="H412"/>
          <cell r="I412"/>
          <cell r="J412"/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>
            <v>50</v>
          </cell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K412"/>
          <cell r="DL412"/>
          <cell r="DM412"/>
          <cell r="DN412"/>
          <cell r="DO412"/>
          <cell r="DP412"/>
          <cell r="DQ412"/>
          <cell r="DR412"/>
          <cell r="DS412"/>
          <cell r="DT412"/>
          <cell r="DU412"/>
          <cell r="DV412"/>
          <cell r="DW412"/>
          <cell r="DX412"/>
          <cell r="DY412"/>
          <cell r="DZ412"/>
          <cell r="EA412"/>
          <cell r="EB412"/>
          <cell r="EC412"/>
          <cell r="ED412"/>
          <cell r="EE412"/>
          <cell r="EF412"/>
          <cell r="EG412"/>
          <cell r="EH412"/>
          <cell r="EI412"/>
          <cell r="EJ412" t="str">
            <v>SIN USO</v>
          </cell>
          <cell r="EK412" t="str">
            <v>C</v>
          </cell>
          <cell r="EL412" t="str">
            <v/>
          </cell>
          <cell r="EM412">
            <v>0</v>
          </cell>
          <cell r="EN412">
            <v>0</v>
          </cell>
          <cell r="EO412">
            <v>0</v>
          </cell>
          <cell r="EP412">
            <v>0</v>
          </cell>
          <cell r="EQ412">
            <v>0</v>
          </cell>
          <cell r="ER412">
            <v>0</v>
          </cell>
          <cell r="ES412">
            <v>0</v>
          </cell>
        </row>
        <row r="413">
          <cell r="F413">
            <v>107340</v>
          </cell>
          <cell r="G413" t="str">
            <v>CORAZÓN MANGUEADO GANACHE AMBROSIA</v>
          </cell>
          <cell r="H413"/>
          <cell r="I413"/>
          <cell r="J413"/>
          <cell r="K413"/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>
            <v>4200</v>
          </cell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K413"/>
          <cell r="DL413"/>
          <cell r="DM413"/>
          <cell r="DN413"/>
          <cell r="DO413"/>
          <cell r="DP413"/>
          <cell r="DQ413"/>
          <cell r="DR413"/>
          <cell r="DS413"/>
          <cell r="DT413"/>
          <cell r="DU413"/>
          <cell r="DV413"/>
          <cell r="DW413"/>
          <cell r="DX413"/>
          <cell r="DY413"/>
          <cell r="DZ413"/>
          <cell r="EA413"/>
          <cell r="EB413"/>
          <cell r="EC413"/>
          <cell r="ED413"/>
          <cell r="EE413"/>
          <cell r="EF413"/>
          <cell r="EG413"/>
          <cell r="EH413"/>
          <cell r="EI413"/>
          <cell r="EJ413" t="str">
            <v>SIN USO</v>
          </cell>
          <cell r="EK413" t="str">
            <v>C</v>
          </cell>
          <cell r="EL413" t="str">
            <v/>
          </cell>
          <cell r="EM413">
            <v>0</v>
          </cell>
          <cell r="EN413">
            <v>0</v>
          </cell>
          <cell r="EO413">
            <v>0</v>
          </cell>
          <cell r="EP413">
            <v>0</v>
          </cell>
          <cell r="EQ413">
            <v>0</v>
          </cell>
          <cell r="ER413">
            <v>0</v>
          </cell>
          <cell r="ES413">
            <v>0</v>
          </cell>
        </row>
        <row r="414">
          <cell r="F414">
            <v>101001</v>
          </cell>
          <cell r="G414" t="str">
            <v>CACAO AMARGO</v>
          </cell>
          <cell r="H414"/>
          <cell r="I414"/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>
            <v>25</v>
          </cell>
          <cell r="BR414"/>
          <cell r="BS414"/>
          <cell r="BT414"/>
          <cell r="BU414"/>
          <cell r="BV414"/>
          <cell r="BW414"/>
          <cell r="BX414">
            <v>18.510999999999999</v>
          </cell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K414"/>
          <cell r="DL414"/>
          <cell r="DM414"/>
          <cell r="DN414"/>
          <cell r="DO414"/>
          <cell r="DP414"/>
          <cell r="DQ414"/>
          <cell r="DR414"/>
          <cell r="DS414"/>
          <cell r="DT414"/>
          <cell r="DU414"/>
          <cell r="DV414"/>
          <cell r="DW414"/>
          <cell r="DX414"/>
          <cell r="DY414"/>
          <cell r="DZ414"/>
          <cell r="EA414"/>
          <cell r="EB414"/>
          <cell r="EC414"/>
          <cell r="ED414"/>
          <cell r="EE414"/>
          <cell r="EF414"/>
          <cell r="EG414"/>
          <cell r="EH414"/>
          <cell r="EI414"/>
          <cell r="EJ414" t="str">
            <v>SIN USO</v>
          </cell>
          <cell r="EK414" t="str">
            <v>C</v>
          </cell>
          <cell r="EL414" t="str">
            <v/>
          </cell>
          <cell r="EM414">
            <v>0</v>
          </cell>
          <cell r="EN414">
            <v>0</v>
          </cell>
          <cell r="EO414">
            <v>4.58841590311952</v>
          </cell>
          <cell r="EP414">
            <v>0</v>
          </cell>
          <cell r="EQ414">
            <v>0</v>
          </cell>
          <cell r="ER414">
            <v>0</v>
          </cell>
          <cell r="ES414">
            <v>0</v>
          </cell>
        </row>
        <row r="415">
          <cell r="F415">
            <v>405526</v>
          </cell>
          <cell r="G415" t="str">
            <v>PASTA PISTACHO SIN AZUCAR SABORES Y FRAGANCIA</v>
          </cell>
          <cell r="H415"/>
          <cell r="I415"/>
          <cell r="J415"/>
          <cell r="K415"/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>
            <v>36</v>
          </cell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K415"/>
          <cell r="DL415"/>
          <cell r="DM415"/>
          <cell r="DN415"/>
          <cell r="DO415"/>
          <cell r="DP415"/>
          <cell r="DQ415"/>
          <cell r="DR415"/>
          <cell r="DS415"/>
          <cell r="DT415"/>
          <cell r="DU415"/>
          <cell r="DV415"/>
          <cell r="DW415"/>
          <cell r="DX415"/>
          <cell r="DY415"/>
          <cell r="DZ415"/>
          <cell r="EA415"/>
          <cell r="EB415"/>
          <cell r="EC415"/>
          <cell r="ED415"/>
          <cell r="EE415"/>
          <cell r="EF415"/>
          <cell r="EG415"/>
          <cell r="EH415"/>
          <cell r="EI415"/>
          <cell r="EJ415" t="str">
            <v>SIN USO</v>
          </cell>
          <cell r="EK415" t="str">
            <v>C</v>
          </cell>
          <cell r="EL415" t="str">
            <v/>
          </cell>
          <cell r="EM415">
            <v>0</v>
          </cell>
          <cell r="EN415">
            <v>0</v>
          </cell>
          <cell r="EO415">
            <v>0</v>
          </cell>
          <cell r="EP415">
            <v>0</v>
          </cell>
          <cell r="EQ415">
            <v>0</v>
          </cell>
          <cell r="ER415">
            <v>0</v>
          </cell>
          <cell r="ES415">
            <v>0</v>
          </cell>
        </row>
        <row r="416">
          <cell r="F416">
            <v>405530</v>
          </cell>
          <cell r="G416" t="str">
            <v>PISTACHO TROZO TOSTADO SIN SAL GRUPO CAMPOS</v>
          </cell>
          <cell r="H416"/>
          <cell r="I416"/>
          <cell r="J416"/>
          <cell r="K416"/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>
            <v>12</v>
          </cell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K416"/>
          <cell r="DL416"/>
          <cell r="DM416"/>
          <cell r="DN416"/>
          <cell r="DO416"/>
          <cell r="DP416"/>
          <cell r="DQ416"/>
          <cell r="DR416"/>
          <cell r="DS416"/>
          <cell r="DT416"/>
          <cell r="DU416"/>
          <cell r="DV416"/>
          <cell r="DW416"/>
          <cell r="DX416"/>
          <cell r="DY416"/>
          <cell r="DZ416"/>
          <cell r="EA416"/>
          <cell r="EB416"/>
          <cell r="EC416"/>
          <cell r="ED416"/>
          <cell r="EE416"/>
          <cell r="EF416"/>
          <cell r="EG416"/>
          <cell r="EH416"/>
          <cell r="EI416"/>
          <cell r="EJ416" t="str">
            <v>SIN USO</v>
          </cell>
          <cell r="EK416" t="str">
            <v>C</v>
          </cell>
          <cell r="EL416" t="str">
            <v/>
          </cell>
          <cell r="EM416">
            <v>0</v>
          </cell>
          <cell r="EN416">
            <v>0</v>
          </cell>
          <cell r="EO416">
            <v>0</v>
          </cell>
          <cell r="EP416">
            <v>12</v>
          </cell>
          <cell r="EQ416">
            <v>479880</v>
          </cell>
          <cell r="ER416">
            <v>0</v>
          </cell>
          <cell r="ES416">
            <v>0</v>
          </cell>
        </row>
        <row r="417">
          <cell r="F417">
            <v>405531</v>
          </cell>
          <cell r="G417" t="str">
            <v>RALLADO 3mm BICOLOR BLANCO-ROSADO ZUKKER</v>
          </cell>
          <cell r="H417"/>
          <cell r="I417"/>
          <cell r="J417"/>
          <cell r="K417"/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>
            <v>0</v>
          </cell>
          <cell r="DE417"/>
          <cell r="DF417"/>
          <cell r="DG417"/>
          <cell r="DH417"/>
          <cell r="DI417"/>
          <cell r="DJ417"/>
          <cell r="DK417"/>
          <cell r="DL417"/>
          <cell r="DM417"/>
          <cell r="DN417"/>
          <cell r="DO417"/>
          <cell r="DP417"/>
          <cell r="DQ417"/>
          <cell r="DR417"/>
          <cell r="DS417"/>
          <cell r="DT417"/>
          <cell r="DU417"/>
          <cell r="DV417"/>
          <cell r="DW417"/>
          <cell r="DX417"/>
          <cell r="DY417"/>
          <cell r="DZ417"/>
          <cell r="EA417"/>
          <cell r="EB417"/>
          <cell r="EC417"/>
          <cell r="ED417"/>
          <cell r="EE417"/>
          <cell r="EF417"/>
          <cell r="EG417"/>
          <cell r="EH417"/>
          <cell r="EI417"/>
          <cell r="EJ417" t="str">
            <v>SIN USO</v>
          </cell>
          <cell r="EK417" t="str">
            <v>C</v>
          </cell>
          <cell r="EL417"/>
          <cell r="EM417">
            <v>0</v>
          </cell>
          <cell r="EN417">
            <v>0</v>
          </cell>
          <cell r="EO417">
            <v>0</v>
          </cell>
          <cell r="EP417">
            <v>0</v>
          </cell>
          <cell r="EQ417">
            <v>0</v>
          </cell>
          <cell r="ER417">
            <v>0</v>
          </cell>
          <cell r="ES417">
            <v>0</v>
          </cell>
        </row>
        <row r="418">
          <cell r="F418">
            <v>405508</v>
          </cell>
          <cell r="G418" t="str">
            <v>ZANAHORIA GANACHE CHOCOLATE AMBROSIA</v>
          </cell>
          <cell r="H418"/>
          <cell r="I418"/>
          <cell r="J418"/>
          <cell r="K418"/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>
            <v>0</v>
          </cell>
          <cell r="DE418"/>
          <cell r="DF418"/>
          <cell r="DG418"/>
          <cell r="DH418"/>
          <cell r="DI418"/>
          <cell r="DJ418"/>
          <cell r="DK418"/>
          <cell r="DL418"/>
          <cell r="DM418"/>
          <cell r="DN418"/>
          <cell r="DO418"/>
          <cell r="DP418"/>
          <cell r="DQ418"/>
          <cell r="DR418"/>
          <cell r="DS418"/>
          <cell r="DT418"/>
          <cell r="DU418"/>
          <cell r="DV418"/>
          <cell r="DW418"/>
          <cell r="DX418"/>
          <cell r="DY418"/>
          <cell r="DZ418"/>
          <cell r="EA418"/>
          <cell r="EB418"/>
          <cell r="EC418"/>
          <cell r="ED418"/>
          <cell r="EE418"/>
          <cell r="EF418"/>
          <cell r="EG418"/>
          <cell r="EH418"/>
          <cell r="EI418"/>
          <cell r="EJ418" t="str">
            <v>SIN USO</v>
          </cell>
          <cell r="EK418" t="str">
            <v>C</v>
          </cell>
          <cell r="EL418" t="str">
            <v/>
          </cell>
          <cell r="EM418">
            <v>0</v>
          </cell>
          <cell r="EN418">
            <v>0</v>
          </cell>
          <cell r="EO418">
            <v>0</v>
          </cell>
          <cell r="EP418">
            <v>0</v>
          </cell>
          <cell r="EQ418">
            <v>0</v>
          </cell>
          <cell r="ER418">
            <v>0</v>
          </cell>
          <cell r="ES418">
            <v>0</v>
          </cell>
        </row>
        <row r="419">
          <cell r="F419">
            <v>405695</v>
          </cell>
          <cell r="G419" t="str">
            <v>CÍRCULO DECORACIÓN NAVIDAD ZUKKER</v>
          </cell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>
            <v>0</v>
          </cell>
          <cell r="DG419"/>
          <cell r="DH419"/>
          <cell r="DI419"/>
          <cell r="DJ419"/>
          <cell r="DK419"/>
          <cell r="DL419"/>
          <cell r="DM419"/>
          <cell r="DN419"/>
          <cell r="DO419"/>
          <cell r="DP419"/>
          <cell r="DQ419"/>
          <cell r="DR419"/>
          <cell r="DS419"/>
          <cell r="DT419"/>
          <cell r="DU419"/>
          <cell r="DV419"/>
          <cell r="DW419"/>
          <cell r="DX419"/>
          <cell r="DY419"/>
          <cell r="DZ419"/>
          <cell r="EA419"/>
          <cell r="EB419"/>
          <cell r="EC419"/>
          <cell r="ED419"/>
          <cell r="EE419"/>
          <cell r="EF419"/>
          <cell r="EG419"/>
          <cell r="EH419"/>
          <cell r="EI419"/>
          <cell r="EJ419" t="str">
            <v>SIN USO</v>
          </cell>
          <cell r="EK419" t="str">
            <v>C</v>
          </cell>
          <cell r="EL419" t="str">
            <v/>
          </cell>
          <cell r="EM419">
            <v>0</v>
          </cell>
          <cell r="EN419">
            <v>0</v>
          </cell>
          <cell r="EO419">
            <v>0</v>
          </cell>
          <cell r="EP419">
            <v>0</v>
          </cell>
          <cell r="EQ419">
            <v>0</v>
          </cell>
          <cell r="ER419">
            <v>0</v>
          </cell>
          <cell r="ES419">
            <v>0</v>
          </cell>
        </row>
        <row r="420">
          <cell r="F420">
            <v>405510</v>
          </cell>
          <cell r="G420" t="str">
            <v>CHIP SUCEDANEO DE COLORES CERRILLOS</v>
          </cell>
          <cell r="H420"/>
          <cell r="I420"/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>
            <v>0</v>
          </cell>
          <cell r="DG420"/>
          <cell r="DH420"/>
          <cell r="DI420"/>
          <cell r="DJ420"/>
          <cell r="DK420"/>
          <cell r="DL420"/>
          <cell r="DM420"/>
          <cell r="DN420"/>
          <cell r="DO420"/>
          <cell r="DP420"/>
          <cell r="DQ420"/>
          <cell r="DR420"/>
          <cell r="DS420"/>
          <cell r="DT420"/>
          <cell r="DU420"/>
          <cell r="DV420"/>
          <cell r="DW420"/>
          <cell r="DX420"/>
          <cell r="DY420"/>
          <cell r="DZ420"/>
          <cell r="EA420"/>
          <cell r="EB420"/>
          <cell r="EC420"/>
          <cell r="ED420"/>
          <cell r="EE420"/>
          <cell r="EF420"/>
          <cell r="EG420"/>
          <cell r="EH420"/>
          <cell r="EI420"/>
          <cell r="EJ420" t="str">
            <v>SIN USO</v>
          </cell>
          <cell r="EK420" t="str">
            <v>C</v>
          </cell>
          <cell r="EL420" t="str">
            <v/>
          </cell>
          <cell r="EM420">
            <v>0</v>
          </cell>
          <cell r="EN420">
            <v>0</v>
          </cell>
          <cell r="EO420">
            <v>0</v>
          </cell>
          <cell r="EP420">
            <v>0</v>
          </cell>
          <cell r="EQ420">
            <v>0</v>
          </cell>
          <cell r="ER420">
            <v>0</v>
          </cell>
          <cell r="ES420">
            <v>0</v>
          </cell>
        </row>
        <row r="421">
          <cell r="F421">
            <v>405684</v>
          </cell>
          <cell r="G421" t="str">
            <v>ZANAHORIA BABY MINUTO VERDE</v>
          </cell>
          <cell r="H421"/>
          <cell r="I421"/>
          <cell r="J421"/>
          <cell r="K421"/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>
            <v>0</v>
          </cell>
          <cell r="DG421"/>
          <cell r="DH421"/>
          <cell r="DI421"/>
          <cell r="DJ421"/>
          <cell r="DK421"/>
          <cell r="DL421"/>
          <cell r="DM421"/>
          <cell r="DN421"/>
          <cell r="DO421"/>
          <cell r="DP421"/>
          <cell r="DQ421"/>
          <cell r="DR421"/>
          <cell r="DS421"/>
          <cell r="DT421"/>
          <cell r="DU421"/>
          <cell r="DV421"/>
          <cell r="DW421"/>
          <cell r="DX421"/>
          <cell r="DY421"/>
          <cell r="DZ421"/>
          <cell r="EA421"/>
          <cell r="EB421"/>
          <cell r="EC421"/>
          <cell r="ED421"/>
          <cell r="EE421"/>
          <cell r="EF421"/>
          <cell r="EG421"/>
          <cell r="EH421"/>
          <cell r="EI421"/>
          <cell r="EJ421" t="str">
            <v>ACTIVO</v>
          </cell>
          <cell r="EK421" t="str">
            <v>C</v>
          </cell>
          <cell r="EL421" t="str">
            <v/>
          </cell>
          <cell r="EM421">
            <v>0</v>
          </cell>
          <cell r="EN421">
            <v>0</v>
          </cell>
          <cell r="EO421">
            <v>0</v>
          </cell>
          <cell r="EP421">
            <v>0</v>
          </cell>
          <cell r="EQ421">
            <v>0</v>
          </cell>
          <cell r="ER421">
            <v>0</v>
          </cell>
          <cell r="ES421">
            <v>0</v>
          </cell>
        </row>
        <row r="422">
          <cell r="F422">
            <v>405697</v>
          </cell>
          <cell r="G422" t="str">
            <v>TRIANGULO CHOCOLATE PURATOS</v>
          </cell>
          <cell r="H422"/>
          <cell r="I422"/>
          <cell r="J422"/>
          <cell r="K422"/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>
            <v>4.8199999999999994</v>
          </cell>
          <cell r="DK422">
            <v>3.5999999999999996</v>
          </cell>
          <cell r="DL422">
            <v>3.96</v>
          </cell>
          <cell r="DM422">
            <v>4.62</v>
          </cell>
          <cell r="DN422">
            <v>4.6800000000000006</v>
          </cell>
          <cell r="DO422">
            <v>5.18</v>
          </cell>
          <cell r="DP422"/>
          <cell r="DQ422"/>
          <cell r="DR422"/>
          <cell r="DS422"/>
          <cell r="DT422"/>
          <cell r="DU422"/>
          <cell r="DV422"/>
          <cell r="DW422"/>
          <cell r="DX422"/>
          <cell r="DY422"/>
          <cell r="DZ422"/>
          <cell r="EA422"/>
          <cell r="EB422"/>
          <cell r="EC422"/>
          <cell r="ED422"/>
          <cell r="EE422"/>
          <cell r="EF422"/>
          <cell r="EG422"/>
          <cell r="EH422"/>
          <cell r="EI422"/>
          <cell r="EJ422" t="str">
            <v>SIN USO</v>
          </cell>
          <cell r="EK422" t="str">
            <v/>
          </cell>
          <cell r="EL422" t="str">
            <v/>
          </cell>
          <cell r="EM422">
            <v>4.4766666666666666</v>
          </cell>
          <cell r="EN422">
            <v>0.74611111111111106</v>
          </cell>
          <cell r="EO422">
            <v>0</v>
          </cell>
          <cell r="EP422">
            <v>0</v>
          </cell>
          <cell r="EQ422">
            <v>0</v>
          </cell>
          <cell r="ER422">
            <v>0</v>
          </cell>
          <cell r="ES422">
            <v>2.2383333333333333</v>
          </cell>
        </row>
        <row r="423">
          <cell r="F423">
            <v>405683</v>
          </cell>
          <cell r="G423" t="str">
            <v>TRIANGULO VERDE #85 MARMOLEADO AMARILLO</v>
          </cell>
          <cell r="H423"/>
          <cell r="I423"/>
          <cell r="J423"/>
          <cell r="K423"/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K423">
            <v>456</v>
          </cell>
          <cell r="DL423">
            <v>310</v>
          </cell>
          <cell r="DM423">
            <v>1210</v>
          </cell>
          <cell r="DN423"/>
          <cell r="DO423">
            <v>608</v>
          </cell>
          <cell r="DP423"/>
          <cell r="DQ423"/>
          <cell r="DR423"/>
          <cell r="DS423">
            <v>2154</v>
          </cell>
          <cell r="DT423"/>
          <cell r="DU423">
            <v>477</v>
          </cell>
          <cell r="DV423"/>
          <cell r="DW423">
            <v>1113</v>
          </cell>
          <cell r="DX423">
            <v>608</v>
          </cell>
          <cell r="DY423">
            <v>1983</v>
          </cell>
          <cell r="DZ423"/>
          <cell r="EA423"/>
          <cell r="EB423"/>
          <cell r="EC423">
            <v>2984</v>
          </cell>
          <cell r="ED423"/>
          <cell r="EE423"/>
          <cell r="EF423"/>
          <cell r="EG423"/>
          <cell r="EH423"/>
          <cell r="EI423"/>
          <cell r="EJ423" t="str">
            <v>ACTIVO</v>
          </cell>
          <cell r="EK423" t="str">
            <v/>
          </cell>
          <cell r="EL423" t="str">
            <v/>
          </cell>
          <cell r="EM423">
            <v>1190.3</v>
          </cell>
          <cell r="EN423">
            <v>198.38333333333333</v>
          </cell>
          <cell r="EO423">
            <v>0</v>
          </cell>
          <cell r="EP423">
            <v>6536</v>
          </cell>
          <cell r="EQ423">
            <v>901968</v>
          </cell>
          <cell r="ER423">
            <v>5.4910526757960181</v>
          </cell>
          <cell r="ES423">
            <v>1388.6833333333334</v>
          </cell>
        </row>
        <row r="424">
          <cell r="F424">
            <v>405729</v>
          </cell>
          <cell r="G424" t="str">
            <v>CORAZÓN GRANDE #4 ROSADO DDM ZUKKER</v>
          </cell>
          <cell r="H424"/>
          <cell r="I424"/>
          <cell r="J424"/>
          <cell r="K424"/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K424"/>
          <cell r="DL424"/>
          <cell r="DM424"/>
          <cell r="DN424"/>
          <cell r="DO424"/>
          <cell r="DP424"/>
          <cell r="DQ424"/>
          <cell r="DR424"/>
          <cell r="DS424"/>
          <cell r="DT424"/>
          <cell r="DU424"/>
          <cell r="DV424"/>
          <cell r="DW424"/>
          <cell r="DX424"/>
          <cell r="DY424">
            <v>180</v>
          </cell>
          <cell r="DZ424">
            <v>390</v>
          </cell>
          <cell r="EA424">
            <v>2670</v>
          </cell>
          <cell r="EB424"/>
          <cell r="EC424"/>
          <cell r="ED424"/>
          <cell r="EE424"/>
          <cell r="EF424"/>
          <cell r="EG424"/>
          <cell r="EH424"/>
          <cell r="EI424"/>
          <cell r="EJ424" t="str">
            <v>ACTIVO</v>
          </cell>
          <cell r="EK424" t="str">
            <v/>
          </cell>
          <cell r="EL424" t="str">
            <v/>
          </cell>
          <cell r="EM424">
            <v>1080</v>
          </cell>
          <cell r="EN424">
            <v>180</v>
          </cell>
          <cell r="EO424">
            <v>0</v>
          </cell>
          <cell r="EP424">
            <v>0</v>
          </cell>
          <cell r="EQ424">
            <v>0</v>
          </cell>
          <cell r="ER424">
            <v>0</v>
          </cell>
          <cell r="ES424">
            <v>1260</v>
          </cell>
        </row>
        <row r="425">
          <cell r="F425">
            <v>101108</v>
          </cell>
          <cell r="G425" t="str">
            <v>FIGURA DE CORAZON MANAR</v>
          </cell>
          <cell r="H425"/>
          <cell r="I425"/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K425"/>
          <cell r="DL425"/>
          <cell r="DM425"/>
          <cell r="DN425"/>
          <cell r="DO425"/>
          <cell r="DP425"/>
          <cell r="DQ425"/>
          <cell r="DR425"/>
          <cell r="DS425"/>
          <cell r="DT425"/>
          <cell r="DU425"/>
          <cell r="DV425"/>
          <cell r="DW425"/>
          <cell r="DX425"/>
          <cell r="DY425"/>
          <cell r="DZ425">
            <v>10</v>
          </cell>
          <cell r="EA425"/>
          <cell r="EB425"/>
          <cell r="EC425"/>
          <cell r="ED425"/>
          <cell r="EE425"/>
          <cell r="EF425"/>
          <cell r="EG425"/>
          <cell r="EH425"/>
          <cell r="EI425"/>
          <cell r="EJ425" t="str">
            <v>SIN USO</v>
          </cell>
          <cell r="EK425" t="str">
            <v/>
          </cell>
          <cell r="EL425" t="str">
            <v/>
          </cell>
          <cell r="EM425">
            <v>10</v>
          </cell>
          <cell r="EN425">
            <v>1.6666666666666667</v>
          </cell>
          <cell r="EO425">
            <v>0</v>
          </cell>
          <cell r="EP425">
            <v>10</v>
          </cell>
          <cell r="EQ425">
            <v>40600</v>
          </cell>
          <cell r="ER425">
            <v>1</v>
          </cell>
          <cell r="ES425">
            <v>5</v>
          </cell>
        </row>
        <row r="426">
          <cell r="F426">
            <v>405749</v>
          </cell>
          <cell r="G426" t="str">
            <v>CARAVELLA RELL FRÍO-CALIENTE AVELLANA 13 KG MASTER MARTINI</v>
          </cell>
          <cell r="H426"/>
          <cell r="I426"/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K426"/>
          <cell r="DL426"/>
          <cell r="DM426"/>
          <cell r="DN426"/>
          <cell r="DO426"/>
          <cell r="DP426"/>
          <cell r="DQ426"/>
          <cell r="DR426"/>
          <cell r="DS426"/>
          <cell r="DT426"/>
          <cell r="DU426"/>
          <cell r="DV426"/>
          <cell r="DW426"/>
          <cell r="DX426"/>
          <cell r="DY426"/>
          <cell r="DZ426"/>
          <cell r="EA426"/>
          <cell r="EB426"/>
          <cell r="EC426"/>
          <cell r="ED426">
            <v>20</v>
          </cell>
          <cell r="EE426">
            <v>169</v>
          </cell>
          <cell r="EF426">
            <v>221</v>
          </cell>
          <cell r="EG426">
            <v>429</v>
          </cell>
          <cell r="EH426">
            <v>455</v>
          </cell>
          <cell r="EI426">
            <v>195</v>
          </cell>
          <cell r="EJ426" t="str">
            <v>ACTIVO</v>
          </cell>
          <cell r="EK426" t="str">
            <v/>
          </cell>
          <cell r="EL426"/>
          <cell r="EM426">
            <v>209.75</v>
          </cell>
          <cell r="EN426">
            <v>34.958333333333336</v>
          </cell>
          <cell r="EO426">
            <v>0</v>
          </cell>
          <cell r="EP426">
            <v>364</v>
          </cell>
          <cell r="EQ426">
            <v>2184000</v>
          </cell>
          <cell r="ER426">
            <v>1.735399284862932</v>
          </cell>
          <cell r="ES426">
            <v>104.875</v>
          </cell>
        </row>
        <row r="427">
          <cell r="F427">
            <v>405774</v>
          </cell>
          <cell r="G427" t="str">
            <v>BIGOTE CHOCOLATE BLANCO 6 GRAMOS AMBROSIA</v>
          </cell>
          <cell r="H427"/>
          <cell r="I427"/>
          <cell r="J427"/>
          <cell r="K427"/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K427"/>
          <cell r="DL427"/>
          <cell r="DM427"/>
          <cell r="DN427"/>
          <cell r="DO427"/>
          <cell r="DP427"/>
          <cell r="DQ427"/>
          <cell r="DR427"/>
          <cell r="DS427"/>
          <cell r="DT427"/>
          <cell r="DU427"/>
          <cell r="DV427"/>
          <cell r="DW427"/>
          <cell r="DX427"/>
          <cell r="DY427"/>
          <cell r="DZ427"/>
          <cell r="EA427"/>
          <cell r="EB427"/>
          <cell r="EC427"/>
          <cell r="ED427"/>
          <cell r="EE427"/>
          <cell r="EF427">
            <v>1200</v>
          </cell>
          <cell r="EG427">
            <v>1000</v>
          </cell>
          <cell r="EH427"/>
          <cell r="EI427"/>
          <cell r="EJ427" t="str">
            <v>ACTIVO</v>
          </cell>
          <cell r="EK427" t="str">
            <v/>
          </cell>
          <cell r="EL427" t="str">
            <v/>
          </cell>
          <cell r="EM427">
            <v>1100</v>
          </cell>
          <cell r="EN427">
            <v>183.33333333333334</v>
          </cell>
          <cell r="EO427">
            <v>0</v>
          </cell>
          <cell r="EP427">
            <v>0</v>
          </cell>
          <cell r="EQ427">
            <v>0</v>
          </cell>
          <cell r="ER427">
            <v>0</v>
          </cell>
          <cell r="ES427">
            <v>1283.3333333333335</v>
          </cell>
        </row>
        <row r="428">
          <cell r="F428"/>
          <cell r="G428"/>
          <cell r="H428">
            <v>6357.52</v>
          </cell>
          <cell r="I428">
            <v>1380.1599999999999</v>
          </cell>
          <cell r="J428">
            <v>2017.3</v>
          </cell>
          <cell r="K428">
            <v>29347.8</v>
          </cell>
          <cell r="L428">
            <v>1327.44</v>
          </cell>
          <cell r="M428">
            <v>1082.3</v>
          </cell>
          <cell r="N428">
            <v>1380.52</v>
          </cell>
          <cell r="O428">
            <v>1788.6599999999999</v>
          </cell>
          <cell r="P428">
            <v>878.52</v>
          </cell>
          <cell r="Q428">
            <v>1662.52</v>
          </cell>
          <cell r="R428">
            <v>1390.1</v>
          </cell>
          <cell r="S428">
            <v>1082.44</v>
          </cell>
          <cell r="T428">
            <v>626.5</v>
          </cell>
          <cell r="U428">
            <v>1664.6599999999999</v>
          </cell>
          <cell r="V428">
            <v>1863.08</v>
          </cell>
          <cell r="W428">
            <v>2082.38</v>
          </cell>
          <cell r="X428">
            <v>2430.8200000000002</v>
          </cell>
          <cell r="Y428">
            <v>2380.7399999999998</v>
          </cell>
          <cell r="Z428">
            <v>1554.9</v>
          </cell>
          <cell r="AA428">
            <v>1369.94</v>
          </cell>
          <cell r="AB428">
            <v>2894.46</v>
          </cell>
          <cell r="AC428">
            <v>2471.66</v>
          </cell>
          <cell r="AD428">
            <v>2932.24</v>
          </cell>
          <cell r="AE428">
            <v>2519.7399999999998</v>
          </cell>
          <cell r="AF428">
            <v>1749.38</v>
          </cell>
          <cell r="AG428">
            <v>2420.96</v>
          </cell>
          <cell r="AH428">
            <v>2066.8000000000002</v>
          </cell>
          <cell r="AI428">
            <v>3085.46</v>
          </cell>
          <cell r="AJ428">
            <v>3060.74</v>
          </cell>
          <cell r="AK428">
            <v>2475.4</v>
          </cell>
          <cell r="AL428">
            <v>3368.46</v>
          </cell>
          <cell r="AM428">
            <v>2070.9</v>
          </cell>
          <cell r="AN428">
            <v>2605.7399999999998</v>
          </cell>
          <cell r="AO428">
            <v>2233.54</v>
          </cell>
          <cell r="AP428">
            <v>1948.96</v>
          </cell>
          <cell r="AQ428">
            <v>3377.82</v>
          </cell>
          <cell r="AR428">
            <v>2611.3199999999997</v>
          </cell>
          <cell r="AS428">
            <v>876.72</v>
          </cell>
          <cell r="AT428">
            <v>3321.9</v>
          </cell>
          <cell r="AU428">
            <v>2156.04</v>
          </cell>
          <cell r="AV428">
            <v>5004.32</v>
          </cell>
          <cell r="AW428">
            <v>6644.24</v>
          </cell>
          <cell r="AX428">
            <v>26213.68</v>
          </cell>
          <cell r="AY428">
            <v>5744.54</v>
          </cell>
          <cell r="AZ428">
            <v>9579.02</v>
          </cell>
          <cell r="BA428">
            <v>10875.789999999999</v>
          </cell>
          <cell r="BB428">
            <v>14526.82</v>
          </cell>
          <cell r="BC428">
            <v>5054.84</v>
          </cell>
          <cell r="BD428">
            <v>10427.68</v>
          </cell>
          <cell r="BE428">
            <v>8900.5400000000009</v>
          </cell>
          <cell r="BF428">
            <v>13925.17</v>
          </cell>
          <cell r="BG428">
            <v>3159.82</v>
          </cell>
          <cell r="BH428">
            <v>2548.88</v>
          </cell>
          <cell r="BI428">
            <v>9910.26</v>
          </cell>
          <cell r="BJ428">
            <v>12358.46</v>
          </cell>
          <cell r="BK428">
            <v>11323.32</v>
          </cell>
          <cell r="BL428">
            <v>18138.82</v>
          </cell>
          <cell r="BM428">
            <v>9300.18</v>
          </cell>
          <cell r="BN428">
            <v>16665.260000000002</v>
          </cell>
          <cell r="BO428">
            <v>12563.96</v>
          </cell>
          <cell r="BP428">
            <v>9016.18</v>
          </cell>
          <cell r="BQ428">
            <v>7258.96</v>
          </cell>
          <cell r="BR428">
            <v>19104.400000000001</v>
          </cell>
          <cell r="BS428">
            <v>4577.96</v>
          </cell>
          <cell r="BT428">
            <v>16218.46</v>
          </cell>
          <cell r="BU428">
            <v>21065.18</v>
          </cell>
          <cell r="BV428">
            <v>12054.32</v>
          </cell>
          <cell r="BW428">
            <v>19551.32</v>
          </cell>
          <cell r="BX428">
            <v>29721.539999999997</v>
          </cell>
          <cell r="BY428">
            <v>20733.54</v>
          </cell>
          <cell r="BZ428">
            <v>4043.4</v>
          </cell>
          <cell r="CA428">
            <v>10044.540000000001</v>
          </cell>
          <cell r="CB428">
            <v>26012.18</v>
          </cell>
          <cell r="CC428">
            <v>7985.32</v>
          </cell>
          <cell r="CD428">
            <v>19925.82</v>
          </cell>
          <cell r="CE428">
            <v>8410.9</v>
          </cell>
          <cell r="CF428">
            <v>19024.32</v>
          </cell>
          <cell r="CG428">
            <v>19137.32</v>
          </cell>
          <cell r="CH428">
            <v>10629.68</v>
          </cell>
          <cell r="CI428">
            <v>29214.46</v>
          </cell>
          <cell r="CJ428">
            <v>9659.68</v>
          </cell>
          <cell r="CK428">
            <v>17767.96</v>
          </cell>
          <cell r="CL428">
            <v>20169.96</v>
          </cell>
          <cell r="CM428">
            <v>9540.68</v>
          </cell>
          <cell r="CN428">
            <v>12889.68</v>
          </cell>
          <cell r="CO428">
            <v>16456.68</v>
          </cell>
          <cell r="CP428">
            <v>24698.82</v>
          </cell>
          <cell r="CQ428">
            <v>10915.68</v>
          </cell>
          <cell r="CR428">
            <v>20759.96</v>
          </cell>
          <cell r="CS428">
            <v>10132.720000000001</v>
          </cell>
          <cell r="CT428">
            <v>11316.96</v>
          </cell>
          <cell r="CU428">
            <v>9794.1</v>
          </cell>
          <cell r="CV428">
            <v>14715.74</v>
          </cell>
          <cell r="CW428">
            <v>17523.599999999999</v>
          </cell>
          <cell r="CX428">
            <v>5434.6</v>
          </cell>
          <cell r="CY428">
            <v>7139.74</v>
          </cell>
          <cell r="CZ428">
            <v>17673.38</v>
          </cell>
          <cell r="DA428">
            <v>7584.6</v>
          </cell>
          <cell r="DB428">
            <v>13078.24</v>
          </cell>
          <cell r="DC428">
            <v>5300.74</v>
          </cell>
          <cell r="DD428">
            <v>12258.6</v>
          </cell>
          <cell r="DE428">
            <v>8441.880000000001</v>
          </cell>
          <cell r="DF428">
            <v>16944.099999999999</v>
          </cell>
          <cell r="DG428">
            <v>4340.8999999999996</v>
          </cell>
          <cell r="DH428">
            <v>13591.44</v>
          </cell>
          <cell r="DI428">
            <v>990</v>
          </cell>
          <cell r="DJ428">
            <v>8313.82</v>
          </cell>
          <cell r="DK428">
            <v>8305.1</v>
          </cell>
          <cell r="DL428">
            <v>13106.46</v>
          </cell>
          <cell r="DM428">
            <v>13288.340000000002</v>
          </cell>
          <cell r="DN428">
            <v>12884.68</v>
          </cell>
          <cell r="DO428">
            <v>16221.26</v>
          </cell>
          <cell r="DP428">
            <v>9171.880000000001</v>
          </cell>
          <cell r="DQ428">
            <v>10782.24</v>
          </cell>
          <cell r="DR428">
            <v>17756.099999999999</v>
          </cell>
          <cell r="DS428">
            <v>10475.1</v>
          </cell>
          <cell r="DT428">
            <v>18853.82</v>
          </cell>
          <cell r="DU428">
            <v>12840.76</v>
          </cell>
          <cell r="DV428">
            <v>4461.82</v>
          </cell>
          <cell r="DW428">
            <v>10820.24</v>
          </cell>
          <cell r="DX428">
            <v>19021.96</v>
          </cell>
          <cell r="DY428">
            <v>13836.32</v>
          </cell>
          <cell r="DZ428">
            <v>12310.82</v>
          </cell>
          <cell r="EA428">
            <v>6284.54</v>
          </cell>
          <cell r="EB428">
            <v>11800.4</v>
          </cell>
          <cell r="EC428">
            <v>13633.779999999999</v>
          </cell>
          <cell r="ED428">
            <v>16111.74</v>
          </cell>
          <cell r="EE428">
            <v>15396.74</v>
          </cell>
          <cell r="EF428">
            <v>14680.1</v>
          </cell>
          <cell r="EG428">
            <v>11499.76</v>
          </cell>
          <cell r="EH428">
            <v>11076.82</v>
          </cell>
          <cell r="EI428">
            <v>12650.56</v>
          </cell>
          <cell r="EJ428" t="str">
            <v>ACTIVO</v>
          </cell>
          <cell r="EK428" t="str">
            <v/>
          </cell>
          <cell r="EL428" t="str">
            <v/>
          </cell>
          <cell r="EM428">
            <v>12113.9112</v>
          </cell>
          <cell r="EN428">
            <v>2018.9852000000001</v>
          </cell>
          <cell r="EO428">
            <v>6403.0270377113839</v>
          </cell>
          <cell r="EP428">
            <v>0</v>
          </cell>
          <cell r="EQ428">
            <v>0</v>
          </cell>
          <cell r="ER428">
            <v>0</v>
          </cell>
          <cell r="ES428">
            <v>0</v>
          </cell>
        </row>
        <row r="429">
          <cell r="F429">
            <v>104006</v>
          </cell>
          <cell r="G429" t="str">
            <v>AZUCAR GRANULADA EGC</v>
          </cell>
          <cell r="H429">
            <v>1175</v>
          </cell>
          <cell r="I429">
            <v>910</v>
          </cell>
          <cell r="J429">
            <v>736</v>
          </cell>
          <cell r="K429">
            <v>845</v>
          </cell>
          <cell r="L429">
            <v>1177</v>
          </cell>
          <cell r="M429">
            <v>1016</v>
          </cell>
          <cell r="N429">
            <v>793</v>
          </cell>
          <cell r="O429">
            <v>891</v>
          </cell>
          <cell r="P429">
            <v>848</v>
          </cell>
          <cell r="Q429">
            <v>1046</v>
          </cell>
          <cell r="R429">
            <v>1292</v>
          </cell>
          <cell r="S429">
            <v>826</v>
          </cell>
          <cell r="T429">
            <v>788</v>
          </cell>
          <cell r="U429">
            <v>1138</v>
          </cell>
          <cell r="V429">
            <v>1502</v>
          </cell>
          <cell r="W429">
            <v>979</v>
          </cell>
          <cell r="X429">
            <v>1257</v>
          </cell>
          <cell r="Y429">
            <v>1143</v>
          </cell>
          <cell r="Z429">
            <v>1760</v>
          </cell>
          <cell r="AA429">
            <v>994</v>
          </cell>
          <cell r="AB429">
            <v>1078</v>
          </cell>
          <cell r="AC429">
            <v>866</v>
          </cell>
          <cell r="AD429">
            <v>1303</v>
          </cell>
          <cell r="AE429">
            <v>1583</v>
          </cell>
          <cell r="AF429">
            <v>888</v>
          </cell>
          <cell r="AG429">
            <v>1097</v>
          </cell>
          <cell r="AH429">
            <v>1014</v>
          </cell>
          <cell r="AI429">
            <v>1083</v>
          </cell>
          <cell r="AJ429">
            <v>1262</v>
          </cell>
          <cell r="AK429">
            <v>1302</v>
          </cell>
          <cell r="AL429">
            <v>1183</v>
          </cell>
          <cell r="AM429">
            <v>1414</v>
          </cell>
          <cell r="AN429">
            <v>1153</v>
          </cell>
          <cell r="AO429">
            <v>1243</v>
          </cell>
          <cell r="AP429">
            <v>1216</v>
          </cell>
          <cell r="AQ429">
            <v>1193</v>
          </cell>
          <cell r="AR429">
            <v>1158</v>
          </cell>
          <cell r="AS429">
            <v>440</v>
          </cell>
          <cell r="AT429">
            <v>1414</v>
          </cell>
          <cell r="AU429">
            <v>1220</v>
          </cell>
          <cell r="AV429">
            <v>1187</v>
          </cell>
          <cell r="AW429">
            <v>997</v>
          </cell>
          <cell r="AX429">
            <v>1268</v>
          </cell>
          <cell r="AY429">
            <v>1153</v>
          </cell>
          <cell r="AZ429">
            <v>1378</v>
          </cell>
          <cell r="BA429">
            <v>1398</v>
          </cell>
          <cell r="BB429">
            <v>1271</v>
          </cell>
          <cell r="BC429">
            <v>1334</v>
          </cell>
          <cell r="BD429">
            <v>1729</v>
          </cell>
          <cell r="BE429">
            <v>1612</v>
          </cell>
          <cell r="BF429">
            <v>1788</v>
          </cell>
          <cell r="BG429">
            <v>1444</v>
          </cell>
          <cell r="BH429">
            <v>640</v>
          </cell>
          <cell r="BI429">
            <v>1317</v>
          </cell>
          <cell r="BJ429">
            <v>1142</v>
          </cell>
          <cell r="BK429">
            <v>1379</v>
          </cell>
          <cell r="BL429">
            <v>1265</v>
          </cell>
          <cell r="BM429">
            <v>1358</v>
          </cell>
          <cell r="BN429">
            <v>1345</v>
          </cell>
          <cell r="BO429">
            <v>1315</v>
          </cell>
          <cell r="BP429">
            <v>1157</v>
          </cell>
          <cell r="BQ429">
            <v>1095</v>
          </cell>
          <cell r="BR429">
            <v>1502</v>
          </cell>
          <cell r="BS429">
            <v>1314</v>
          </cell>
          <cell r="BT429">
            <v>1663</v>
          </cell>
          <cell r="BU429">
            <v>1223</v>
          </cell>
          <cell r="BV429">
            <v>1564</v>
          </cell>
          <cell r="BW429">
            <v>1286</v>
          </cell>
          <cell r="BX429">
            <v>1189</v>
          </cell>
          <cell r="BY429">
            <v>1569</v>
          </cell>
          <cell r="BZ429">
            <v>2032</v>
          </cell>
          <cell r="CA429">
            <v>1512</v>
          </cell>
          <cell r="CB429">
            <v>1326</v>
          </cell>
          <cell r="CC429">
            <v>1013</v>
          </cell>
          <cell r="CD429">
            <v>1320</v>
          </cell>
          <cell r="CE429">
            <v>1849</v>
          </cell>
          <cell r="CF429">
            <v>1146</v>
          </cell>
          <cell r="CG429">
            <v>1396</v>
          </cell>
          <cell r="CH429">
            <v>1137</v>
          </cell>
          <cell r="CI429">
            <v>1126</v>
          </cell>
          <cell r="CJ429">
            <v>1183</v>
          </cell>
          <cell r="CK429">
            <v>1166</v>
          </cell>
          <cell r="CL429">
            <v>1402</v>
          </cell>
          <cell r="CM429">
            <v>1286</v>
          </cell>
          <cell r="CN429">
            <v>1233</v>
          </cell>
          <cell r="CO429">
            <v>1220</v>
          </cell>
          <cell r="CP429">
            <v>1320</v>
          </cell>
          <cell r="CQ429">
            <v>1347</v>
          </cell>
          <cell r="CR429">
            <v>1292</v>
          </cell>
          <cell r="CS429">
            <v>745</v>
          </cell>
          <cell r="CT429">
            <v>1371</v>
          </cell>
          <cell r="CU429">
            <v>1473</v>
          </cell>
          <cell r="CV429">
            <v>1523</v>
          </cell>
          <cell r="CW429">
            <v>1176</v>
          </cell>
          <cell r="CX429">
            <v>1217</v>
          </cell>
          <cell r="CY429">
            <v>1233</v>
          </cell>
          <cell r="CZ429">
            <v>1352</v>
          </cell>
          <cell r="DA429">
            <v>1234</v>
          </cell>
          <cell r="DB429">
            <v>1157</v>
          </cell>
          <cell r="DC429">
            <v>1191</v>
          </cell>
          <cell r="DD429">
            <v>1075</v>
          </cell>
          <cell r="DE429">
            <v>1075</v>
          </cell>
          <cell r="DF429">
            <v>1691</v>
          </cell>
          <cell r="DG429">
            <v>1361</v>
          </cell>
          <cell r="DH429">
            <v>661</v>
          </cell>
          <cell r="DI429">
            <v>316</v>
          </cell>
          <cell r="DJ429">
            <v>1492</v>
          </cell>
          <cell r="DK429">
            <v>1329</v>
          </cell>
          <cell r="DL429">
            <v>1296</v>
          </cell>
          <cell r="DM429">
            <v>1147</v>
          </cell>
          <cell r="DN429">
            <v>1093</v>
          </cell>
          <cell r="DO429">
            <v>1251</v>
          </cell>
          <cell r="DP429">
            <v>992</v>
          </cell>
          <cell r="DQ429">
            <v>917</v>
          </cell>
          <cell r="DR429">
            <v>1015</v>
          </cell>
          <cell r="DS429">
            <v>1126</v>
          </cell>
          <cell r="DT429">
            <v>1388</v>
          </cell>
          <cell r="DU429">
            <v>1308</v>
          </cell>
          <cell r="DV429">
            <v>1139</v>
          </cell>
          <cell r="DW429">
            <v>1207</v>
          </cell>
          <cell r="DX429">
            <v>1319</v>
          </cell>
          <cell r="DY429">
            <v>1577</v>
          </cell>
          <cell r="DZ429">
            <v>1861</v>
          </cell>
          <cell r="EA429">
            <v>1472</v>
          </cell>
          <cell r="EB429">
            <v>1316</v>
          </cell>
          <cell r="EC429">
            <v>970</v>
          </cell>
          <cell r="ED429">
            <v>1260.42</v>
          </cell>
          <cell r="EE429">
            <v>1178</v>
          </cell>
          <cell r="EF429">
            <v>1205</v>
          </cell>
          <cell r="EG429">
            <v>2019</v>
          </cell>
          <cell r="EH429">
            <v>1273</v>
          </cell>
          <cell r="EI429">
            <v>753</v>
          </cell>
          <cell r="EJ429" t="str">
            <v>ACTIVO</v>
          </cell>
          <cell r="EK429" t="str">
            <v>B</v>
          </cell>
          <cell r="EL429">
            <v>1000</v>
          </cell>
          <cell r="EM429">
            <v>1247.7367999999999</v>
          </cell>
          <cell r="EN429">
            <v>207.95613333333333</v>
          </cell>
          <cell r="EO429">
            <v>243.99311626303034</v>
          </cell>
          <cell r="EP429">
            <v>2203</v>
          </cell>
          <cell r="EQ429">
            <v>1982700</v>
          </cell>
          <cell r="ER429">
            <v>1.765596718795182</v>
          </cell>
          <cell r="ES429">
            <v>623.86839999999995</v>
          </cell>
        </row>
        <row r="430">
          <cell r="F430">
            <v>104003</v>
          </cell>
          <cell r="G430" t="str">
            <v>AZUCAR FLOR ANTI-HUMEDAD MANAR</v>
          </cell>
          <cell r="H430"/>
          <cell r="I430"/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>
            <v>45.36</v>
          </cell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>
            <v>31.68</v>
          </cell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>
            <v>22.68</v>
          </cell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K430"/>
          <cell r="DL430"/>
          <cell r="DM430"/>
          <cell r="DN430"/>
          <cell r="DO430"/>
          <cell r="DP430"/>
          <cell r="DQ430"/>
          <cell r="DR430"/>
          <cell r="DS430"/>
          <cell r="DT430"/>
          <cell r="DU430"/>
          <cell r="DV430"/>
          <cell r="DW430"/>
          <cell r="DX430"/>
          <cell r="DY430"/>
          <cell r="DZ430"/>
          <cell r="EA430"/>
          <cell r="EB430"/>
          <cell r="EC430"/>
          <cell r="ED430"/>
          <cell r="EE430"/>
          <cell r="EF430"/>
          <cell r="EG430"/>
          <cell r="EH430"/>
          <cell r="EI430"/>
          <cell r="EJ430" t="str">
            <v>SIN USO</v>
          </cell>
          <cell r="EK430" t="str">
            <v>C</v>
          </cell>
          <cell r="EL430"/>
          <cell r="EM430">
            <v>0</v>
          </cell>
          <cell r="EN430">
            <v>0</v>
          </cell>
          <cell r="EO430">
            <v>6.3639610306789276</v>
          </cell>
          <cell r="EP430">
            <v>0</v>
          </cell>
          <cell r="EQ430">
            <v>0</v>
          </cell>
          <cell r="ER430">
            <v>0</v>
          </cell>
          <cell r="ES430">
            <v>0</v>
          </cell>
        </row>
        <row r="431">
          <cell r="F431">
            <v>405418</v>
          </cell>
          <cell r="G431" t="str">
            <v>AZUCAR FLOR 5KG MEL ALIMENTOS</v>
          </cell>
          <cell r="H431"/>
          <cell r="I431"/>
          <cell r="J431"/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>
            <v>0</v>
          </cell>
          <cell r="DG431"/>
          <cell r="DH431"/>
          <cell r="DI431"/>
          <cell r="DJ431"/>
          <cell r="DK431"/>
          <cell r="DL431"/>
          <cell r="DM431"/>
          <cell r="DN431"/>
          <cell r="DO431"/>
          <cell r="DP431"/>
          <cell r="DQ431"/>
          <cell r="DR431">
            <v>25</v>
          </cell>
          <cell r="DS431">
            <v>75</v>
          </cell>
          <cell r="DT431">
            <v>30</v>
          </cell>
          <cell r="DU431">
            <v>65</v>
          </cell>
          <cell r="DV431">
            <v>45</v>
          </cell>
          <cell r="DW431">
            <v>45</v>
          </cell>
          <cell r="DX431">
            <v>15</v>
          </cell>
          <cell r="DY431">
            <v>75</v>
          </cell>
          <cell r="DZ431">
            <v>90</v>
          </cell>
          <cell r="EA431">
            <v>95</v>
          </cell>
          <cell r="EB431">
            <v>90</v>
          </cell>
          <cell r="EC431">
            <v>40</v>
          </cell>
          <cell r="ED431">
            <v>95</v>
          </cell>
          <cell r="EE431">
            <v>55</v>
          </cell>
          <cell r="EF431">
            <v>100</v>
          </cell>
          <cell r="EG431">
            <v>100</v>
          </cell>
          <cell r="EH431">
            <v>190</v>
          </cell>
          <cell r="EI431">
            <v>85</v>
          </cell>
          <cell r="EJ431" t="str">
            <v>ACTIVO</v>
          </cell>
          <cell r="EK431" t="str">
            <v>C</v>
          </cell>
          <cell r="EL431" t="str">
            <v/>
          </cell>
          <cell r="EM431">
            <v>65</v>
          </cell>
          <cell r="EN431">
            <v>10.833333333333334</v>
          </cell>
          <cell r="EO431">
            <v>0</v>
          </cell>
          <cell r="EP431">
            <v>195</v>
          </cell>
          <cell r="EQ431">
            <v>267471.75</v>
          </cell>
          <cell r="ER431">
            <v>3</v>
          </cell>
          <cell r="ES431">
            <v>21.666666666666668</v>
          </cell>
        </row>
        <row r="432">
          <cell r="F432"/>
          <cell r="G432"/>
          <cell r="H432">
            <v>1175</v>
          </cell>
          <cell r="I432">
            <v>910</v>
          </cell>
          <cell r="J432">
            <v>736</v>
          </cell>
          <cell r="K432">
            <v>845</v>
          </cell>
          <cell r="L432">
            <v>1177</v>
          </cell>
          <cell r="M432">
            <v>1016</v>
          </cell>
          <cell r="N432">
            <v>793</v>
          </cell>
          <cell r="O432">
            <v>891</v>
          </cell>
          <cell r="P432">
            <v>848</v>
          </cell>
          <cell r="Q432">
            <v>1046</v>
          </cell>
          <cell r="R432">
            <v>1292</v>
          </cell>
          <cell r="S432">
            <v>826</v>
          </cell>
          <cell r="T432">
            <v>788</v>
          </cell>
          <cell r="U432">
            <v>1138</v>
          </cell>
          <cell r="V432">
            <v>1502</v>
          </cell>
          <cell r="W432">
            <v>979</v>
          </cell>
          <cell r="X432">
            <v>1257</v>
          </cell>
          <cell r="Y432">
            <v>1143</v>
          </cell>
          <cell r="Z432">
            <v>1760</v>
          </cell>
          <cell r="AA432">
            <v>994</v>
          </cell>
          <cell r="AB432">
            <v>1078</v>
          </cell>
          <cell r="AC432">
            <v>866</v>
          </cell>
          <cell r="AD432">
            <v>1303</v>
          </cell>
          <cell r="AE432">
            <v>1583</v>
          </cell>
          <cell r="AF432">
            <v>888</v>
          </cell>
          <cell r="AG432">
            <v>1097</v>
          </cell>
          <cell r="AH432">
            <v>1014</v>
          </cell>
          <cell r="AI432">
            <v>1083</v>
          </cell>
          <cell r="AJ432">
            <v>1262</v>
          </cell>
          <cell r="AK432">
            <v>1302</v>
          </cell>
          <cell r="AL432">
            <v>1183</v>
          </cell>
          <cell r="AM432">
            <v>1414</v>
          </cell>
          <cell r="AN432">
            <v>1153</v>
          </cell>
          <cell r="AO432">
            <v>1243</v>
          </cell>
          <cell r="AP432">
            <v>1216</v>
          </cell>
          <cell r="AQ432">
            <v>1193</v>
          </cell>
          <cell r="AR432">
            <v>1158</v>
          </cell>
          <cell r="AS432">
            <v>440</v>
          </cell>
          <cell r="AT432">
            <v>1459.36</v>
          </cell>
          <cell r="AU432">
            <v>1220</v>
          </cell>
          <cell r="AV432">
            <v>1187</v>
          </cell>
          <cell r="AW432">
            <v>997</v>
          </cell>
          <cell r="AX432">
            <v>1268</v>
          </cell>
          <cell r="AY432">
            <v>1153</v>
          </cell>
          <cell r="AZ432">
            <v>1378</v>
          </cell>
          <cell r="BA432">
            <v>1398</v>
          </cell>
          <cell r="BB432">
            <v>1271</v>
          </cell>
          <cell r="BC432">
            <v>1334</v>
          </cell>
          <cell r="BD432">
            <v>1729</v>
          </cell>
          <cell r="BE432">
            <v>1612</v>
          </cell>
          <cell r="BF432">
            <v>1788</v>
          </cell>
          <cell r="BG432">
            <v>1444</v>
          </cell>
          <cell r="BH432">
            <v>640</v>
          </cell>
          <cell r="BI432">
            <v>1317</v>
          </cell>
          <cell r="BJ432">
            <v>1142</v>
          </cell>
          <cell r="BK432">
            <v>1379</v>
          </cell>
          <cell r="BL432">
            <v>1265</v>
          </cell>
          <cell r="BM432">
            <v>1358</v>
          </cell>
          <cell r="BN432">
            <v>1345</v>
          </cell>
          <cell r="BO432">
            <v>1315</v>
          </cell>
          <cell r="BP432">
            <v>1157</v>
          </cell>
          <cell r="BQ432">
            <v>1095</v>
          </cell>
          <cell r="BR432">
            <v>1502</v>
          </cell>
          <cell r="BS432">
            <v>1314</v>
          </cell>
          <cell r="BT432">
            <v>1663</v>
          </cell>
          <cell r="BU432">
            <v>1223</v>
          </cell>
          <cell r="BV432">
            <v>1564</v>
          </cell>
          <cell r="BW432">
            <v>1286</v>
          </cell>
          <cell r="BX432">
            <v>1189</v>
          </cell>
          <cell r="BY432">
            <v>1569</v>
          </cell>
          <cell r="BZ432">
            <v>2032</v>
          </cell>
          <cell r="CA432">
            <v>1512</v>
          </cell>
          <cell r="CB432">
            <v>1326</v>
          </cell>
          <cell r="CC432">
            <v>1013</v>
          </cell>
          <cell r="CD432">
            <v>1351.68</v>
          </cell>
          <cell r="CE432">
            <v>1849</v>
          </cell>
          <cell r="CF432">
            <v>1146</v>
          </cell>
          <cell r="CG432">
            <v>1396</v>
          </cell>
          <cell r="CH432">
            <v>1137</v>
          </cell>
          <cell r="CI432">
            <v>1126</v>
          </cell>
          <cell r="CJ432">
            <v>1183</v>
          </cell>
          <cell r="CK432">
            <v>1166</v>
          </cell>
          <cell r="CL432">
            <v>1402</v>
          </cell>
          <cell r="CM432">
            <v>1286</v>
          </cell>
          <cell r="CN432">
            <v>1233</v>
          </cell>
          <cell r="CO432">
            <v>1220</v>
          </cell>
          <cell r="CP432">
            <v>1320</v>
          </cell>
          <cell r="CQ432">
            <v>1369.68</v>
          </cell>
          <cell r="CR432">
            <v>1292</v>
          </cell>
          <cell r="CS432">
            <v>745</v>
          </cell>
          <cell r="CT432">
            <v>1371</v>
          </cell>
          <cell r="CU432">
            <v>1473</v>
          </cell>
          <cell r="CV432">
            <v>1523</v>
          </cell>
          <cell r="CW432">
            <v>1176</v>
          </cell>
          <cell r="CX432">
            <v>1217</v>
          </cell>
          <cell r="CY432">
            <v>1233</v>
          </cell>
          <cell r="CZ432">
            <v>1352</v>
          </cell>
          <cell r="DA432">
            <v>1234</v>
          </cell>
          <cell r="DB432">
            <v>1157</v>
          </cell>
          <cell r="DC432">
            <v>1191</v>
          </cell>
          <cell r="DD432">
            <v>1075</v>
          </cell>
          <cell r="DE432">
            <v>1075</v>
          </cell>
          <cell r="DF432">
            <v>1691</v>
          </cell>
          <cell r="DG432">
            <v>1361</v>
          </cell>
          <cell r="DH432">
            <v>661</v>
          </cell>
          <cell r="DI432">
            <v>316</v>
          </cell>
          <cell r="DJ432">
            <v>1492</v>
          </cell>
          <cell r="DK432">
            <v>1329</v>
          </cell>
          <cell r="DL432">
            <v>1296</v>
          </cell>
          <cell r="DM432">
            <v>1147</v>
          </cell>
          <cell r="DN432">
            <v>1093</v>
          </cell>
          <cell r="DO432">
            <v>1251</v>
          </cell>
          <cell r="DP432">
            <v>992</v>
          </cell>
          <cell r="DQ432">
            <v>917</v>
          </cell>
          <cell r="DR432">
            <v>1040</v>
          </cell>
          <cell r="DS432">
            <v>1201</v>
          </cell>
          <cell r="DT432">
            <v>1418</v>
          </cell>
          <cell r="DU432">
            <v>1373</v>
          </cell>
          <cell r="DV432">
            <v>1184</v>
          </cell>
          <cell r="DW432">
            <v>1252</v>
          </cell>
          <cell r="DX432">
            <v>1334</v>
          </cell>
          <cell r="DY432">
            <v>1652</v>
          </cell>
          <cell r="DZ432">
            <v>1951</v>
          </cell>
          <cell r="EA432">
            <v>1567</v>
          </cell>
          <cell r="EB432">
            <v>1406</v>
          </cell>
          <cell r="EC432">
            <v>1010</v>
          </cell>
          <cell r="ED432">
            <v>1355.42</v>
          </cell>
          <cell r="EE432">
            <v>1233</v>
          </cell>
          <cell r="EF432">
            <v>1305</v>
          </cell>
          <cell r="EG432">
            <v>2119</v>
          </cell>
          <cell r="EH432">
            <v>1463</v>
          </cell>
          <cell r="EI432">
            <v>838</v>
          </cell>
          <cell r="EJ432" t="str">
            <v>ACTIVO</v>
          </cell>
          <cell r="EK432" t="str">
            <v/>
          </cell>
          <cell r="EL432" t="str">
            <v/>
          </cell>
          <cell r="EM432">
            <v>1289.3368</v>
          </cell>
          <cell r="EN432">
            <v>214.88946666666666</v>
          </cell>
          <cell r="EO432">
            <v>244.24406388865958</v>
          </cell>
          <cell r="EP432">
            <v>0</v>
          </cell>
          <cell r="EQ432">
            <v>0</v>
          </cell>
          <cell r="ER432">
            <v>0</v>
          </cell>
          <cell r="ES432">
            <v>0</v>
          </cell>
        </row>
        <row r="433">
          <cell r="F433">
            <v>405570</v>
          </cell>
          <cell r="G433" t="str">
            <v>PM CREAM VELVET BAKELS</v>
          </cell>
          <cell r="H433"/>
          <cell r="I433"/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>
            <v>900</v>
          </cell>
          <cell r="CP433"/>
          <cell r="CQ433"/>
          <cell r="CR433">
            <v>1030</v>
          </cell>
          <cell r="CS433"/>
          <cell r="CT433"/>
          <cell r="CU433">
            <v>900</v>
          </cell>
          <cell r="CV433"/>
          <cell r="CW433">
            <v>780</v>
          </cell>
          <cell r="CX433"/>
          <cell r="CY433"/>
          <cell r="CZ433"/>
          <cell r="DA433"/>
          <cell r="DB433"/>
          <cell r="DC433">
            <v>900</v>
          </cell>
          <cell r="DD433"/>
          <cell r="DE433">
            <v>870</v>
          </cell>
          <cell r="DF433">
            <v>890</v>
          </cell>
          <cell r="DG433"/>
          <cell r="DH433"/>
          <cell r="DI433"/>
          <cell r="DJ433">
            <v>900</v>
          </cell>
          <cell r="DK433"/>
          <cell r="DL433"/>
          <cell r="DM433">
            <v>1340</v>
          </cell>
          <cell r="DN433"/>
          <cell r="DO433">
            <v>900</v>
          </cell>
          <cell r="DP433"/>
          <cell r="DQ433">
            <v>800</v>
          </cell>
          <cell r="DR433"/>
          <cell r="DS433">
            <v>800</v>
          </cell>
          <cell r="DT433">
            <v>2600</v>
          </cell>
          <cell r="DU433"/>
          <cell r="DV433"/>
          <cell r="DW433">
            <v>1390</v>
          </cell>
          <cell r="DX433">
            <v>1390</v>
          </cell>
          <cell r="DY433"/>
          <cell r="DZ433"/>
          <cell r="EA433">
            <v>900</v>
          </cell>
          <cell r="EB433">
            <v>100</v>
          </cell>
          <cell r="EC433">
            <v>890</v>
          </cell>
          <cell r="ED433"/>
          <cell r="EE433">
            <v>900</v>
          </cell>
          <cell r="EF433">
            <v>1450</v>
          </cell>
          <cell r="EG433"/>
          <cell r="EH433"/>
          <cell r="EI433">
            <v>900</v>
          </cell>
          <cell r="EJ433" t="str">
            <v>ACTIVO</v>
          </cell>
          <cell r="EK433" t="str">
            <v>C</v>
          </cell>
          <cell r="EL433" t="str">
            <v/>
          </cell>
          <cell r="EM433">
            <v>1104.6153846153845</v>
          </cell>
          <cell r="EN433">
            <v>184.10256410256409</v>
          </cell>
          <cell r="EO433">
            <v>73.225028247893235</v>
          </cell>
          <cell r="EP433">
            <v>3210</v>
          </cell>
          <cell r="EQ433">
            <v>4815000</v>
          </cell>
          <cell r="ER433">
            <v>2.905988857938719</v>
          </cell>
          <cell r="ES433">
            <v>552.30769230769226</v>
          </cell>
        </row>
        <row r="434">
          <cell r="F434">
            <v>107311</v>
          </cell>
          <cell r="G434" t="str">
            <v>HARINA ORO 2</v>
          </cell>
          <cell r="H434"/>
          <cell r="I434"/>
          <cell r="J434"/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>
            <v>1350</v>
          </cell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K434"/>
          <cell r="DL434"/>
          <cell r="DM434"/>
          <cell r="DN434"/>
          <cell r="DO434"/>
          <cell r="DP434"/>
          <cell r="DQ434"/>
          <cell r="DR434"/>
          <cell r="DS434"/>
          <cell r="DT434"/>
          <cell r="DU434"/>
          <cell r="DV434"/>
          <cell r="DW434"/>
          <cell r="DX434"/>
          <cell r="DY434"/>
          <cell r="DZ434"/>
          <cell r="EA434"/>
          <cell r="EB434"/>
          <cell r="EC434"/>
          <cell r="ED434"/>
          <cell r="EE434"/>
          <cell r="EF434"/>
          <cell r="EG434"/>
          <cell r="EH434"/>
          <cell r="EI434"/>
          <cell r="EJ434" t="str">
            <v>SIN USO</v>
          </cell>
          <cell r="EK434" t="str">
            <v/>
          </cell>
          <cell r="EL434" t="str">
            <v/>
          </cell>
          <cell r="EM434">
            <v>0</v>
          </cell>
          <cell r="EN434">
            <v>0</v>
          </cell>
          <cell r="EO434">
            <v>0</v>
          </cell>
          <cell r="EP434">
            <v>0</v>
          </cell>
          <cell r="EQ434">
            <v>0</v>
          </cell>
          <cell r="ER434">
            <v>0</v>
          </cell>
          <cell r="ES434">
            <v>0</v>
          </cell>
        </row>
        <row r="435">
          <cell r="F435">
            <v>107330</v>
          </cell>
          <cell r="G435" t="str">
            <v>HARINA NUEZ TRES ERRE</v>
          </cell>
          <cell r="H435"/>
          <cell r="I435"/>
          <cell r="J435"/>
          <cell r="K435"/>
          <cell r="L435">
            <v>30</v>
          </cell>
          <cell r="M435">
            <v>70</v>
          </cell>
          <cell r="N435"/>
          <cell r="O435"/>
          <cell r="P435"/>
          <cell r="Q435"/>
          <cell r="R435"/>
          <cell r="S435"/>
          <cell r="T435"/>
          <cell r="U435"/>
          <cell r="V435">
            <v>60</v>
          </cell>
          <cell r="W435">
            <v>40</v>
          </cell>
          <cell r="X435">
            <v>20</v>
          </cell>
          <cell r="Y435">
            <v>15</v>
          </cell>
          <cell r="Z435"/>
          <cell r="AA435"/>
          <cell r="AB435"/>
          <cell r="AC435">
            <v>60</v>
          </cell>
          <cell r="AD435">
            <v>30</v>
          </cell>
          <cell r="AE435">
            <v>45</v>
          </cell>
          <cell r="AF435">
            <v>15</v>
          </cell>
          <cell r="AG435">
            <v>10</v>
          </cell>
          <cell r="AH435">
            <v>30</v>
          </cell>
          <cell r="AI435">
            <v>35</v>
          </cell>
          <cell r="AJ435">
            <v>25</v>
          </cell>
          <cell r="AK435">
            <v>60</v>
          </cell>
          <cell r="AL435">
            <v>30</v>
          </cell>
          <cell r="AM435"/>
          <cell r="AN435">
            <v>15</v>
          </cell>
          <cell r="AO435">
            <v>25</v>
          </cell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>
            <v>30</v>
          </cell>
          <cell r="BM435">
            <v>10</v>
          </cell>
          <cell r="BN435">
            <v>30</v>
          </cell>
          <cell r="BO435">
            <v>40</v>
          </cell>
          <cell r="BP435">
            <v>30</v>
          </cell>
          <cell r="BQ435">
            <v>20</v>
          </cell>
          <cell r="BR435">
            <v>10</v>
          </cell>
          <cell r="BS435">
            <v>50</v>
          </cell>
          <cell r="BT435">
            <v>20</v>
          </cell>
          <cell r="BU435">
            <v>15</v>
          </cell>
          <cell r="BV435">
            <v>60</v>
          </cell>
          <cell r="BW435">
            <v>80</v>
          </cell>
          <cell r="BX435">
            <v>20</v>
          </cell>
          <cell r="BY435">
            <v>10</v>
          </cell>
          <cell r="BZ435"/>
          <cell r="CA435">
            <v>10</v>
          </cell>
          <cell r="CB435">
            <v>40</v>
          </cell>
          <cell r="CC435">
            <v>45</v>
          </cell>
          <cell r="CD435">
            <v>35</v>
          </cell>
          <cell r="CE435">
            <v>10</v>
          </cell>
          <cell r="CF435">
            <v>30</v>
          </cell>
          <cell r="CG435">
            <v>60</v>
          </cell>
          <cell r="CH435">
            <v>10</v>
          </cell>
          <cell r="CI435">
            <v>10</v>
          </cell>
          <cell r="CJ435">
            <v>10</v>
          </cell>
          <cell r="CK435"/>
          <cell r="CL435">
            <v>10</v>
          </cell>
          <cell r="CM435">
            <v>50</v>
          </cell>
          <cell r="CN435">
            <v>40</v>
          </cell>
          <cell r="CO435">
            <v>10</v>
          </cell>
          <cell r="CP435">
            <v>25</v>
          </cell>
          <cell r="CQ435">
            <v>25</v>
          </cell>
          <cell r="CR435">
            <v>35</v>
          </cell>
          <cell r="CS435">
            <v>20</v>
          </cell>
          <cell r="CT435">
            <v>20</v>
          </cell>
          <cell r="CU435">
            <v>35</v>
          </cell>
          <cell r="CV435">
            <v>10</v>
          </cell>
          <cell r="CW435">
            <v>50</v>
          </cell>
          <cell r="CX435"/>
          <cell r="CY435">
            <v>40</v>
          </cell>
          <cell r="CZ435">
            <v>55</v>
          </cell>
          <cell r="DA435">
            <v>60</v>
          </cell>
          <cell r="DB435">
            <v>40</v>
          </cell>
          <cell r="DC435">
            <v>45</v>
          </cell>
          <cell r="DD435">
            <v>50</v>
          </cell>
          <cell r="DE435">
            <v>20</v>
          </cell>
          <cell r="DF435"/>
          <cell r="DG435"/>
          <cell r="DH435"/>
          <cell r="DI435"/>
          <cell r="DJ435"/>
          <cell r="DK435">
            <v>20</v>
          </cell>
          <cell r="DL435"/>
          <cell r="DM435">
            <v>20</v>
          </cell>
          <cell r="DN435">
            <v>20</v>
          </cell>
          <cell r="DO435">
            <v>10</v>
          </cell>
          <cell r="DP435">
            <v>45</v>
          </cell>
          <cell r="DQ435"/>
          <cell r="DR435"/>
          <cell r="DS435"/>
          <cell r="DT435"/>
          <cell r="DU435"/>
          <cell r="DV435">
            <v>20</v>
          </cell>
          <cell r="DW435">
            <v>35</v>
          </cell>
          <cell r="DX435">
            <v>50</v>
          </cell>
          <cell r="DY435">
            <v>50</v>
          </cell>
          <cell r="DZ435">
            <v>10</v>
          </cell>
          <cell r="EA435"/>
          <cell r="EB435"/>
          <cell r="EC435"/>
          <cell r="ED435"/>
          <cell r="EE435"/>
          <cell r="EF435"/>
          <cell r="EG435"/>
          <cell r="EH435"/>
          <cell r="EI435">
            <v>20</v>
          </cell>
          <cell r="EJ435" t="str">
            <v>ACTIVO</v>
          </cell>
          <cell r="EK435" t="str">
            <v>C</v>
          </cell>
          <cell r="EL435"/>
          <cell r="EM435">
            <v>28</v>
          </cell>
          <cell r="EN435">
            <v>4.666666666666667</v>
          </cell>
          <cell r="EO435">
            <v>18.058444554060323</v>
          </cell>
          <cell r="EP435">
            <v>120</v>
          </cell>
          <cell r="EQ435">
            <v>240000</v>
          </cell>
          <cell r="ER435">
            <v>4.2857142857142856</v>
          </cell>
          <cell r="ES435">
            <v>14</v>
          </cell>
        </row>
        <row r="436">
          <cell r="F436">
            <v>403330</v>
          </cell>
          <cell r="G436" t="str">
            <v>MIX BIZCOCHO BLANCO PURATOS</v>
          </cell>
          <cell r="H436"/>
          <cell r="I436"/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>
            <v>1584</v>
          </cell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K436"/>
          <cell r="DL436"/>
          <cell r="DM436"/>
          <cell r="DN436"/>
          <cell r="DO436"/>
          <cell r="DP436"/>
          <cell r="DQ436"/>
          <cell r="DR436"/>
          <cell r="DS436"/>
          <cell r="DT436"/>
          <cell r="DU436"/>
          <cell r="DV436"/>
          <cell r="DW436"/>
          <cell r="DX436"/>
          <cell r="DY436"/>
          <cell r="DZ436"/>
          <cell r="EA436"/>
          <cell r="EB436"/>
          <cell r="EC436"/>
          <cell r="ED436"/>
          <cell r="EE436"/>
          <cell r="EF436"/>
          <cell r="EG436"/>
          <cell r="EH436"/>
          <cell r="EI436"/>
          <cell r="EJ436" t="str">
            <v>SIN USO</v>
          </cell>
          <cell r="EK436" t="str">
            <v/>
          </cell>
          <cell r="EL436" t="str">
            <v/>
          </cell>
          <cell r="EM436">
            <v>0</v>
          </cell>
          <cell r="EN436">
            <v>0</v>
          </cell>
          <cell r="EO436">
            <v>0</v>
          </cell>
          <cell r="EP436">
            <v>0</v>
          </cell>
          <cell r="EQ436">
            <v>0</v>
          </cell>
          <cell r="ER436">
            <v>0</v>
          </cell>
          <cell r="ES436">
            <v>0</v>
          </cell>
        </row>
        <row r="437">
          <cell r="F437">
            <v>403331</v>
          </cell>
          <cell r="G437" t="str">
            <v>MIX BIZCOCHO CHOCOLATE PURATOS</v>
          </cell>
          <cell r="H437"/>
          <cell r="I437"/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>
            <v>576</v>
          </cell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K437"/>
          <cell r="DL437"/>
          <cell r="DM437"/>
          <cell r="DN437"/>
          <cell r="DO437"/>
          <cell r="DP437"/>
          <cell r="DQ437"/>
          <cell r="DR437"/>
          <cell r="DS437"/>
          <cell r="DT437"/>
          <cell r="DU437"/>
          <cell r="DV437"/>
          <cell r="DW437"/>
          <cell r="DX437"/>
          <cell r="DY437"/>
          <cell r="DZ437"/>
          <cell r="EA437"/>
          <cell r="EB437"/>
          <cell r="EC437"/>
          <cell r="ED437"/>
          <cell r="EE437"/>
          <cell r="EF437"/>
          <cell r="EG437"/>
          <cell r="EH437"/>
          <cell r="EI437"/>
          <cell r="EJ437" t="str">
            <v>SIN USO</v>
          </cell>
          <cell r="EK437" t="str">
            <v/>
          </cell>
          <cell r="EL437" t="str">
            <v/>
          </cell>
          <cell r="EM437">
            <v>0</v>
          </cell>
          <cell r="EN437">
            <v>0</v>
          </cell>
          <cell r="EO437">
            <v>0</v>
          </cell>
          <cell r="EP437">
            <v>0</v>
          </cell>
          <cell r="EQ437">
            <v>0</v>
          </cell>
          <cell r="ER437">
            <v>0</v>
          </cell>
          <cell r="ES437">
            <v>0</v>
          </cell>
        </row>
        <row r="438">
          <cell r="F438">
            <v>405248</v>
          </cell>
          <cell r="G438" t="str">
            <v>MIX PANQUEQUE HUEVO POLVO SAN CRISTOBAL</v>
          </cell>
          <cell r="H438"/>
          <cell r="I438"/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>
            <v>2000</v>
          </cell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K438"/>
          <cell r="DL438"/>
          <cell r="DM438"/>
          <cell r="DN438"/>
          <cell r="DO438"/>
          <cell r="DP438"/>
          <cell r="DQ438"/>
          <cell r="DR438"/>
          <cell r="DS438"/>
          <cell r="DT438"/>
          <cell r="DU438"/>
          <cell r="DV438"/>
          <cell r="DW438"/>
          <cell r="DX438"/>
          <cell r="DY438"/>
          <cell r="DZ438"/>
          <cell r="EA438"/>
          <cell r="EB438"/>
          <cell r="EC438"/>
          <cell r="ED438"/>
          <cell r="EE438"/>
          <cell r="EF438"/>
          <cell r="EG438"/>
          <cell r="EH438"/>
          <cell r="EI438"/>
          <cell r="EJ438" t="str">
            <v>SIN USO</v>
          </cell>
          <cell r="EK438" t="str">
            <v/>
          </cell>
          <cell r="EL438" t="str">
            <v/>
          </cell>
          <cell r="EM438">
            <v>0</v>
          </cell>
          <cell r="EN438">
            <v>0</v>
          </cell>
          <cell r="EO438">
            <v>0</v>
          </cell>
          <cell r="EP438">
            <v>0</v>
          </cell>
          <cell r="EQ438">
            <v>0</v>
          </cell>
          <cell r="ER438">
            <v>0</v>
          </cell>
          <cell r="ES438">
            <v>0</v>
          </cell>
        </row>
        <row r="439">
          <cell r="F439">
            <v>107285</v>
          </cell>
          <cell r="G439" t="str">
            <v>MIX PANQUEQUE CHOCOLATE SAN CRISTOBAL</v>
          </cell>
          <cell r="H439"/>
          <cell r="I439"/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>
            <v>900</v>
          </cell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>
            <v>1600</v>
          </cell>
          <cell r="BQ439"/>
          <cell r="BR439"/>
          <cell r="BS439"/>
          <cell r="BT439">
            <v>1600</v>
          </cell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>
            <v>800</v>
          </cell>
          <cell r="CT439"/>
          <cell r="CU439">
            <v>1200</v>
          </cell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K439"/>
          <cell r="DL439"/>
          <cell r="DM439"/>
          <cell r="DN439"/>
          <cell r="DO439"/>
          <cell r="DP439"/>
          <cell r="DQ439"/>
          <cell r="DR439"/>
          <cell r="DS439"/>
          <cell r="DT439"/>
          <cell r="DU439"/>
          <cell r="DV439"/>
          <cell r="DW439"/>
          <cell r="DX439"/>
          <cell r="DY439"/>
          <cell r="DZ439"/>
          <cell r="EA439"/>
          <cell r="EB439"/>
          <cell r="EC439"/>
          <cell r="ED439"/>
          <cell r="EE439"/>
          <cell r="EF439"/>
          <cell r="EG439"/>
          <cell r="EH439"/>
          <cell r="EI439"/>
          <cell r="EJ439" t="str">
            <v>SIN USO</v>
          </cell>
          <cell r="EK439" t="str">
            <v>C</v>
          </cell>
          <cell r="EL439"/>
          <cell r="EM439">
            <v>0</v>
          </cell>
          <cell r="EN439">
            <v>0</v>
          </cell>
          <cell r="EO439">
            <v>382.97084310253524</v>
          </cell>
          <cell r="EP439">
            <v>0</v>
          </cell>
          <cell r="EQ439">
            <v>0</v>
          </cell>
          <cell r="ER439">
            <v>0</v>
          </cell>
          <cell r="ES439">
            <v>0</v>
          </cell>
        </row>
        <row r="440">
          <cell r="F440">
            <v>100104</v>
          </cell>
          <cell r="G440" t="str">
            <v>HARINA PLATA SAN CRISTOBAL</v>
          </cell>
          <cell r="H440"/>
          <cell r="I440"/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>
            <v>100</v>
          </cell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K440"/>
          <cell r="DL440"/>
          <cell r="DM440"/>
          <cell r="DN440"/>
          <cell r="DO440"/>
          <cell r="DP440"/>
          <cell r="DQ440"/>
          <cell r="DR440"/>
          <cell r="DS440"/>
          <cell r="DT440"/>
          <cell r="DU440"/>
          <cell r="DV440">
            <v>100</v>
          </cell>
          <cell r="DW440"/>
          <cell r="DX440"/>
          <cell r="DY440"/>
          <cell r="DZ440"/>
          <cell r="EA440"/>
          <cell r="EB440"/>
          <cell r="EC440"/>
          <cell r="ED440"/>
          <cell r="EE440"/>
          <cell r="EF440"/>
          <cell r="EG440"/>
          <cell r="EH440"/>
          <cell r="EI440"/>
          <cell r="EJ440" t="str">
            <v>SIN USO</v>
          </cell>
          <cell r="EK440" t="str">
            <v/>
          </cell>
          <cell r="EL440" t="str">
            <v/>
          </cell>
          <cell r="EM440">
            <v>100</v>
          </cell>
          <cell r="EN440">
            <v>16.666666666666668</v>
          </cell>
          <cell r="EO440">
            <v>0</v>
          </cell>
          <cell r="EP440">
            <v>0</v>
          </cell>
          <cell r="EQ440">
            <v>0</v>
          </cell>
          <cell r="ER440">
            <v>0</v>
          </cell>
          <cell r="ES440">
            <v>50</v>
          </cell>
        </row>
        <row r="441">
          <cell r="F441"/>
          <cell r="G441"/>
          <cell r="H441"/>
          <cell r="I441"/>
          <cell r="J441"/>
          <cell r="K441"/>
          <cell r="L441">
            <v>30</v>
          </cell>
          <cell r="M441">
            <v>70</v>
          </cell>
          <cell r="N441"/>
          <cell r="O441"/>
          <cell r="P441"/>
          <cell r="Q441"/>
          <cell r="R441"/>
          <cell r="S441"/>
          <cell r="T441"/>
          <cell r="U441"/>
          <cell r="V441">
            <v>60</v>
          </cell>
          <cell r="W441">
            <v>40</v>
          </cell>
          <cell r="X441">
            <v>20</v>
          </cell>
          <cell r="Y441">
            <v>15</v>
          </cell>
          <cell r="Z441"/>
          <cell r="AA441"/>
          <cell r="AB441"/>
          <cell r="AC441">
            <v>60</v>
          </cell>
          <cell r="AD441">
            <v>30</v>
          </cell>
          <cell r="AE441">
            <v>45</v>
          </cell>
          <cell r="AF441">
            <v>15</v>
          </cell>
          <cell r="AG441">
            <v>10</v>
          </cell>
          <cell r="AH441">
            <v>30</v>
          </cell>
          <cell r="AI441">
            <v>1385</v>
          </cell>
          <cell r="AJ441">
            <v>25</v>
          </cell>
          <cell r="AK441">
            <v>60</v>
          </cell>
          <cell r="AL441">
            <v>30</v>
          </cell>
          <cell r="AM441"/>
          <cell r="AN441">
            <v>15</v>
          </cell>
          <cell r="AO441">
            <v>25</v>
          </cell>
          <cell r="AP441"/>
          <cell r="AQ441"/>
          <cell r="AR441"/>
          <cell r="AS441"/>
          <cell r="AT441">
            <v>2160</v>
          </cell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>
            <v>2900</v>
          </cell>
          <cell r="BF441"/>
          <cell r="BG441">
            <v>100</v>
          </cell>
          <cell r="BH441"/>
          <cell r="BI441"/>
          <cell r="BJ441"/>
          <cell r="BK441"/>
          <cell r="BL441">
            <v>30</v>
          </cell>
          <cell r="BM441">
            <v>10</v>
          </cell>
          <cell r="BN441">
            <v>30</v>
          </cell>
          <cell r="BO441">
            <v>40</v>
          </cell>
          <cell r="BP441">
            <v>1630</v>
          </cell>
          <cell r="BQ441">
            <v>20</v>
          </cell>
          <cell r="BR441">
            <v>10</v>
          </cell>
          <cell r="BS441">
            <v>50</v>
          </cell>
          <cell r="BT441">
            <v>1620</v>
          </cell>
          <cell r="BU441">
            <v>15</v>
          </cell>
          <cell r="BV441">
            <v>60</v>
          </cell>
          <cell r="BW441">
            <v>80</v>
          </cell>
          <cell r="BX441">
            <v>20</v>
          </cell>
          <cell r="BY441">
            <v>10</v>
          </cell>
          <cell r="BZ441"/>
          <cell r="CA441">
            <v>10</v>
          </cell>
          <cell r="CB441">
            <v>40</v>
          </cell>
          <cell r="CC441">
            <v>45</v>
          </cell>
          <cell r="CD441">
            <v>35</v>
          </cell>
          <cell r="CE441">
            <v>10</v>
          </cell>
          <cell r="CF441">
            <v>30</v>
          </cell>
          <cell r="CG441">
            <v>60</v>
          </cell>
          <cell r="CH441">
            <v>10</v>
          </cell>
          <cell r="CI441">
            <v>10</v>
          </cell>
          <cell r="CJ441">
            <v>10</v>
          </cell>
          <cell r="CK441"/>
          <cell r="CL441">
            <v>10</v>
          </cell>
          <cell r="CM441">
            <v>50</v>
          </cell>
          <cell r="CN441">
            <v>40</v>
          </cell>
          <cell r="CO441">
            <v>910</v>
          </cell>
          <cell r="CP441">
            <v>25</v>
          </cell>
          <cell r="CQ441">
            <v>25</v>
          </cell>
          <cell r="CR441">
            <v>1065</v>
          </cell>
          <cell r="CS441">
            <v>820</v>
          </cell>
          <cell r="CT441">
            <v>20</v>
          </cell>
          <cell r="CU441">
            <v>2135</v>
          </cell>
          <cell r="CV441">
            <v>10</v>
          </cell>
          <cell r="CW441">
            <v>830</v>
          </cell>
          <cell r="CX441"/>
          <cell r="CY441">
            <v>40</v>
          </cell>
          <cell r="CZ441">
            <v>55</v>
          </cell>
          <cell r="DA441">
            <v>60</v>
          </cell>
          <cell r="DB441">
            <v>40</v>
          </cell>
          <cell r="DC441">
            <v>945</v>
          </cell>
          <cell r="DD441">
            <v>50</v>
          </cell>
          <cell r="DE441">
            <v>890</v>
          </cell>
          <cell r="DF441">
            <v>890</v>
          </cell>
          <cell r="DG441"/>
          <cell r="DH441"/>
          <cell r="DI441"/>
          <cell r="DJ441">
            <v>900</v>
          </cell>
          <cell r="DK441">
            <v>20</v>
          </cell>
          <cell r="DL441"/>
          <cell r="DM441">
            <v>1360</v>
          </cell>
          <cell r="DN441">
            <v>20</v>
          </cell>
          <cell r="DO441">
            <v>910</v>
          </cell>
          <cell r="DP441">
            <v>45</v>
          </cell>
          <cell r="DQ441">
            <v>800</v>
          </cell>
          <cell r="DR441"/>
          <cell r="DS441">
            <v>800</v>
          </cell>
          <cell r="DT441">
            <v>2600</v>
          </cell>
          <cell r="DU441"/>
          <cell r="DV441">
            <v>120</v>
          </cell>
          <cell r="DW441">
            <v>1425</v>
          </cell>
          <cell r="DX441">
            <v>1440</v>
          </cell>
          <cell r="DY441">
            <v>50</v>
          </cell>
          <cell r="DZ441">
            <v>10</v>
          </cell>
          <cell r="EA441">
            <v>900</v>
          </cell>
          <cell r="EB441">
            <v>100</v>
          </cell>
          <cell r="EC441">
            <v>890</v>
          </cell>
          <cell r="ED441"/>
          <cell r="EE441">
            <v>900</v>
          </cell>
          <cell r="EF441">
            <v>1450</v>
          </cell>
          <cell r="EG441"/>
          <cell r="EH441"/>
          <cell r="EI441">
            <v>920</v>
          </cell>
          <cell r="EJ441" t="str">
            <v>ACTIVO</v>
          </cell>
          <cell r="EK441" t="str">
            <v/>
          </cell>
          <cell r="EL441" t="str">
            <v/>
          </cell>
          <cell r="EM441">
            <v>775.78947368421052</v>
          </cell>
          <cell r="EN441">
            <v>129.2982456140351</v>
          </cell>
          <cell r="EO441">
            <v>527.49952406218824</v>
          </cell>
          <cell r="EP441">
            <v>0</v>
          </cell>
          <cell r="EQ441">
            <v>0</v>
          </cell>
          <cell r="ER441">
            <v>0</v>
          </cell>
          <cell r="ES441">
            <v>0</v>
          </cell>
        </row>
        <row r="442">
          <cell r="F442">
            <v>107247</v>
          </cell>
          <cell r="G442" t="str">
            <v>DULCE DE LECHE MASTER MARTINI</v>
          </cell>
          <cell r="H442">
            <v>880</v>
          </cell>
          <cell r="I442">
            <v>770</v>
          </cell>
          <cell r="J442">
            <v>710</v>
          </cell>
          <cell r="K442">
            <v>840</v>
          </cell>
          <cell r="L442">
            <v>500</v>
          </cell>
          <cell r="M442"/>
          <cell r="N442">
            <v>480</v>
          </cell>
          <cell r="O442">
            <v>780</v>
          </cell>
          <cell r="P442">
            <v>850</v>
          </cell>
          <cell r="Q442">
            <v>830</v>
          </cell>
          <cell r="R442">
            <v>870</v>
          </cell>
          <cell r="S442">
            <v>340</v>
          </cell>
          <cell r="T442">
            <v>230</v>
          </cell>
          <cell r="U442">
            <v>810</v>
          </cell>
          <cell r="V442">
            <v>840</v>
          </cell>
          <cell r="W442">
            <v>700</v>
          </cell>
          <cell r="X442">
            <v>696</v>
          </cell>
          <cell r="Y442">
            <v>880</v>
          </cell>
          <cell r="Z442">
            <v>2030</v>
          </cell>
          <cell r="AA442">
            <v>840</v>
          </cell>
          <cell r="AB442">
            <v>900</v>
          </cell>
          <cell r="AC442">
            <v>761</v>
          </cell>
          <cell r="AD442">
            <v>880</v>
          </cell>
          <cell r="AE442">
            <v>2300</v>
          </cell>
          <cell r="AF442">
            <v>450</v>
          </cell>
          <cell r="AG442">
            <v>99</v>
          </cell>
          <cell r="AH442"/>
          <cell r="AI442">
            <v>580</v>
          </cell>
          <cell r="AJ442">
            <v>1170</v>
          </cell>
          <cell r="AK442">
            <v>1170</v>
          </cell>
          <cell r="AL442">
            <v>920</v>
          </cell>
          <cell r="AM442">
            <v>1600</v>
          </cell>
          <cell r="AN442">
            <v>1090</v>
          </cell>
          <cell r="AO442">
            <v>1180</v>
          </cell>
          <cell r="AP442">
            <v>1020</v>
          </cell>
          <cell r="AQ442">
            <v>1230</v>
          </cell>
          <cell r="AR442">
            <v>1220</v>
          </cell>
          <cell r="AS442">
            <v>280</v>
          </cell>
          <cell r="AT442">
            <v>1261.52</v>
          </cell>
          <cell r="AU442">
            <v>990</v>
          </cell>
          <cell r="AV442">
            <v>1074</v>
          </cell>
          <cell r="AW442">
            <v>1040</v>
          </cell>
          <cell r="AX442">
            <v>1180</v>
          </cell>
          <cell r="AY442">
            <v>1220</v>
          </cell>
          <cell r="AZ442">
            <v>1427</v>
          </cell>
          <cell r="BA442">
            <v>1160</v>
          </cell>
          <cell r="BB442">
            <v>1880</v>
          </cell>
          <cell r="BC442">
            <v>900</v>
          </cell>
          <cell r="BD442">
            <v>900</v>
          </cell>
          <cell r="BE442"/>
          <cell r="BF442">
            <v>1070</v>
          </cell>
          <cell r="BG442">
            <v>661</v>
          </cell>
          <cell r="BH442">
            <v>430</v>
          </cell>
          <cell r="BI442">
            <v>1370</v>
          </cell>
          <cell r="BJ442">
            <v>690</v>
          </cell>
          <cell r="BK442">
            <v>1450</v>
          </cell>
          <cell r="BL442">
            <v>940</v>
          </cell>
          <cell r="BM442">
            <v>1130</v>
          </cell>
          <cell r="BN442">
            <v>940</v>
          </cell>
          <cell r="BO442">
            <v>1020</v>
          </cell>
          <cell r="BP442">
            <v>850</v>
          </cell>
          <cell r="BQ442">
            <v>1210</v>
          </cell>
          <cell r="BR442">
            <v>1030</v>
          </cell>
          <cell r="BS442">
            <v>420</v>
          </cell>
          <cell r="BT442"/>
          <cell r="BU442"/>
          <cell r="BV442">
            <v>1000</v>
          </cell>
          <cell r="BW442">
            <v>1150</v>
          </cell>
          <cell r="BX442">
            <v>950</v>
          </cell>
          <cell r="BY442">
            <v>1260</v>
          </cell>
          <cell r="BZ442">
            <v>1930</v>
          </cell>
          <cell r="CA442">
            <v>1160</v>
          </cell>
          <cell r="CB442">
            <v>810</v>
          </cell>
          <cell r="CC442">
            <v>880</v>
          </cell>
          <cell r="CD442">
            <v>1000</v>
          </cell>
          <cell r="CE442"/>
          <cell r="CF442">
            <v>130</v>
          </cell>
          <cell r="CG442">
            <v>120</v>
          </cell>
          <cell r="CH442"/>
          <cell r="CI442">
            <v>110</v>
          </cell>
          <cell r="CJ442"/>
          <cell r="CK442">
            <v>110</v>
          </cell>
          <cell r="CL442">
            <v>110</v>
          </cell>
          <cell r="CM442">
            <v>130</v>
          </cell>
          <cell r="CN442"/>
          <cell r="CO442">
            <v>70</v>
          </cell>
          <cell r="CP442">
            <v>650</v>
          </cell>
          <cell r="CQ442">
            <v>1160</v>
          </cell>
          <cell r="CR442">
            <v>840</v>
          </cell>
          <cell r="CS442">
            <v>230</v>
          </cell>
          <cell r="CT442">
            <v>740</v>
          </cell>
          <cell r="CU442">
            <v>860</v>
          </cell>
          <cell r="CV442">
            <v>1140</v>
          </cell>
          <cell r="CW442">
            <v>800</v>
          </cell>
          <cell r="CX442">
            <v>700</v>
          </cell>
          <cell r="CY442">
            <v>880</v>
          </cell>
          <cell r="CZ442">
            <v>1220</v>
          </cell>
          <cell r="DA442">
            <v>1080</v>
          </cell>
          <cell r="DB442">
            <v>860</v>
          </cell>
          <cell r="DC442">
            <v>920</v>
          </cell>
          <cell r="DD442">
            <v>1050</v>
          </cell>
          <cell r="DE442">
            <v>770</v>
          </cell>
          <cell r="DF442">
            <v>1246</v>
          </cell>
          <cell r="DG442">
            <v>880</v>
          </cell>
          <cell r="DH442">
            <v>470</v>
          </cell>
          <cell r="DI442">
            <v>290</v>
          </cell>
          <cell r="DJ442">
            <v>1080</v>
          </cell>
          <cell r="DK442">
            <v>1130</v>
          </cell>
          <cell r="DL442">
            <v>890</v>
          </cell>
          <cell r="DM442">
            <v>1040</v>
          </cell>
          <cell r="DN442">
            <v>885</v>
          </cell>
          <cell r="DO442">
            <v>1005</v>
          </cell>
          <cell r="DP442">
            <v>825</v>
          </cell>
          <cell r="DQ442">
            <v>870</v>
          </cell>
          <cell r="DR442">
            <v>950</v>
          </cell>
          <cell r="DS442">
            <v>850</v>
          </cell>
          <cell r="DT442">
            <v>990</v>
          </cell>
          <cell r="DU442">
            <v>960</v>
          </cell>
          <cell r="DV442">
            <v>970</v>
          </cell>
          <cell r="DW442">
            <v>990</v>
          </cell>
          <cell r="DX442">
            <v>1070</v>
          </cell>
          <cell r="DY442">
            <v>670</v>
          </cell>
          <cell r="DZ442"/>
          <cell r="EA442">
            <v>140</v>
          </cell>
          <cell r="EB442">
            <v>1090</v>
          </cell>
          <cell r="EC442">
            <v>280</v>
          </cell>
          <cell r="ED442">
            <v>920</v>
          </cell>
          <cell r="EE442">
            <v>960</v>
          </cell>
          <cell r="EF442">
            <v>1100</v>
          </cell>
          <cell r="EG442">
            <v>1360</v>
          </cell>
          <cell r="EH442">
            <v>980</v>
          </cell>
          <cell r="EI442">
            <v>810</v>
          </cell>
          <cell r="EJ442" t="str">
            <v>ACTIVO</v>
          </cell>
          <cell r="EK442" t="str">
            <v>A</v>
          </cell>
          <cell r="EL442">
            <v>1000</v>
          </cell>
          <cell r="EM442">
            <v>888.125</v>
          </cell>
          <cell r="EN442">
            <v>148.02083333333334</v>
          </cell>
          <cell r="EO442">
            <v>413.47623582839634</v>
          </cell>
          <cell r="EP442">
            <v>1860</v>
          </cell>
          <cell r="EQ442">
            <v>5747400</v>
          </cell>
          <cell r="ER442">
            <v>2.0942997888810697</v>
          </cell>
          <cell r="ES442">
            <v>296.04166666666669</v>
          </cell>
        </row>
        <row r="443">
          <cell r="F443">
            <v>403334</v>
          </cell>
          <cell r="G443" t="str">
            <v>DULCE DE LECHE MANAR</v>
          </cell>
          <cell r="H443"/>
          <cell r="I443"/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>
            <v>260</v>
          </cell>
          <cell r="AG443">
            <v>1021</v>
          </cell>
          <cell r="AH443">
            <v>470</v>
          </cell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>
            <v>250</v>
          </cell>
          <cell r="BE443">
            <v>1290</v>
          </cell>
          <cell r="BF443">
            <v>101</v>
          </cell>
          <cell r="BG443">
            <v>299</v>
          </cell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>
            <v>610</v>
          </cell>
          <cell r="BT443">
            <v>1180</v>
          </cell>
          <cell r="BU443">
            <v>990</v>
          </cell>
          <cell r="BV443">
            <v>410</v>
          </cell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K443"/>
          <cell r="DL443"/>
          <cell r="DM443"/>
          <cell r="DN443"/>
          <cell r="DO443">
            <v>300</v>
          </cell>
          <cell r="DP443"/>
          <cell r="DQ443"/>
          <cell r="DR443"/>
          <cell r="DS443"/>
          <cell r="DT443"/>
          <cell r="DU443"/>
          <cell r="DV443"/>
          <cell r="DW443"/>
          <cell r="DX443"/>
          <cell r="DY443">
            <v>510</v>
          </cell>
          <cell r="DZ443">
            <v>1260</v>
          </cell>
          <cell r="EA443">
            <v>1540</v>
          </cell>
          <cell r="EB443">
            <v>130</v>
          </cell>
          <cell r="EC443">
            <v>650</v>
          </cell>
          <cell r="ED443">
            <v>160</v>
          </cell>
          <cell r="EE443"/>
          <cell r="EF443"/>
          <cell r="EG443"/>
          <cell r="EH443"/>
          <cell r="EI443"/>
          <cell r="EJ443" t="str">
            <v>SIN USO</v>
          </cell>
          <cell r="EK443" t="str">
            <v>C</v>
          </cell>
          <cell r="EL443">
            <v>1000</v>
          </cell>
          <cell r="EM443">
            <v>650</v>
          </cell>
          <cell r="EN443">
            <v>108.33333333333333</v>
          </cell>
          <cell r="EO443">
            <v>350.55907728465206</v>
          </cell>
          <cell r="EP443">
            <v>0</v>
          </cell>
          <cell r="EQ443">
            <v>0</v>
          </cell>
          <cell r="ER443">
            <v>0</v>
          </cell>
          <cell r="ES443">
            <v>216.66666666666666</v>
          </cell>
        </row>
        <row r="444">
          <cell r="F444">
            <v>107265</v>
          </cell>
          <cell r="G444" t="str">
            <v>DULCE DE LECHE BAKELS</v>
          </cell>
          <cell r="H444"/>
          <cell r="I444"/>
          <cell r="J444"/>
          <cell r="K444"/>
          <cell r="L444">
            <v>320</v>
          </cell>
          <cell r="M444">
            <v>1050</v>
          </cell>
          <cell r="N444">
            <v>230</v>
          </cell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>
            <v>550</v>
          </cell>
          <cell r="AI444">
            <v>450</v>
          </cell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K444"/>
          <cell r="DL444"/>
          <cell r="DM444"/>
          <cell r="DN444"/>
          <cell r="DO444"/>
          <cell r="DP444"/>
          <cell r="DQ444"/>
          <cell r="DR444"/>
          <cell r="DS444"/>
          <cell r="DT444"/>
          <cell r="DU444"/>
          <cell r="DV444"/>
          <cell r="DW444"/>
          <cell r="DX444"/>
          <cell r="DY444"/>
          <cell r="DZ444"/>
          <cell r="EA444"/>
          <cell r="EB444"/>
          <cell r="EC444"/>
          <cell r="ED444"/>
          <cell r="EE444"/>
          <cell r="EF444"/>
          <cell r="EG444"/>
          <cell r="EH444"/>
          <cell r="EI444"/>
          <cell r="EJ444" t="str">
            <v>SIN USO</v>
          </cell>
          <cell r="EK444" t="str">
            <v/>
          </cell>
          <cell r="EL444" t="str">
            <v/>
          </cell>
          <cell r="EM444">
            <v>0</v>
          </cell>
          <cell r="EN444">
            <v>0</v>
          </cell>
          <cell r="EO444">
            <v>0</v>
          </cell>
          <cell r="EP444">
            <v>0</v>
          </cell>
          <cell r="EQ444">
            <v>0</v>
          </cell>
          <cell r="ER444">
            <v>0</v>
          </cell>
          <cell r="ES444">
            <v>0</v>
          </cell>
        </row>
        <row r="445">
          <cell r="F445">
            <v>107334</v>
          </cell>
          <cell r="G445" t="str">
            <v>MANJAR RECETA CASERA NESTLE</v>
          </cell>
          <cell r="H445"/>
          <cell r="I445"/>
          <cell r="J445"/>
          <cell r="K445"/>
          <cell r="L445">
            <v>108</v>
          </cell>
          <cell r="M445">
            <v>108</v>
          </cell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K445"/>
          <cell r="DL445"/>
          <cell r="DM445"/>
          <cell r="DN445"/>
          <cell r="DO445"/>
          <cell r="DP445"/>
          <cell r="DQ445"/>
          <cell r="DR445"/>
          <cell r="DS445"/>
          <cell r="DT445"/>
          <cell r="DU445"/>
          <cell r="DV445"/>
          <cell r="DW445"/>
          <cell r="DX445"/>
          <cell r="DY445"/>
          <cell r="DZ445"/>
          <cell r="EA445"/>
          <cell r="EB445"/>
          <cell r="EC445"/>
          <cell r="ED445"/>
          <cell r="EE445"/>
          <cell r="EF445"/>
          <cell r="EG445"/>
          <cell r="EH445"/>
          <cell r="EI445"/>
          <cell r="EJ445" t="str">
            <v>SIN USO</v>
          </cell>
          <cell r="EK445" t="str">
            <v/>
          </cell>
          <cell r="EL445" t="str">
            <v/>
          </cell>
          <cell r="EM445">
            <v>0</v>
          </cell>
          <cell r="EN445">
            <v>0</v>
          </cell>
          <cell r="EO445">
            <v>0</v>
          </cell>
          <cell r="EP445">
            <v>0</v>
          </cell>
          <cell r="EQ445">
            <v>0</v>
          </cell>
          <cell r="ER445">
            <v>0</v>
          </cell>
          <cell r="ES445">
            <v>0</v>
          </cell>
        </row>
        <row r="446">
          <cell r="F446">
            <v>107109</v>
          </cell>
          <cell r="G446" t="str">
            <v>MANJAR ARTESANAL DIWATTS</v>
          </cell>
          <cell r="H446">
            <v>7665</v>
          </cell>
          <cell r="I446">
            <v>4710</v>
          </cell>
          <cell r="J446">
            <v>4375</v>
          </cell>
          <cell r="K446">
            <v>4970</v>
          </cell>
          <cell r="L446">
            <v>5180</v>
          </cell>
          <cell r="M446">
            <v>6620</v>
          </cell>
          <cell r="N446">
            <v>5165</v>
          </cell>
          <cell r="O446">
            <v>5295</v>
          </cell>
          <cell r="P446">
            <v>5485</v>
          </cell>
          <cell r="Q446">
            <v>5445</v>
          </cell>
          <cell r="R446">
            <v>6020</v>
          </cell>
          <cell r="S446">
            <v>3515</v>
          </cell>
          <cell r="T446">
            <v>3595</v>
          </cell>
          <cell r="U446">
            <v>5913</v>
          </cell>
          <cell r="V446">
            <v>6275</v>
          </cell>
          <cell r="W446">
            <v>5920</v>
          </cell>
          <cell r="X446">
            <v>6745</v>
          </cell>
          <cell r="Y446">
            <v>10485</v>
          </cell>
          <cell r="Z446">
            <v>13840</v>
          </cell>
          <cell r="AA446">
            <v>6515</v>
          </cell>
          <cell r="AB446">
            <v>7100</v>
          </cell>
          <cell r="AC446">
            <v>6461</v>
          </cell>
          <cell r="AD446">
            <v>11155</v>
          </cell>
          <cell r="AE446">
            <v>10085</v>
          </cell>
          <cell r="AF446">
            <v>6015</v>
          </cell>
          <cell r="AG446">
            <v>8280</v>
          </cell>
          <cell r="AH446">
            <v>8255</v>
          </cell>
          <cell r="AI446">
            <v>9080</v>
          </cell>
          <cell r="AJ446">
            <v>9595</v>
          </cell>
          <cell r="AK446">
            <v>8995</v>
          </cell>
          <cell r="AL446">
            <v>14330</v>
          </cell>
          <cell r="AM446">
            <v>9475</v>
          </cell>
          <cell r="AN446">
            <v>9405</v>
          </cell>
          <cell r="AO446">
            <v>9330</v>
          </cell>
          <cell r="AP446">
            <v>8955</v>
          </cell>
          <cell r="AQ446">
            <v>9267</v>
          </cell>
          <cell r="AR446">
            <v>9780</v>
          </cell>
          <cell r="AS446">
            <v>3495</v>
          </cell>
          <cell r="AT446">
            <v>11480</v>
          </cell>
          <cell r="AU446">
            <v>10325</v>
          </cell>
          <cell r="AV446">
            <v>9335</v>
          </cell>
          <cell r="AW446">
            <v>7485</v>
          </cell>
          <cell r="AX446">
            <v>9664</v>
          </cell>
          <cell r="AY446">
            <v>9210</v>
          </cell>
          <cell r="AZ446">
            <v>10115</v>
          </cell>
          <cell r="BA446">
            <v>10395</v>
          </cell>
          <cell r="BB446">
            <v>9260</v>
          </cell>
          <cell r="BC446">
            <v>9190</v>
          </cell>
          <cell r="BD446">
            <v>9685</v>
          </cell>
          <cell r="BE446">
            <v>10145</v>
          </cell>
          <cell r="BF446">
            <v>12620</v>
          </cell>
          <cell r="BG446">
            <v>13150</v>
          </cell>
          <cell r="BH446">
            <v>5295</v>
          </cell>
          <cell r="BI446">
            <v>9180</v>
          </cell>
          <cell r="BJ446">
            <v>7070</v>
          </cell>
          <cell r="BK446">
            <v>9005</v>
          </cell>
          <cell r="BL446">
            <v>9690</v>
          </cell>
          <cell r="BM446">
            <v>9575</v>
          </cell>
          <cell r="BN446">
            <v>11160</v>
          </cell>
          <cell r="BO446">
            <v>9030</v>
          </cell>
          <cell r="BP446">
            <v>9365</v>
          </cell>
          <cell r="BQ446">
            <v>9070</v>
          </cell>
          <cell r="BR446">
            <v>11600</v>
          </cell>
          <cell r="BS446">
            <v>8505</v>
          </cell>
          <cell r="BT446">
            <v>9460</v>
          </cell>
          <cell r="BU446">
            <v>10295</v>
          </cell>
          <cell r="BV446">
            <v>10015</v>
          </cell>
          <cell r="BW446">
            <v>9835</v>
          </cell>
          <cell r="BX446">
            <v>9220</v>
          </cell>
          <cell r="BY446">
            <v>12145</v>
          </cell>
          <cell r="BZ446">
            <v>16480</v>
          </cell>
          <cell r="CA446">
            <v>9625</v>
          </cell>
          <cell r="CB446">
            <v>8755</v>
          </cell>
          <cell r="CC446">
            <v>9220</v>
          </cell>
          <cell r="CD446">
            <v>8455</v>
          </cell>
          <cell r="CE446">
            <v>20250</v>
          </cell>
          <cell r="CF446">
            <v>8175</v>
          </cell>
          <cell r="CG446">
            <v>10895</v>
          </cell>
          <cell r="CH446">
            <v>8610</v>
          </cell>
          <cell r="CI446">
            <v>9786</v>
          </cell>
          <cell r="CJ446">
            <v>8800</v>
          </cell>
          <cell r="CK446">
            <v>9065</v>
          </cell>
          <cell r="CL446">
            <v>9432</v>
          </cell>
          <cell r="CM446">
            <v>11340</v>
          </cell>
          <cell r="CN446">
            <v>9524</v>
          </cell>
          <cell r="CO446">
            <v>10900</v>
          </cell>
          <cell r="CP446">
            <v>9315</v>
          </cell>
          <cell r="CQ446">
            <v>8745</v>
          </cell>
          <cell r="CR446">
            <v>9630</v>
          </cell>
          <cell r="CS446">
            <v>6010</v>
          </cell>
          <cell r="CT446">
            <v>9910</v>
          </cell>
          <cell r="CU446">
            <v>8780</v>
          </cell>
          <cell r="CV446">
            <v>9855</v>
          </cell>
          <cell r="CW446">
            <v>6846</v>
          </cell>
          <cell r="CX446">
            <v>7750</v>
          </cell>
          <cell r="CY446">
            <v>8745</v>
          </cell>
          <cell r="CZ446">
            <v>8025</v>
          </cell>
          <cell r="DA446">
            <v>8315</v>
          </cell>
          <cell r="DB446">
            <v>7745</v>
          </cell>
          <cell r="DC446">
            <v>8535</v>
          </cell>
          <cell r="DD446">
            <v>7565</v>
          </cell>
          <cell r="DE446">
            <v>8335</v>
          </cell>
          <cell r="DF446">
            <v>11235</v>
          </cell>
          <cell r="DG446">
            <v>13410</v>
          </cell>
          <cell r="DH446">
            <v>4360</v>
          </cell>
          <cell r="DI446">
            <v>3050</v>
          </cell>
          <cell r="DJ446">
            <v>7605</v>
          </cell>
          <cell r="DK446">
            <v>6760</v>
          </cell>
          <cell r="DL446">
            <v>6425</v>
          </cell>
          <cell r="DM446">
            <v>7205</v>
          </cell>
          <cell r="DN446">
            <v>7540</v>
          </cell>
          <cell r="DO446">
            <v>8545</v>
          </cell>
          <cell r="DP446">
            <v>6535</v>
          </cell>
          <cell r="DQ446">
            <v>8055</v>
          </cell>
          <cell r="DR446">
            <v>7120</v>
          </cell>
          <cell r="DS446">
            <v>7480</v>
          </cell>
          <cell r="DT446">
            <v>8120</v>
          </cell>
          <cell r="DU446">
            <v>9760</v>
          </cell>
          <cell r="DV446">
            <v>8390</v>
          </cell>
          <cell r="DW446">
            <v>8530</v>
          </cell>
          <cell r="DX446">
            <v>8415</v>
          </cell>
          <cell r="DY446">
            <v>8865</v>
          </cell>
          <cell r="DZ446">
            <v>16965</v>
          </cell>
          <cell r="EA446">
            <v>11400</v>
          </cell>
          <cell r="EB446">
            <v>9395</v>
          </cell>
          <cell r="EC446">
            <v>8230</v>
          </cell>
          <cell r="ED446">
            <v>11175</v>
          </cell>
          <cell r="EE446">
            <v>9580</v>
          </cell>
          <cell r="EF446">
            <v>8795</v>
          </cell>
          <cell r="EG446">
            <v>14530</v>
          </cell>
          <cell r="EH446">
            <v>11850</v>
          </cell>
          <cell r="EI446">
            <v>6020</v>
          </cell>
          <cell r="EJ446" t="str">
            <v>ACTIVO</v>
          </cell>
          <cell r="EK446" t="str">
            <v>A</v>
          </cell>
          <cell r="EL446">
            <v>1040</v>
          </cell>
          <cell r="EM446">
            <v>8738.7999999999993</v>
          </cell>
          <cell r="EN446">
            <v>1456.4666666666665</v>
          </cell>
          <cell r="EO446">
            <v>2397.6159120433781</v>
          </cell>
          <cell r="EP446">
            <v>4510</v>
          </cell>
          <cell r="EQ446">
            <v>10476730</v>
          </cell>
          <cell r="ER446">
            <v>0.51608916556048889</v>
          </cell>
          <cell r="ES446">
            <v>4369.3999999999996</v>
          </cell>
        </row>
        <row r="447">
          <cell r="F447">
            <v>107147</v>
          </cell>
          <cell r="G447" t="str">
            <v>MANJAR GRADO 3 LANGER</v>
          </cell>
          <cell r="H447">
            <v>2880</v>
          </cell>
          <cell r="I447">
            <v>2856</v>
          </cell>
          <cell r="J447">
            <v>4584</v>
          </cell>
          <cell r="K447">
            <v>2856</v>
          </cell>
          <cell r="L447">
            <v>3012</v>
          </cell>
          <cell r="M447">
            <v>2496</v>
          </cell>
          <cell r="N447">
            <v>2556</v>
          </cell>
          <cell r="O447">
            <v>2748</v>
          </cell>
          <cell r="P447">
            <v>3720</v>
          </cell>
          <cell r="Q447">
            <v>4348</v>
          </cell>
          <cell r="R447">
            <v>5148</v>
          </cell>
          <cell r="S447">
            <v>2772</v>
          </cell>
          <cell r="T447">
            <v>2076</v>
          </cell>
          <cell r="U447">
            <v>5296</v>
          </cell>
          <cell r="V447">
            <v>5040</v>
          </cell>
          <cell r="W447">
            <v>5340</v>
          </cell>
          <cell r="X447">
            <v>4404</v>
          </cell>
          <cell r="Y447">
            <v>6060</v>
          </cell>
          <cell r="Z447">
            <v>2400</v>
          </cell>
          <cell r="AA447">
            <v>3648</v>
          </cell>
          <cell r="AB447">
            <v>4728</v>
          </cell>
          <cell r="AC447">
            <v>4717</v>
          </cell>
          <cell r="AD447">
            <v>396</v>
          </cell>
          <cell r="AE447"/>
          <cell r="AF447">
            <v>2160</v>
          </cell>
          <cell r="AG447"/>
          <cell r="AH447"/>
          <cell r="AI447"/>
          <cell r="AJ447">
            <v>1476</v>
          </cell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K447"/>
          <cell r="DL447"/>
          <cell r="DM447"/>
          <cell r="DN447"/>
          <cell r="DO447">
            <v>1</v>
          </cell>
          <cell r="DP447"/>
          <cell r="DQ447"/>
          <cell r="DR447"/>
          <cell r="DS447"/>
          <cell r="DT447"/>
          <cell r="DU447"/>
          <cell r="DV447"/>
          <cell r="DW447"/>
          <cell r="DX447"/>
          <cell r="DY447"/>
          <cell r="DZ447"/>
          <cell r="EA447"/>
          <cell r="EB447"/>
          <cell r="EC447"/>
          <cell r="ED447"/>
          <cell r="EE447"/>
          <cell r="EF447"/>
          <cell r="EG447"/>
          <cell r="EH447"/>
          <cell r="EI447"/>
          <cell r="EJ447" t="str">
            <v>SIN USO</v>
          </cell>
          <cell r="EK447" t="str">
            <v/>
          </cell>
          <cell r="EL447" t="str">
            <v/>
          </cell>
          <cell r="EM447">
            <v>1</v>
          </cell>
          <cell r="EN447">
            <v>0.16666666666666666</v>
          </cell>
          <cell r="EO447">
            <v>0</v>
          </cell>
          <cell r="EP447">
            <v>0</v>
          </cell>
          <cell r="EQ447">
            <v>0</v>
          </cell>
          <cell r="ER447">
            <v>0</v>
          </cell>
          <cell r="ES447">
            <v>0.33333333333333331</v>
          </cell>
        </row>
        <row r="448">
          <cell r="F448"/>
          <cell r="G448"/>
          <cell r="H448">
            <v>11425</v>
          </cell>
          <cell r="I448">
            <v>8336</v>
          </cell>
          <cell r="J448">
            <v>9669</v>
          </cell>
          <cell r="K448">
            <v>8666</v>
          </cell>
          <cell r="L448">
            <v>9120</v>
          </cell>
          <cell r="M448">
            <v>10274</v>
          </cell>
          <cell r="N448">
            <v>8431</v>
          </cell>
          <cell r="O448">
            <v>8823</v>
          </cell>
          <cell r="P448">
            <v>10055</v>
          </cell>
          <cell r="Q448">
            <v>10623</v>
          </cell>
          <cell r="R448">
            <v>12038</v>
          </cell>
          <cell r="S448">
            <v>6627</v>
          </cell>
          <cell r="T448">
            <v>5901</v>
          </cell>
          <cell r="U448">
            <v>12019</v>
          </cell>
          <cell r="V448">
            <v>12155</v>
          </cell>
          <cell r="W448">
            <v>11960</v>
          </cell>
          <cell r="X448">
            <v>11845</v>
          </cell>
          <cell r="Y448">
            <v>17425</v>
          </cell>
          <cell r="Z448">
            <v>18270</v>
          </cell>
          <cell r="AA448">
            <v>11003</v>
          </cell>
          <cell r="AB448">
            <v>12728</v>
          </cell>
          <cell r="AC448">
            <v>11939</v>
          </cell>
          <cell r="AD448">
            <v>12431</v>
          </cell>
          <cell r="AE448">
            <v>12385</v>
          </cell>
          <cell r="AF448">
            <v>8885</v>
          </cell>
          <cell r="AG448">
            <v>9400</v>
          </cell>
          <cell r="AH448">
            <v>9275</v>
          </cell>
          <cell r="AI448">
            <v>10110</v>
          </cell>
          <cell r="AJ448">
            <v>12241</v>
          </cell>
          <cell r="AK448">
            <v>10165</v>
          </cell>
          <cell r="AL448">
            <v>15250</v>
          </cell>
          <cell r="AM448">
            <v>11075</v>
          </cell>
          <cell r="AN448">
            <v>10495</v>
          </cell>
          <cell r="AO448">
            <v>10510</v>
          </cell>
          <cell r="AP448">
            <v>9975</v>
          </cell>
          <cell r="AQ448">
            <v>10497</v>
          </cell>
          <cell r="AR448">
            <v>11000</v>
          </cell>
          <cell r="AS448">
            <v>3775</v>
          </cell>
          <cell r="AT448">
            <v>12741.52</v>
          </cell>
          <cell r="AU448">
            <v>11315</v>
          </cell>
          <cell r="AV448">
            <v>10409</v>
          </cell>
          <cell r="AW448">
            <v>8525</v>
          </cell>
          <cell r="AX448">
            <v>10844</v>
          </cell>
          <cell r="AY448">
            <v>10430</v>
          </cell>
          <cell r="AZ448">
            <v>11542</v>
          </cell>
          <cell r="BA448">
            <v>11555</v>
          </cell>
          <cell r="BB448">
            <v>11140</v>
          </cell>
          <cell r="BC448">
            <v>10090</v>
          </cell>
          <cell r="BD448">
            <v>10835</v>
          </cell>
          <cell r="BE448">
            <v>11435</v>
          </cell>
          <cell r="BF448">
            <v>13791</v>
          </cell>
          <cell r="BG448">
            <v>14110</v>
          </cell>
          <cell r="BH448">
            <v>5725</v>
          </cell>
          <cell r="BI448">
            <v>10550</v>
          </cell>
          <cell r="BJ448">
            <v>7760</v>
          </cell>
          <cell r="BK448">
            <v>10455</v>
          </cell>
          <cell r="BL448">
            <v>10630</v>
          </cell>
          <cell r="BM448">
            <v>10705</v>
          </cell>
          <cell r="BN448">
            <v>12100</v>
          </cell>
          <cell r="BO448">
            <v>10050</v>
          </cell>
          <cell r="BP448">
            <v>10215</v>
          </cell>
          <cell r="BQ448">
            <v>10280</v>
          </cell>
          <cell r="BR448">
            <v>12630</v>
          </cell>
          <cell r="BS448">
            <v>9535</v>
          </cell>
          <cell r="BT448">
            <v>10640</v>
          </cell>
          <cell r="BU448">
            <v>11285</v>
          </cell>
          <cell r="BV448">
            <v>11425</v>
          </cell>
          <cell r="BW448">
            <v>10985</v>
          </cell>
          <cell r="BX448">
            <v>10170</v>
          </cell>
          <cell r="BY448">
            <v>13405</v>
          </cell>
          <cell r="BZ448">
            <v>18410</v>
          </cell>
          <cell r="CA448">
            <v>10785</v>
          </cell>
          <cell r="CB448">
            <v>9565</v>
          </cell>
          <cell r="CC448">
            <v>10100</v>
          </cell>
          <cell r="CD448">
            <v>9455</v>
          </cell>
          <cell r="CE448">
            <v>20250</v>
          </cell>
          <cell r="CF448">
            <v>8305</v>
          </cell>
          <cell r="CG448">
            <v>11015</v>
          </cell>
          <cell r="CH448">
            <v>8610</v>
          </cell>
          <cell r="CI448">
            <v>9896</v>
          </cell>
          <cell r="CJ448">
            <v>8800</v>
          </cell>
          <cell r="CK448">
            <v>9175</v>
          </cell>
          <cell r="CL448">
            <v>9542</v>
          </cell>
          <cell r="CM448">
            <v>11470</v>
          </cell>
          <cell r="CN448">
            <v>9524</v>
          </cell>
          <cell r="CO448">
            <v>10970</v>
          </cell>
          <cell r="CP448">
            <v>9965</v>
          </cell>
          <cell r="CQ448">
            <v>9905</v>
          </cell>
          <cell r="CR448">
            <v>10470</v>
          </cell>
          <cell r="CS448">
            <v>6240</v>
          </cell>
          <cell r="CT448">
            <v>10650</v>
          </cell>
          <cell r="CU448">
            <v>9640</v>
          </cell>
          <cell r="CV448">
            <v>10995</v>
          </cell>
          <cell r="CW448">
            <v>7646</v>
          </cell>
          <cell r="CX448">
            <v>8450</v>
          </cell>
          <cell r="CY448">
            <v>9625</v>
          </cell>
          <cell r="CZ448">
            <v>9245</v>
          </cell>
          <cell r="DA448">
            <v>9395</v>
          </cell>
          <cell r="DB448">
            <v>8605</v>
          </cell>
          <cell r="DC448">
            <v>9455</v>
          </cell>
          <cell r="DD448">
            <v>8615</v>
          </cell>
          <cell r="DE448">
            <v>9105</v>
          </cell>
          <cell r="DF448">
            <v>12481</v>
          </cell>
          <cell r="DG448">
            <v>14290</v>
          </cell>
          <cell r="DH448">
            <v>4830</v>
          </cell>
          <cell r="DI448">
            <v>3340</v>
          </cell>
          <cell r="DJ448">
            <v>8685</v>
          </cell>
          <cell r="DK448">
            <v>7890</v>
          </cell>
          <cell r="DL448">
            <v>7315</v>
          </cell>
          <cell r="DM448">
            <v>8245</v>
          </cell>
          <cell r="DN448">
            <v>8425</v>
          </cell>
          <cell r="DO448">
            <v>9851</v>
          </cell>
          <cell r="DP448">
            <v>7360</v>
          </cell>
          <cell r="DQ448">
            <v>8925</v>
          </cell>
          <cell r="DR448">
            <v>8070</v>
          </cell>
          <cell r="DS448">
            <v>8330</v>
          </cell>
          <cell r="DT448">
            <v>9110</v>
          </cell>
          <cell r="DU448">
            <v>10720</v>
          </cell>
          <cell r="DV448">
            <v>9360</v>
          </cell>
          <cell r="DW448">
            <v>9520</v>
          </cell>
          <cell r="DX448">
            <v>9485</v>
          </cell>
          <cell r="DY448">
            <v>10045</v>
          </cell>
          <cell r="DZ448">
            <v>18225</v>
          </cell>
          <cell r="EA448">
            <v>13080</v>
          </cell>
          <cell r="EB448">
            <v>10615</v>
          </cell>
          <cell r="EC448">
            <v>9160</v>
          </cell>
          <cell r="ED448">
            <v>12255</v>
          </cell>
          <cell r="EE448">
            <v>10540</v>
          </cell>
          <cell r="EF448">
            <v>9895</v>
          </cell>
          <cell r="EG448">
            <v>15890</v>
          </cell>
          <cell r="EH448">
            <v>12830</v>
          </cell>
          <cell r="EI448">
            <v>6830</v>
          </cell>
          <cell r="EJ448" t="str">
            <v>ACTIVO</v>
          </cell>
          <cell r="EK448" t="str">
            <v/>
          </cell>
          <cell r="EL448" t="str">
            <v/>
          </cell>
          <cell r="EM448">
            <v>9773.44</v>
          </cell>
          <cell r="EN448">
            <v>1628.9066666666668</v>
          </cell>
          <cell r="EO448">
            <v>2476.546737663482</v>
          </cell>
          <cell r="EP448">
            <v>0</v>
          </cell>
          <cell r="EQ448">
            <v>0</v>
          </cell>
          <cell r="ER448">
            <v>0</v>
          </cell>
          <cell r="ES448">
            <v>0</v>
          </cell>
        </row>
        <row r="449">
          <cell r="F449">
            <v>107222</v>
          </cell>
          <cell r="G449" t="str">
            <v>MANTEQUILLA SIN SAL SOPROLE</v>
          </cell>
          <cell r="H449"/>
          <cell r="I449"/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>
            <v>75</v>
          </cell>
          <cell r="X449">
            <v>40</v>
          </cell>
          <cell r="Y449">
            <v>25</v>
          </cell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K449"/>
          <cell r="DL449"/>
          <cell r="DM449"/>
          <cell r="DN449"/>
          <cell r="DO449"/>
          <cell r="DP449"/>
          <cell r="DQ449"/>
          <cell r="DR449"/>
          <cell r="DS449"/>
          <cell r="DT449"/>
          <cell r="DU449"/>
          <cell r="DV449"/>
          <cell r="DW449"/>
          <cell r="DX449"/>
          <cell r="DY449"/>
          <cell r="DZ449"/>
          <cell r="EA449"/>
          <cell r="EB449"/>
          <cell r="EC449"/>
          <cell r="ED449"/>
          <cell r="EE449"/>
          <cell r="EF449"/>
          <cell r="EG449"/>
          <cell r="EH449"/>
          <cell r="EI449"/>
          <cell r="EJ449" t="str">
            <v>SIN USO</v>
          </cell>
          <cell r="EK449" t="str">
            <v/>
          </cell>
          <cell r="EL449" t="str">
            <v/>
          </cell>
          <cell r="EM449">
            <v>0</v>
          </cell>
          <cell r="EN449">
            <v>0</v>
          </cell>
          <cell r="EO449">
            <v>0</v>
          </cell>
          <cell r="EP449">
            <v>0</v>
          </cell>
          <cell r="EQ449">
            <v>0</v>
          </cell>
          <cell r="ER449">
            <v>0</v>
          </cell>
          <cell r="ES449">
            <v>0</v>
          </cell>
        </row>
        <row r="450">
          <cell r="F450">
            <v>103006</v>
          </cell>
          <cell r="G450" t="str">
            <v>MARGARINA HORNITO DIWATTS</v>
          </cell>
          <cell r="H450"/>
          <cell r="I450"/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>
            <v>1600</v>
          </cell>
          <cell r="AJ450">
            <v>360</v>
          </cell>
          <cell r="AK450"/>
          <cell r="AL450"/>
          <cell r="AM450"/>
          <cell r="AN450"/>
          <cell r="AO450"/>
          <cell r="AP450">
            <v>800</v>
          </cell>
          <cell r="AQ450"/>
          <cell r="AR450">
            <v>800</v>
          </cell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>
            <v>70</v>
          </cell>
          <cell r="BL450"/>
          <cell r="BM450"/>
          <cell r="BN450"/>
          <cell r="BO450">
            <v>1200</v>
          </cell>
          <cell r="BP450"/>
          <cell r="BQ450"/>
          <cell r="BR450">
            <v>1500</v>
          </cell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K450">
            <v>800</v>
          </cell>
          <cell r="DL450"/>
          <cell r="DM450"/>
          <cell r="DN450"/>
          <cell r="DO450"/>
          <cell r="DP450"/>
          <cell r="DQ450"/>
          <cell r="DR450"/>
          <cell r="DS450"/>
          <cell r="DT450"/>
          <cell r="DU450"/>
          <cell r="DV450"/>
          <cell r="DW450"/>
          <cell r="DX450"/>
          <cell r="DY450"/>
          <cell r="DZ450"/>
          <cell r="EA450"/>
          <cell r="EB450"/>
          <cell r="EC450">
            <v>1600</v>
          </cell>
          <cell r="ED450"/>
          <cell r="EE450"/>
          <cell r="EF450"/>
          <cell r="EG450"/>
          <cell r="EH450"/>
          <cell r="EI450"/>
          <cell r="EJ450" t="str">
            <v>SIN USO</v>
          </cell>
          <cell r="EK450" t="str">
            <v>C</v>
          </cell>
          <cell r="EL450" t="str">
            <v/>
          </cell>
          <cell r="EM450">
            <v>1200</v>
          </cell>
          <cell r="EN450">
            <v>200</v>
          </cell>
          <cell r="EO450">
            <v>754.07780323606744</v>
          </cell>
          <cell r="EP450">
            <v>0</v>
          </cell>
          <cell r="EQ450">
            <v>0</v>
          </cell>
          <cell r="ER450">
            <v>0</v>
          </cell>
          <cell r="ES450">
            <v>600</v>
          </cell>
        </row>
        <row r="451">
          <cell r="F451">
            <v>103007</v>
          </cell>
          <cell r="G451" t="str">
            <v>MARGARINA HORNITO CERRILLOS</v>
          </cell>
          <cell r="H451"/>
          <cell r="I451"/>
          <cell r="J451"/>
          <cell r="K451"/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>
            <v>950</v>
          </cell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>
            <v>500</v>
          </cell>
          <cell r="AX451">
            <v>1500</v>
          </cell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K451"/>
          <cell r="DL451"/>
          <cell r="DM451"/>
          <cell r="DN451"/>
          <cell r="DO451"/>
          <cell r="DP451"/>
          <cell r="DQ451"/>
          <cell r="DR451"/>
          <cell r="DS451"/>
          <cell r="DT451"/>
          <cell r="DU451"/>
          <cell r="DV451"/>
          <cell r="DW451"/>
          <cell r="DX451"/>
          <cell r="DY451"/>
          <cell r="DZ451"/>
          <cell r="EA451"/>
          <cell r="EB451"/>
          <cell r="EC451"/>
          <cell r="ED451"/>
          <cell r="EE451"/>
          <cell r="EF451"/>
          <cell r="EG451"/>
          <cell r="EH451"/>
          <cell r="EI451"/>
          <cell r="EJ451" t="str">
            <v>SIN USO</v>
          </cell>
          <cell r="EK451" t="str">
            <v/>
          </cell>
          <cell r="EL451" t="str">
            <v/>
          </cell>
          <cell r="EM451">
            <v>0</v>
          </cell>
          <cell r="EN451">
            <v>0</v>
          </cell>
          <cell r="EO451">
            <v>0</v>
          </cell>
          <cell r="EP451">
            <v>0</v>
          </cell>
          <cell r="EQ451">
            <v>0</v>
          </cell>
          <cell r="ER451">
            <v>0</v>
          </cell>
          <cell r="ES451">
            <v>0</v>
          </cell>
        </row>
        <row r="452">
          <cell r="F452">
            <v>405555</v>
          </cell>
          <cell r="G452" t="str">
            <v>MARGARINA DE HOJA FERRON</v>
          </cell>
          <cell r="H452"/>
          <cell r="I452"/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>
            <v>40</v>
          </cell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K452"/>
          <cell r="DL452"/>
          <cell r="DM452"/>
          <cell r="DN452"/>
          <cell r="DO452"/>
          <cell r="DP452"/>
          <cell r="DQ452"/>
          <cell r="DR452"/>
          <cell r="DS452"/>
          <cell r="DT452"/>
          <cell r="DU452"/>
          <cell r="DV452"/>
          <cell r="DW452"/>
          <cell r="DX452"/>
          <cell r="DY452"/>
          <cell r="DZ452"/>
          <cell r="EA452"/>
          <cell r="EB452"/>
          <cell r="EC452"/>
          <cell r="ED452"/>
          <cell r="EE452"/>
          <cell r="EF452"/>
          <cell r="EG452"/>
          <cell r="EH452"/>
          <cell r="EI452"/>
          <cell r="EJ452" t="str">
            <v>SIN USO</v>
          </cell>
          <cell r="EK452" t="str">
            <v>C</v>
          </cell>
          <cell r="EL452" t="str">
            <v/>
          </cell>
          <cell r="EM452">
            <v>0</v>
          </cell>
          <cell r="EN452">
            <v>0</v>
          </cell>
          <cell r="EO452">
            <v>0</v>
          </cell>
          <cell r="EP452">
            <v>0</v>
          </cell>
          <cell r="EQ452">
            <v>0</v>
          </cell>
          <cell r="ER452">
            <v>0</v>
          </cell>
          <cell r="ES452">
            <v>0</v>
          </cell>
        </row>
        <row r="453">
          <cell r="F453">
            <v>201007</v>
          </cell>
          <cell r="G453" t="str">
            <v>MARGARINA HOJA MASTER MARTINI</v>
          </cell>
          <cell r="H453"/>
          <cell r="I453"/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>
            <v>40</v>
          </cell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K453"/>
          <cell r="DL453"/>
          <cell r="DM453"/>
          <cell r="DN453"/>
          <cell r="DO453"/>
          <cell r="DP453"/>
          <cell r="DQ453"/>
          <cell r="DR453"/>
          <cell r="DS453"/>
          <cell r="DT453"/>
          <cell r="DU453"/>
          <cell r="DV453"/>
          <cell r="DW453"/>
          <cell r="DX453"/>
          <cell r="DY453"/>
          <cell r="DZ453"/>
          <cell r="EA453"/>
          <cell r="EB453"/>
          <cell r="EC453"/>
          <cell r="ED453"/>
          <cell r="EE453"/>
          <cell r="EF453"/>
          <cell r="EG453"/>
          <cell r="EH453"/>
          <cell r="EI453"/>
          <cell r="EJ453" t="str">
            <v>SIN USO</v>
          </cell>
          <cell r="EK453" t="str">
            <v>C</v>
          </cell>
          <cell r="EL453" t="str">
            <v/>
          </cell>
          <cell r="EM453">
            <v>0</v>
          </cell>
          <cell r="EN453">
            <v>0</v>
          </cell>
          <cell r="EO453">
            <v>0</v>
          </cell>
          <cell r="EP453">
            <v>0</v>
          </cell>
          <cell r="EQ453">
            <v>0</v>
          </cell>
          <cell r="ER453">
            <v>0</v>
          </cell>
          <cell r="ES453">
            <v>0</v>
          </cell>
        </row>
        <row r="454">
          <cell r="F454">
            <v>405638</v>
          </cell>
          <cell r="G454" t="str">
            <v>MANTEQUILLA SIN SAL WATT</v>
          </cell>
          <cell r="H454"/>
          <cell r="I454"/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>
            <v>200</v>
          </cell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K454"/>
          <cell r="DL454"/>
          <cell r="DM454"/>
          <cell r="DN454"/>
          <cell r="DO454"/>
          <cell r="DP454"/>
          <cell r="DQ454"/>
          <cell r="DR454"/>
          <cell r="DS454"/>
          <cell r="DT454"/>
          <cell r="DU454"/>
          <cell r="DV454"/>
          <cell r="DW454"/>
          <cell r="DX454"/>
          <cell r="DY454"/>
          <cell r="DZ454"/>
          <cell r="EA454"/>
          <cell r="EB454"/>
          <cell r="EC454"/>
          <cell r="ED454"/>
          <cell r="EE454"/>
          <cell r="EF454"/>
          <cell r="EG454"/>
          <cell r="EH454"/>
          <cell r="EI454"/>
          <cell r="EJ454" t="str">
            <v>SIN USO</v>
          </cell>
          <cell r="EK454" t="str">
            <v>C</v>
          </cell>
          <cell r="EL454" t="str">
            <v/>
          </cell>
          <cell r="EM454">
            <v>0</v>
          </cell>
          <cell r="EN454">
            <v>0</v>
          </cell>
          <cell r="EO454">
            <v>0</v>
          </cell>
          <cell r="EP454">
            <v>0</v>
          </cell>
          <cell r="EQ454">
            <v>0</v>
          </cell>
          <cell r="ER454">
            <v>0</v>
          </cell>
          <cell r="ES454">
            <v>0</v>
          </cell>
        </row>
        <row r="455">
          <cell r="F455">
            <v>107331</v>
          </cell>
          <cell r="G455" t="str">
            <v>MANTEQUILLA WATTS</v>
          </cell>
          <cell r="H455"/>
          <cell r="I455"/>
          <cell r="J455"/>
          <cell r="K455"/>
          <cell r="L455">
            <v>40</v>
          </cell>
          <cell r="M455">
            <v>130</v>
          </cell>
          <cell r="N455"/>
          <cell r="O455"/>
          <cell r="P455"/>
          <cell r="Q455"/>
          <cell r="R455"/>
          <cell r="S455"/>
          <cell r="T455"/>
          <cell r="U455"/>
          <cell r="V455">
            <v>80</v>
          </cell>
          <cell r="W455"/>
          <cell r="X455"/>
          <cell r="Y455"/>
          <cell r="Z455"/>
          <cell r="AA455"/>
          <cell r="AB455">
            <v>40</v>
          </cell>
          <cell r="AC455">
            <v>80</v>
          </cell>
          <cell r="AD455">
            <v>40</v>
          </cell>
          <cell r="AE455">
            <v>65</v>
          </cell>
          <cell r="AF455">
            <v>20</v>
          </cell>
          <cell r="AG455">
            <v>20</v>
          </cell>
          <cell r="AH455">
            <v>20</v>
          </cell>
          <cell r="AI455">
            <v>60</v>
          </cell>
          <cell r="AJ455">
            <v>20</v>
          </cell>
          <cell r="AK455">
            <v>80</v>
          </cell>
          <cell r="AL455">
            <v>140</v>
          </cell>
          <cell r="AM455">
            <v>140</v>
          </cell>
          <cell r="AN455">
            <v>20</v>
          </cell>
          <cell r="AO455">
            <v>20</v>
          </cell>
          <cell r="AP455"/>
          <cell r="AQ455"/>
          <cell r="AR455"/>
          <cell r="AS455"/>
          <cell r="AT455"/>
          <cell r="AU455"/>
          <cell r="AV455"/>
          <cell r="AW455"/>
          <cell r="AX455">
            <v>580</v>
          </cell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>
            <v>40</v>
          </cell>
          <cell r="BM455">
            <v>20</v>
          </cell>
          <cell r="BN455">
            <v>60</v>
          </cell>
          <cell r="BO455">
            <v>60</v>
          </cell>
          <cell r="BP455">
            <v>60</v>
          </cell>
          <cell r="BQ455">
            <v>40</v>
          </cell>
          <cell r="BR455">
            <v>20</v>
          </cell>
          <cell r="BS455">
            <v>80</v>
          </cell>
          <cell r="BT455">
            <v>40</v>
          </cell>
          <cell r="BU455">
            <v>20</v>
          </cell>
          <cell r="BV455">
            <v>120</v>
          </cell>
          <cell r="BW455">
            <v>140</v>
          </cell>
          <cell r="BX455">
            <v>40</v>
          </cell>
          <cell r="BY455"/>
          <cell r="BZ455"/>
          <cell r="CA455">
            <v>20</v>
          </cell>
          <cell r="CB455">
            <v>60</v>
          </cell>
          <cell r="CC455">
            <v>60</v>
          </cell>
          <cell r="CD455">
            <v>60</v>
          </cell>
          <cell r="CE455">
            <v>20</v>
          </cell>
          <cell r="CF455">
            <v>60</v>
          </cell>
          <cell r="CG455">
            <v>160</v>
          </cell>
          <cell r="CH455">
            <v>220</v>
          </cell>
          <cell r="CI455">
            <v>40</v>
          </cell>
          <cell r="CJ455">
            <v>20</v>
          </cell>
          <cell r="CK455"/>
          <cell r="CL455">
            <v>20</v>
          </cell>
          <cell r="CM455">
            <v>80</v>
          </cell>
          <cell r="CN455">
            <v>60</v>
          </cell>
          <cell r="CO455">
            <v>20</v>
          </cell>
          <cell r="CP455">
            <v>40</v>
          </cell>
          <cell r="CQ455">
            <v>80</v>
          </cell>
          <cell r="CR455">
            <v>80</v>
          </cell>
          <cell r="CS455">
            <v>40</v>
          </cell>
          <cell r="CT455">
            <v>20</v>
          </cell>
          <cell r="CU455">
            <v>60</v>
          </cell>
          <cell r="CV455">
            <v>40</v>
          </cell>
          <cell r="CW455">
            <v>100</v>
          </cell>
          <cell r="CX455"/>
          <cell r="CY455">
            <v>280</v>
          </cell>
          <cell r="CZ455">
            <v>80</v>
          </cell>
          <cell r="DA455">
            <v>100</v>
          </cell>
          <cell r="DB455">
            <v>80</v>
          </cell>
          <cell r="DC455">
            <v>80</v>
          </cell>
          <cell r="DD455">
            <v>100</v>
          </cell>
          <cell r="DE455">
            <v>20</v>
          </cell>
          <cell r="DF455"/>
          <cell r="DG455"/>
          <cell r="DH455"/>
          <cell r="DI455"/>
          <cell r="DJ455"/>
          <cell r="DK455">
            <v>40</v>
          </cell>
          <cell r="DL455"/>
          <cell r="DM455">
            <v>40</v>
          </cell>
          <cell r="DN455">
            <v>40</v>
          </cell>
          <cell r="DO455">
            <v>20</v>
          </cell>
          <cell r="DP455">
            <v>60</v>
          </cell>
          <cell r="DQ455"/>
          <cell r="DR455">
            <v>40</v>
          </cell>
          <cell r="DS455"/>
          <cell r="DT455"/>
          <cell r="DU455"/>
          <cell r="DV455">
            <v>40</v>
          </cell>
          <cell r="DW455">
            <v>300</v>
          </cell>
          <cell r="DX455">
            <v>60</v>
          </cell>
          <cell r="DY455">
            <v>160</v>
          </cell>
          <cell r="DZ455">
            <v>40</v>
          </cell>
          <cell r="EA455">
            <v>40</v>
          </cell>
          <cell r="EB455">
            <v>30</v>
          </cell>
          <cell r="EC455"/>
          <cell r="ED455">
            <v>20</v>
          </cell>
          <cell r="EE455"/>
          <cell r="EF455">
            <v>20</v>
          </cell>
          <cell r="EG455">
            <v>80</v>
          </cell>
          <cell r="EH455">
            <v>60</v>
          </cell>
          <cell r="EI455">
            <v>60</v>
          </cell>
          <cell r="EJ455" t="str">
            <v>ACTIVO</v>
          </cell>
          <cell r="EK455" t="str">
            <v>C</v>
          </cell>
          <cell r="EL455" t="str">
            <v/>
          </cell>
          <cell r="EM455">
            <v>64.375</v>
          </cell>
          <cell r="EN455">
            <v>10.729166666666666</v>
          </cell>
          <cell r="EO455">
            <v>53.729654064586313</v>
          </cell>
          <cell r="EP455">
            <v>60</v>
          </cell>
          <cell r="EQ455">
            <v>347998.2</v>
          </cell>
          <cell r="ER455">
            <v>0.93203883495145634</v>
          </cell>
          <cell r="ES455">
            <v>32.1875</v>
          </cell>
        </row>
        <row r="456">
          <cell r="F456">
            <v>405700</v>
          </cell>
          <cell r="G456" t="str">
            <v>MARGARINA MULTIPROPÓSITO HORNEO</v>
          </cell>
          <cell r="H456"/>
          <cell r="I456"/>
          <cell r="J456"/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K456"/>
          <cell r="DL456"/>
          <cell r="DM456"/>
          <cell r="DN456"/>
          <cell r="DO456"/>
          <cell r="DP456"/>
          <cell r="DQ456"/>
          <cell r="DR456"/>
          <cell r="DS456"/>
          <cell r="DT456"/>
          <cell r="DU456"/>
          <cell r="DV456"/>
          <cell r="DW456"/>
          <cell r="DX456"/>
          <cell r="DY456"/>
          <cell r="DZ456"/>
          <cell r="EA456"/>
          <cell r="EB456"/>
          <cell r="EC456"/>
          <cell r="ED456"/>
          <cell r="EE456"/>
          <cell r="EF456">
            <v>1800</v>
          </cell>
          <cell r="EG456"/>
          <cell r="EH456">
            <v>2700</v>
          </cell>
          <cell r="EI456"/>
          <cell r="EJ456" t="str">
            <v>ACTIVO</v>
          </cell>
          <cell r="EK456" t="str">
            <v/>
          </cell>
          <cell r="EL456" t="str">
            <v/>
          </cell>
          <cell r="EM456">
            <v>1800</v>
          </cell>
          <cell r="EN456">
            <v>300</v>
          </cell>
          <cell r="EO456">
            <v>0</v>
          </cell>
          <cell r="EP456">
            <v>615</v>
          </cell>
          <cell r="EQ456">
            <v>905876.55</v>
          </cell>
          <cell r="ER456">
            <v>0.34166666666666667</v>
          </cell>
          <cell r="ES456">
            <v>900</v>
          </cell>
        </row>
        <row r="457">
          <cell r="F457"/>
          <cell r="G457"/>
          <cell r="H457"/>
          <cell r="I457"/>
          <cell r="J457"/>
          <cell r="K457"/>
          <cell r="L457">
            <v>40</v>
          </cell>
          <cell r="M457">
            <v>130</v>
          </cell>
          <cell r="N457"/>
          <cell r="O457"/>
          <cell r="P457"/>
          <cell r="Q457"/>
          <cell r="R457"/>
          <cell r="S457"/>
          <cell r="T457"/>
          <cell r="U457"/>
          <cell r="V457">
            <v>80</v>
          </cell>
          <cell r="W457">
            <v>75</v>
          </cell>
          <cell r="X457">
            <v>40</v>
          </cell>
          <cell r="Y457">
            <v>25</v>
          </cell>
          <cell r="Z457"/>
          <cell r="AA457"/>
          <cell r="AB457">
            <v>990</v>
          </cell>
          <cell r="AC457">
            <v>80</v>
          </cell>
          <cell r="AD457">
            <v>40</v>
          </cell>
          <cell r="AE457">
            <v>65</v>
          </cell>
          <cell r="AF457">
            <v>20</v>
          </cell>
          <cell r="AG457">
            <v>20</v>
          </cell>
          <cell r="AH457">
            <v>20</v>
          </cell>
          <cell r="AI457">
            <v>1660</v>
          </cell>
          <cell r="AJ457">
            <v>380</v>
          </cell>
          <cell r="AK457">
            <v>80</v>
          </cell>
          <cell r="AL457">
            <v>140</v>
          </cell>
          <cell r="AM457">
            <v>140</v>
          </cell>
          <cell r="AN457">
            <v>20</v>
          </cell>
          <cell r="AO457">
            <v>20</v>
          </cell>
          <cell r="AP457">
            <v>800</v>
          </cell>
          <cell r="AQ457"/>
          <cell r="AR457">
            <v>800</v>
          </cell>
          <cell r="AS457"/>
          <cell r="AT457"/>
          <cell r="AU457"/>
          <cell r="AV457"/>
          <cell r="AW457">
            <v>500</v>
          </cell>
          <cell r="AX457">
            <v>2080</v>
          </cell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>
            <v>70</v>
          </cell>
          <cell r="BL457">
            <v>40</v>
          </cell>
          <cell r="BM457">
            <v>20</v>
          </cell>
          <cell r="BN457">
            <v>60</v>
          </cell>
          <cell r="BO457">
            <v>1260</v>
          </cell>
          <cell r="BP457">
            <v>60</v>
          </cell>
          <cell r="BQ457">
            <v>40</v>
          </cell>
          <cell r="BR457">
            <v>1520</v>
          </cell>
          <cell r="BS457">
            <v>80</v>
          </cell>
          <cell r="BT457">
            <v>40</v>
          </cell>
          <cell r="BU457">
            <v>20</v>
          </cell>
          <cell r="BV457">
            <v>120</v>
          </cell>
          <cell r="BW457">
            <v>140</v>
          </cell>
          <cell r="BX457">
            <v>40</v>
          </cell>
          <cell r="BY457"/>
          <cell r="BZ457"/>
          <cell r="CA457">
            <v>20</v>
          </cell>
          <cell r="CB457">
            <v>60</v>
          </cell>
          <cell r="CC457">
            <v>100</v>
          </cell>
          <cell r="CD457">
            <v>60</v>
          </cell>
          <cell r="CE457">
            <v>20</v>
          </cell>
          <cell r="CF457">
            <v>100</v>
          </cell>
          <cell r="CG457">
            <v>160</v>
          </cell>
          <cell r="CH457">
            <v>220</v>
          </cell>
          <cell r="CI457">
            <v>40</v>
          </cell>
          <cell r="CJ457">
            <v>20</v>
          </cell>
          <cell r="CK457"/>
          <cell r="CL457">
            <v>20</v>
          </cell>
          <cell r="CM457">
            <v>80</v>
          </cell>
          <cell r="CN457">
            <v>60</v>
          </cell>
          <cell r="CO457">
            <v>20</v>
          </cell>
          <cell r="CP457">
            <v>40</v>
          </cell>
          <cell r="CQ457">
            <v>80</v>
          </cell>
          <cell r="CR457">
            <v>80</v>
          </cell>
          <cell r="CS457">
            <v>40</v>
          </cell>
          <cell r="CT457">
            <v>20</v>
          </cell>
          <cell r="CU457">
            <v>60</v>
          </cell>
          <cell r="CV457">
            <v>40</v>
          </cell>
          <cell r="CW457">
            <v>100</v>
          </cell>
          <cell r="CX457"/>
          <cell r="CY457">
            <v>480</v>
          </cell>
          <cell r="CZ457">
            <v>80</v>
          </cell>
          <cell r="DA457">
            <v>100</v>
          </cell>
          <cell r="DB457">
            <v>80</v>
          </cell>
          <cell r="DC457">
            <v>80</v>
          </cell>
          <cell r="DD457">
            <v>100</v>
          </cell>
          <cell r="DE457">
            <v>20</v>
          </cell>
          <cell r="DF457"/>
          <cell r="DG457"/>
          <cell r="DH457"/>
          <cell r="DI457"/>
          <cell r="DJ457"/>
          <cell r="DK457">
            <v>840</v>
          </cell>
          <cell r="DL457"/>
          <cell r="DM457">
            <v>40</v>
          </cell>
          <cell r="DN457">
            <v>40</v>
          </cell>
          <cell r="DO457">
            <v>20</v>
          </cell>
          <cell r="DP457">
            <v>60</v>
          </cell>
          <cell r="DQ457"/>
          <cell r="DR457">
            <v>40</v>
          </cell>
          <cell r="DS457"/>
          <cell r="DT457"/>
          <cell r="DU457"/>
          <cell r="DV457">
            <v>40</v>
          </cell>
          <cell r="DW457">
            <v>300</v>
          </cell>
          <cell r="DX457">
            <v>60</v>
          </cell>
          <cell r="DY457">
            <v>160</v>
          </cell>
          <cell r="DZ457">
            <v>40</v>
          </cell>
          <cell r="EA457">
            <v>40</v>
          </cell>
          <cell r="EB457">
            <v>30</v>
          </cell>
          <cell r="EC457">
            <v>1600</v>
          </cell>
          <cell r="ED457">
            <v>20</v>
          </cell>
          <cell r="EE457"/>
          <cell r="EF457">
            <v>1820</v>
          </cell>
          <cell r="EG457">
            <v>80</v>
          </cell>
          <cell r="EH457">
            <v>2760</v>
          </cell>
          <cell r="EI457">
            <v>60</v>
          </cell>
          <cell r="EJ457" t="str">
            <v>ACTIVO</v>
          </cell>
          <cell r="EK457" t="str">
            <v/>
          </cell>
          <cell r="EL457" t="str">
            <v/>
          </cell>
          <cell r="EM457">
            <v>307.64705882352939</v>
          </cell>
          <cell r="EN457">
            <v>51.274509803921568</v>
          </cell>
          <cell r="EO457">
            <v>291.43760978753426</v>
          </cell>
          <cell r="EP457">
            <v>0</v>
          </cell>
          <cell r="EQ457">
            <v>0</v>
          </cell>
          <cell r="ER457">
            <v>0</v>
          </cell>
          <cell r="ES457">
            <v>0</v>
          </cell>
        </row>
        <row r="458">
          <cell r="F458">
            <v>405246</v>
          </cell>
          <cell r="G458" t="str">
            <v>HUEVO EN POLVO OVOSUR</v>
          </cell>
          <cell r="H458"/>
          <cell r="I458"/>
          <cell r="J458">
            <v>500</v>
          </cell>
          <cell r="K458">
            <v>500</v>
          </cell>
          <cell r="L458">
            <v>500</v>
          </cell>
          <cell r="M458">
            <v>500</v>
          </cell>
          <cell r="N458">
            <v>500</v>
          </cell>
          <cell r="O458">
            <v>400</v>
          </cell>
          <cell r="P458">
            <v>800</v>
          </cell>
          <cell r="Q458">
            <v>800</v>
          </cell>
          <cell r="R458">
            <v>800</v>
          </cell>
          <cell r="S458">
            <v>800</v>
          </cell>
          <cell r="T458"/>
          <cell r="U458">
            <v>500</v>
          </cell>
          <cell r="V458"/>
          <cell r="W458">
            <v>500</v>
          </cell>
          <cell r="X458">
            <v>500</v>
          </cell>
          <cell r="Y458">
            <v>500</v>
          </cell>
          <cell r="Z458"/>
          <cell r="AA458">
            <v>500</v>
          </cell>
          <cell r="AB458">
            <v>600</v>
          </cell>
          <cell r="AC458">
            <v>600</v>
          </cell>
          <cell r="AD458">
            <v>600</v>
          </cell>
          <cell r="AE458"/>
          <cell r="AF458">
            <v>600</v>
          </cell>
          <cell r="AG458"/>
          <cell r="AH458">
            <v>600</v>
          </cell>
          <cell r="AI458">
            <v>800</v>
          </cell>
          <cell r="AJ458">
            <v>600</v>
          </cell>
          <cell r="AK458">
            <v>600</v>
          </cell>
          <cell r="AL458">
            <v>800</v>
          </cell>
          <cell r="AM458">
            <v>660</v>
          </cell>
          <cell r="AN458">
            <v>660</v>
          </cell>
          <cell r="AO458">
            <v>660</v>
          </cell>
          <cell r="AP458"/>
          <cell r="AQ458"/>
          <cell r="AR458">
            <v>600</v>
          </cell>
          <cell r="AS458"/>
          <cell r="AT458"/>
          <cell r="AU458">
            <v>600</v>
          </cell>
          <cell r="AV458">
            <v>600</v>
          </cell>
          <cell r="AW458">
            <v>800</v>
          </cell>
          <cell r="AX458">
            <v>700</v>
          </cell>
          <cell r="AY458"/>
          <cell r="AZ458">
            <v>600</v>
          </cell>
          <cell r="BA458">
            <v>1200</v>
          </cell>
          <cell r="BB458"/>
          <cell r="BC458">
            <v>800</v>
          </cell>
          <cell r="BD458"/>
          <cell r="BE458">
            <v>1400</v>
          </cell>
          <cell r="BF458">
            <v>760</v>
          </cell>
          <cell r="BG458"/>
          <cell r="BH458"/>
          <cell r="BI458">
            <v>1560</v>
          </cell>
          <cell r="BJ458">
            <v>980</v>
          </cell>
          <cell r="BK458"/>
          <cell r="BL458"/>
          <cell r="BM458"/>
          <cell r="BN458"/>
          <cell r="BO458">
            <v>1800</v>
          </cell>
          <cell r="BP458">
            <v>1000</v>
          </cell>
          <cell r="BQ458"/>
          <cell r="BR458"/>
          <cell r="BS458">
            <v>800</v>
          </cell>
          <cell r="BT458">
            <v>600</v>
          </cell>
          <cell r="BU458"/>
          <cell r="BV458"/>
          <cell r="BW458"/>
          <cell r="BX458">
            <v>700</v>
          </cell>
          <cell r="BY458">
            <v>700</v>
          </cell>
          <cell r="BZ458">
            <v>700</v>
          </cell>
          <cell r="CA458"/>
          <cell r="CB458"/>
          <cell r="CC458">
            <v>600</v>
          </cell>
          <cell r="CD458">
            <v>700</v>
          </cell>
          <cell r="CE458"/>
          <cell r="CF458"/>
          <cell r="CG458">
            <v>600</v>
          </cell>
          <cell r="CH458">
            <v>600</v>
          </cell>
          <cell r="CI458">
            <v>400</v>
          </cell>
          <cell r="CJ458"/>
          <cell r="CK458">
            <v>1200</v>
          </cell>
          <cell r="CL458"/>
          <cell r="CM458">
            <v>1260</v>
          </cell>
          <cell r="CN458">
            <v>600</v>
          </cell>
          <cell r="CO458"/>
          <cell r="CP458"/>
          <cell r="CQ458">
            <v>600</v>
          </cell>
          <cell r="CR458">
            <v>600</v>
          </cell>
          <cell r="CS458"/>
          <cell r="CT458">
            <v>600</v>
          </cell>
          <cell r="CU458">
            <v>600</v>
          </cell>
          <cell r="CV458"/>
          <cell r="CW458">
            <v>1200</v>
          </cell>
          <cell r="CX458">
            <v>500</v>
          </cell>
          <cell r="CY458"/>
          <cell r="CZ458">
            <v>600</v>
          </cell>
          <cell r="DA458">
            <v>800</v>
          </cell>
          <cell r="DB458"/>
          <cell r="DC458"/>
          <cell r="DD458">
            <v>600</v>
          </cell>
          <cell r="DE458">
            <v>600</v>
          </cell>
          <cell r="DF458"/>
          <cell r="DG458">
            <v>600</v>
          </cell>
          <cell r="DH458">
            <v>600</v>
          </cell>
          <cell r="DI458"/>
          <cell r="DJ458"/>
          <cell r="DK458">
            <v>600</v>
          </cell>
          <cell r="DL458"/>
          <cell r="DM458"/>
          <cell r="DN458">
            <v>500</v>
          </cell>
          <cell r="DO458">
            <v>600</v>
          </cell>
          <cell r="DP458">
            <v>600</v>
          </cell>
          <cell r="DQ458">
            <v>500</v>
          </cell>
          <cell r="DR458">
            <v>600</v>
          </cell>
          <cell r="DS458">
            <v>600</v>
          </cell>
          <cell r="DT458"/>
          <cell r="DU458">
            <v>500</v>
          </cell>
          <cell r="DV458">
            <v>500</v>
          </cell>
          <cell r="DW458"/>
          <cell r="DX458">
            <v>1000</v>
          </cell>
          <cell r="DY458"/>
          <cell r="DZ458">
            <v>260</v>
          </cell>
          <cell r="EA458">
            <v>600</v>
          </cell>
          <cell r="EB458">
            <v>800</v>
          </cell>
          <cell r="EC458">
            <v>600</v>
          </cell>
          <cell r="ED458">
            <v>600</v>
          </cell>
          <cell r="EE458">
            <v>600</v>
          </cell>
          <cell r="EF458">
            <v>500</v>
          </cell>
          <cell r="EG458"/>
          <cell r="EH458"/>
          <cell r="EI458">
            <v>600</v>
          </cell>
          <cell r="EJ458" t="str">
            <v>SIN USO</v>
          </cell>
          <cell r="EK458" t="str">
            <v>A</v>
          </cell>
          <cell r="EL458" t="str">
            <v/>
          </cell>
          <cell r="EM458">
            <v>585.88235294117646</v>
          </cell>
          <cell r="EN458">
            <v>97.647058823529406</v>
          </cell>
          <cell r="EO458">
            <v>328.57806804172054</v>
          </cell>
          <cell r="EP458">
            <v>0</v>
          </cell>
          <cell r="EQ458">
            <v>0</v>
          </cell>
          <cell r="ER458">
            <v>0</v>
          </cell>
          <cell r="ES458">
            <v>292.94117647058823</v>
          </cell>
        </row>
        <row r="459">
          <cell r="F459"/>
          <cell r="G459"/>
          <cell r="H459"/>
          <cell r="I459"/>
          <cell r="J459">
            <v>500</v>
          </cell>
          <cell r="K459">
            <v>500</v>
          </cell>
          <cell r="L459">
            <v>500</v>
          </cell>
          <cell r="M459">
            <v>500</v>
          </cell>
          <cell r="N459">
            <v>500</v>
          </cell>
          <cell r="O459">
            <v>400</v>
          </cell>
          <cell r="P459">
            <v>800</v>
          </cell>
          <cell r="Q459">
            <v>800</v>
          </cell>
          <cell r="R459">
            <v>800</v>
          </cell>
          <cell r="S459">
            <v>800</v>
          </cell>
          <cell r="T459"/>
          <cell r="U459">
            <v>500</v>
          </cell>
          <cell r="V459"/>
          <cell r="W459">
            <v>500</v>
          </cell>
          <cell r="X459">
            <v>500</v>
          </cell>
          <cell r="Y459">
            <v>500</v>
          </cell>
          <cell r="Z459"/>
          <cell r="AA459">
            <v>500</v>
          </cell>
          <cell r="AB459">
            <v>600</v>
          </cell>
          <cell r="AC459">
            <v>600</v>
          </cell>
          <cell r="AD459">
            <v>600</v>
          </cell>
          <cell r="AE459"/>
          <cell r="AF459">
            <v>600</v>
          </cell>
          <cell r="AG459"/>
          <cell r="AH459">
            <v>600</v>
          </cell>
          <cell r="AI459">
            <v>800</v>
          </cell>
          <cell r="AJ459">
            <v>600</v>
          </cell>
          <cell r="AK459">
            <v>600</v>
          </cell>
          <cell r="AL459">
            <v>800</v>
          </cell>
          <cell r="AM459">
            <v>660</v>
          </cell>
          <cell r="AN459">
            <v>660</v>
          </cell>
          <cell r="AO459">
            <v>660</v>
          </cell>
          <cell r="AP459"/>
          <cell r="AQ459"/>
          <cell r="AR459">
            <v>600</v>
          </cell>
          <cell r="AS459"/>
          <cell r="AT459"/>
          <cell r="AU459">
            <v>600</v>
          </cell>
          <cell r="AV459">
            <v>600</v>
          </cell>
          <cell r="AW459">
            <v>800</v>
          </cell>
          <cell r="AX459">
            <v>700</v>
          </cell>
          <cell r="AY459"/>
          <cell r="AZ459">
            <v>600</v>
          </cell>
          <cell r="BA459">
            <v>1200</v>
          </cell>
          <cell r="BB459"/>
          <cell r="BC459">
            <v>800</v>
          </cell>
          <cell r="BD459"/>
          <cell r="BE459">
            <v>1400</v>
          </cell>
          <cell r="BF459">
            <v>760</v>
          </cell>
          <cell r="BG459"/>
          <cell r="BH459"/>
          <cell r="BI459">
            <v>1560</v>
          </cell>
          <cell r="BJ459">
            <v>980</v>
          </cell>
          <cell r="BK459"/>
          <cell r="BL459"/>
          <cell r="BM459"/>
          <cell r="BN459"/>
          <cell r="BO459">
            <v>1800</v>
          </cell>
          <cell r="BP459">
            <v>1000</v>
          </cell>
          <cell r="BQ459"/>
          <cell r="BR459"/>
          <cell r="BS459">
            <v>800</v>
          </cell>
          <cell r="BT459">
            <v>600</v>
          </cell>
          <cell r="BU459"/>
          <cell r="BV459"/>
          <cell r="BW459"/>
          <cell r="BX459">
            <v>700</v>
          </cell>
          <cell r="BY459">
            <v>700</v>
          </cell>
          <cell r="BZ459">
            <v>700</v>
          </cell>
          <cell r="CA459"/>
          <cell r="CB459"/>
          <cell r="CC459">
            <v>600</v>
          </cell>
          <cell r="CD459">
            <v>700</v>
          </cell>
          <cell r="CE459"/>
          <cell r="CF459"/>
          <cell r="CG459">
            <v>600</v>
          </cell>
          <cell r="CH459">
            <v>600</v>
          </cell>
          <cell r="CI459">
            <v>400</v>
          </cell>
          <cell r="CJ459"/>
          <cell r="CK459">
            <v>1200</v>
          </cell>
          <cell r="CL459"/>
          <cell r="CM459">
            <v>1260</v>
          </cell>
          <cell r="CN459">
            <v>600</v>
          </cell>
          <cell r="CO459"/>
          <cell r="CP459"/>
          <cell r="CQ459">
            <v>600</v>
          </cell>
          <cell r="CR459">
            <v>600</v>
          </cell>
          <cell r="CS459"/>
          <cell r="CT459">
            <v>600</v>
          </cell>
          <cell r="CU459">
            <v>600</v>
          </cell>
          <cell r="CV459"/>
          <cell r="CW459">
            <v>1200</v>
          </cell>
          <cell r="CX459">
            <v>500</v>
          </cell>
          <cell r="CY459"/>
          <cell r="CZ459">
            <v>600</v>
          </cell>
          <cell r="DA459">
            <v>800</v>
          </cell>
          <cell r="DB459"/>
          <cell r="DC459"/>
          <cell r="DD459">
            <v>600</v>
          </cell>
          <cell r="DE459">
            <v>600</v>
          </cell>
          <cell r="DF459"/>
          <cell r="DG459">
            <v>600</v>
          </cell>
          <cell r="DH459">
            <v>600</v>
          </cell>
          <cell r="DI459"/>
          <cell r="DJ459"/>
          <cell r="DK459">
            <v>600</v>
          </cell>
          <cell r="DL459"/>
          <cell r="DM459"/>
          <cell r="DN459">
            <v>500</v>
          </cell>
          <cell r="DO459">
            <v>600</v>
          </cell>
          <cell r="DP459">
            <v>600</v>
          </cell>
          <cell r="DQ459">
            <v>500</v>
          </cell>
          <cell r="DR459">
            <v>600</v>
          </cell>
          <cell r="DS459">
            <v>600</v>
          </cell>
          <cell r="DT459"/>
          <cell r="DU459">
            <v>500</v>
          </cell>
          <cell r="DV459">
            <v>500</v>
          </cell>
          <cell r="DW459"/>
          <cell r="DX459">
            <v>1000</v>
          </cell>
          <cell r="DY459"/>
          <cell r="DZ459">
            <v>260</v>
          </cell>
          <cell r="EA459">
            <v>600</v>
          </cell>
          <cell r="EB459">
            <v>800</v>
          </cell>
          <cell r="EC459">
            <v>600</v>
          </cell>
          <cell r="ED459">
            <v>600</v>
          </cell>
          <cell r="EE459">
            <v>600</v>
          </cell>
          <cell r="EF459">
            <v>500</v>
          </cell>
          <cell r="EG459"/>
          <cell r="EH459"/>
          <cell r="EI459">
            <v>600</v>
          </cell>
          <cell r="EJ459" t="str">
            <v>ACTIVO</v>
          </cell>
          <cell r="EK459" t="str">
            <v/>
          </cell>
          <cell r="EL459" t="str">
            <v/>
          </cell>
          <cell r="EM459">
            <v>585.88235294117646</v>
          </cell>
          <cell r="EN459">
            <v>97.647058823529406</v>
          </cell>
          <cell r="EO459">
            <v>328.57806804172054</v>
          </cell>
          <cell r="EP459">
            <v>0</v>
          </cell>
          <cell r="EQ459">
            <v>0</v>
          </cell>
          <cell r="ER459">
            <v>0</v>
          </cell>
          <cell r="ES459">
            <v>0</v>
          </cell>
        </row>
        <row r="460">
          <cell r="F460">
            <v>107174</v>
          </cell>
          <cell r="G460" t="str">
            <v>YOGURT FRUTILLA SOPROLE</v>
          </cell>
          <cell r="H460"/>
          <cell r="I460"/>
          <cell r="J460"/>
          <cell r="K460"/>
          <cell r="L460"/>
          <cell r="M460"/>
          <cell r="N460"/>
          <cell r="O460">
            <v>179</v>
          </cell>
          <cell r="P460">
            <v>238</v>
          </cell>
          <cell r="Q460"/>
          <cell r="R460">
            <v>290</v>
          </cell>
          <cell r="S460"/>
          <cell r="T460"/>
          <cell r="U460"/>
          <cell r="V460"/>
          <cell r="W460"/>
          <cell r="X460"/>
          <cell r="Y460"/>
          <cell r="Z460"/>
          <cell r="AA460"/>
          <cell r="AB460">
            <v>611</v>
          </cell>
          <cell r="AC460">
            <v>189</v>
          </cell>
          <cell r="AD460"/>
          <cell r="AE460"/>
          <cell r="AF460"/>
          <cell r="AG460"/>
          <cell r="AH460"/>
          <cell r="AI460">
            <v>294.7</v>
          </cell>
          <cell r="AJ460">
            <v>512</v>
          </cell>
          <cell r="AK460"/>
          <cell r="AL460"/>
          <cell r="AM460">
            <v>1259</v>
          </cell>
          <cell r="AN460">
            <v>177</v>
          </cell>
          <cell r="AO460">
            <v>311</v>
          </cell>
          <cell r="AP460">
            <v>388</v>
          </cell>
          <cell r="AQ460"/>
          <cell r="AR460">
            <v>167</v>
          </cell>
          <cell r="AS460"/>
          <cell r="AT460">
            <v>192</v>
          </cell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>
            <v>170</v>
          </cell>
          <cell r="CD460">
            <v>430</v>
          </cell>
          <cell r="CE460">
            <v>1448</v>
          </cell>
          <cell r="CF460">
            <v>250</v>
          </cell>
          <cell r="CG460">
            <v>531</v>
          </cell>
          <cell r="CH460"/>
          <cell r="CI460"/>
          <cell r="CJ460"/>
          <cell r="CK460"/>
          <cell r="CL460"/>
          <cell r="CM460">
            <v>331</v>
          </cell>
          <cell r="CN460">
            <v>153</v>
          </cell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K460"/>
          <cell r="DL460"/>
          <cell r="DM460"/>
          <cell r="DN460"/>
          <cell r="DO460"/>
          <cell r="DP460"/>
          <cell r="DQ460"/>
          <cell r="DR460"/>
          <cell r="DS460"/>
          <cell r="DT460"/>
          <cell r="DU460"/>
          <cell r="DV460"/>
          <cell r="DW460"/>
          <cell r="DX460"/>
          <cell r="DY460"/>
          <cell r="DZ460"/>
          <cell r="EA460"/>
          <cell r="EB460"/>
          <cell r="EC460"/>
          <cell r="ED460"/>
          <cell r="EE460"/>
          <cell r="EF460"/>
          <cell r="EG460"/>
          <cell r="EH460"/>
          <cell r="EI460"/>
          <cell r="EJ460" t="str">
            <v>ACTIVO</v>
          </cell>
          <cell r="EK460" t="str">
            <v>C</v>
          </cell>
          <cell r="EL460" t="str">
            <v/>
          </cell>
          <cell r="EM460">
            <v>0</v>
          </cell>
          <cell r="EN460">
            <v>0</v>
          </cell>
          <cell r="EO460">
            <v>450.913781221242</v>
          </cell>
          <cell r="EP460">
            <v>0</v>
          </cell>
          <cell r="EQ460">
            <v>0</v>
          </cell>
          <cell r="ER460">
            <v>0</v>
          </cell>
          <cell r="ES460">
            <v>0</v>
          </cell>
        </row>
        <row r="461">
          <cell r="F461">
            <v>107164</v>
          </cell>
          <cell r="G461" t="str">
            <v>YOGURT FRUTILLA DIWATTS</v>
          </cell>
          <cell r="H461">
            <v>1101</v>
          </cell>
          <cell r="I461">
            <v>1099</v>
          </cell>
          <cell r="J461">
            <v>1059</v>
          </cell>
          <cell r="K461">
            <v>1140</v>
          </cell>
          <cell r="L461">
            <v>1186</v>
          </cell>
          <cell r="M461">
            <v>1373</v>
          </cell>
          <cell r="N461">
            <v>1268</v>
          </cell>
          <cell r="O461">
            <v>1012</v>
          </cell>
          <cell r="P461">
            <v>798</v>
          </cell>
          <cell r="Q461">
            <v>1070</v>
          </cell>
          <cell r="R461">
            <v>857</v>
          </cell>
          <cell r="S461">
            <v>1412</v>
          </cell>
          <cell r="T461">
            <v>1168</v>
          </cell>
          <cell r="U461">
            <v>1314</v>
          </cell>
          <cell r="V461">
            <v>1144</v>
          </cell>
          <cell r="W461">
            <v>968</v>
          </cell>
          <cell r="X461">
            <v>1238</v>
          </cell>
          <cell r="Y461">
            <v>1385</v>
          </cell>
          <cell r="Z461">
            <v>1669</v>
          </cell>
          <cell r="AA461">
            <v>983</v>
          </cell>
          <cell r="AB461">
            <v>614</v>
          </cell>
          <cell r="AC461">
            <v>982</v>
          </cell>
          <cell r="AD461">
            <v>1243</v>
          </cell>
          <cell r="AE461">
            <v>1115</v>
          </cell>
          <cell r="AF461">
            <v>1021</v>
          </cell>
          <cell r="AG461">
            <v>1304</v>
          </cell>
          <cell r="AH461">
            <v>1360</v>
          </cell>
          <cell r="AI461">
            <v>908.29365499999994</v>
          </cell>
          <cell r="AJ461">
            <v>743.70634500000006</v>
          </cell>
          <cell r="AK461">
            <v>1131</v>
          </cell>
          <cell r="AL461">
            <v>1081</v>
          </cell>
          <cell r="AM461">
            <v>416</v>
          </cell>
          <cell r="AN461">
            <v>1252</v>
          </cell>
          <cell r="AO461">
            <v>725</v>
          </cell>
          <cell r="AP461">
            <v>587</v>
          </cell>
          <cell r="AQ461">
            <v>966</v>
          </cell>
          <cell r="AR461">
            <v>738</v>
          </cell>
          <cell r="AS461">
            <v>178</v>
          </cell>
          <cell r="AT461">
            <v>937</v>
          </cell>
          <cell r="AU461">
            <v>875</v>
          </cell>
          <cell r="AV461">
            <v>712</v>
          </cell>
          <cell r="AW461">
            <v>811</v>
          </cell>
          <cell r="AX461">
            <v>815</v>
          </cell>
          <cell r="AY461">
            <v>697</v>
          </cell>
          <cell r="AZ461">
            <v>1205</v>
          </cell>
          <cell r="BA461">
            <v>904</v>
          </cell>
          <cell r="BB461">
            <v>848</v>
          </cell>
          <cell r="BC461">
            <v>1282</v>
          </cell>
          <cell r="BD461">
            <v>914</v>
          </cell>
          <cell r="BE461">
            <v>815</v>
          </cell>
          <cell r="BF461">
            <v>1007</v>
          </cell>
          <cell r="BG461">
            <v>921</v>
          </cell>
          <cell r="BH461">
            <v>773</v>
          </cell>
          <cell r="BI461">
            <v>844</v>
          </cell>
          <cell r="BJ461">
            <v>685</v>
          </cell>
          <cell r="BK461">
            <v>960</v>
          </cell>
          <cell r="BL461">
            <v>813</v>
          </cell>
          <cell r="BM461">
            <v>939</v>
          </cell>
          <cell r="BN461">
            <v>1075</v>
          </cell>
          <cell r="BO461">
            <v>727</v>
          </cell>
          <cell r="BP461">
            <v>761</v>
          </cell>
          <cell r="BQ461">
            <v>684</v>
          </cell>
          <cell r="BR461">
            <v>834</v>
          </cell>
          <cell r="BS461">
            <v>811</v>
          </cell>
          <cell r="BT461">
            <v>641</v>
          </cell>
          <cell r="BU461">
            <v>865</v>
          </cell>
          <cell r="BV461">
            <v>790</v>
          </cell>
          <cell r="BW461">
            <v>850</v>
          </cell>
          <cell r="BX461">
            <v>1010</v>
          </cell>
          <cell r="BY461">
            <v>1189</v>
          </cell>
          <cell r="BZ461">
            <v>1909</v>
          </cell>
          <cell r="CA461">
            <v>880</v>
          </cell>
          <cell r="CB461">
            <v>849</v>
          </cell>
          <cell r="CC461">
            <v>708</v>
          </cell>
          <cell r="CD461">
            <v>430</v>
          </cell>
          <cell r="CE461">
            <v>170</v>
          </cell>
          <cell r="CF461">
            <v>542</v>
          </cell>
          <cell r="CG461">
            <v>395</v>
          </cell>
          <cell r="CH461">
            <v>939</v>
          </cell>
          <cell r="CI461">
            <v>1071</v>
          </cell>
          <cell r="CJ461">
            <v>906</v>
          </cell>
          <cell r="CK461">
            <v>1120</v>
          </cell>
          <cell r="CL461">
            <v>1050</v>
          </cell>
          <cell r="CM461">
            <v>997</v>
          </cell>
          <cell r="CN461">
            <v>935</v>
          </cell>
          <cell r="CO461">
            <v>1062</v>
          </cell>
          <cell r="CP461">
            <v>1161</v>
          </cell>
          <cell r="CQ461">
            <v>670</v>
          </cell>
          <cell r="CR461">
            <v>829</v>
          </cell>
          <cell r="CS461">
            <v>222</v>
          </cell>
          <cell r="CT461">
            <v>1345</v>
          </cell>
          <cell r="CU461">
            <v>1392</v>
          </cell>
          <cell r="CV461">
            <v>1814</v>
          </cell>
          <cell r="CW461">
            <v>1251</v>
          </cell>
          <cell r="CX461">
            <v>1293</v>
          </cell>
          <cell r="CY461">
            <v>1258</v>
          </cell>
          <cell r="CZ461">
            <v>1032</v>
          </cell>
          <cell r="DA461">
            <v>1267</v>
          </cell>
          <cell r="DB461">
            <v>1007</v>
          </cell>
          <cell r="DC461">
            <v>1058</v>
          </cell>
          <cell r="DD461">
            <v>1017</v>
          </cell>
          <cell r="DE461">
            <v>893</v>
          </cell>
          <cell r="DF461">
            <v>1290</v>
          </cell>
          <cell r="DG461">
            <v>894</v>
          </cell>
          <cell r="DH461">
            <v>504</v>
          </cell>
          <cell r="DI461">
            <v>281</v>
          </cell>
          <cell r="DJ461">
            <v>1091</v>
          </cell>
          <cell r="DK461">
            <v>1049</v>
          </cell>
          <cell r="DL461">
            <v>1012</v>
          </cell>
          <cell r="DM461">
            <v>1078</v>
          </cell>
          <cell r="DN461">
            <v>942</v>
          </cell>
          <cell r="DO461">
            <v>1041</v>
          </cell>
          <cell r="DP461">
            <v>952</v>
          </cell>
          <cell r="DQ461">
            <v>1008</v>
          </cell>
          <cell r="DR461">
            <v>1007</v>
          </cell>
          <cell r="DS461">
            <v>1031</v>
          </cell>
          <cell r="DT461">
            <v>1004</v>
          </cell>
          <cell r="DU461">
            <v>1168</v>
          </cell>
          <cell r="DV461">
            <v>1088</v>
          </cell>
          <cell r="DW461">
            <v>987</v>
          </cell>
          <cell r="DX461">
            <v>1161</v>
          </cell>
          <cell r="DY461">
            <v>995</v>
          </cell>
          <cell r="DZ461">
            <v>1178</v>
          </cell>
          <cell r="EA461">
            <v>1159</v>
          </cell>
          <cell r="EB461">
            <v>1062</v>
          </cell>
          <cell r="EC461">
            <v>876</v>
          </cell>
          <cell r="ED461">
            <v>990</v>
          </cell>
          <cell r="EE461">
            <v>953</v>
          </cell>
          <cell r="EF461">
            <v>981.38</v>
          </cell>
          <cell r="EG461">
            <v>1652</v>
          </cell>
          <cell r="EH461">
            <v>887</v>
          </cell>
          <cell r="EI461">
            <v>665</v>
          </cell>
          <cell r="EJ461" t="str">
            <v>ACTIVO</v>
          </cell>
          <cell r="EK461" t="str">
            <v>B</v>
          </cell>
          <cell r="EL461">
            <v>600</v>
          </cell>
          <cell r="EM461">
            <v>1029.8552</v>
          </cell>
          <cell r="EN461">
            <v>171.64253333333332</v>
          </cell>
          <cell r="EO461">
            <v>323.80106531387975</v>
          </cell>
          <cell r="EP461">
            <v>1222.6199999999999</v>
          </cell>
          <cell r="EQ461">
            <v>1380337.98</v>
          </cell>
          <cell r="ER461">
            <v>1.1871766050217545</v>
          </cell>
          <cell r="ES461">
            <v>514.92759999999998</v>
          </cell>
        </row>
        <row r="462">
          <cell r="F462"/>
          <cell r="G462"/>
          <cell r="H462">
            <v>1101</v>
          </cell>
          <cell r="I462">
            <v>1099</v>
          </cell>
          <cell r="J462">
            <v>1059</v>
          </cell>
          <cell r="K462">
            <v>1140</v>
          </cell>
          <cell r="L462">
            <v>1186</v>
          </cell>
          <cell r="M462">
            <v>1373</v>
          </cell>
          <cell r="N462">
            <v>1268</v>
          </cell>
          <cell r="O462">
            <v>1191</v>
          </cell>
          <cell r="P462">
            <v>1036</v>
          </cell>
          <cell r="Q462">
            <v>1070</v>
          </cell>
          <cell r="R462">
            <v>1147</v>
          </cell>
          <cell r="S462">
            <v>1412</v>
          </cell>
          <cell r="T462">
            <v>1168</v>
          </cell>
          <cell r="U462">
            <v>1314</v>
          </cell>
          <cell r="V462">
            <v>1144</v>
          </cell>
          <cell r="W462">
            <v>968</v>
          </cell>
          <cell r="X462">
            <v>1238</v>
          </cell>
          <cell r="Y462">
            <v>1385</v>
          </cell>
          <cell r="Z462">
            <v>1669</v>
          </cell>
          <cell r="AA462">
            <v>983</v>
          </cell>
          <cell r="AB462">
            <v>1225</v>
          </cell>
          <cell r="AC462">
            <v>1171</v>
          </cell>
          <cell r="AD462">
            <v>1243</v>
          </cell>
          <cell r="AE462">
            <v>1115</v>
          </cell>
          <cell r="AF462">
            <v>1021</v>
          </cell>
          <cell r="AG462">
            <v>1304</v>
          </cell>
          <cell r="AH462">
            <v>1360</v>
          </cell>
          <cell r="AI462">
            <v>1202.993655</v>
          </cell>
          <cell r="AJ462">
            <v>1255.7063450000001</v>
          </cell>
          <cell r="AK462">
            <v>1131</v>
          </cell>
          <cell r="AL462">
            <v>1081</v>
          </cell>
          <cell r="AM462">
            <v>1675</v>
          </cell>
          <cell r="AN462">
            <v>1429</v>
          </cell>
          <cell r="AO462">
            <v>1036</v>
          </cell>
          <cell r="AP462">
            <v>975</v>
          </cell>
          <cell r="AQ462">
            <v>966</v>
          </cell>
          <cell r="AR462">
            <v>905</v>
          </cell>
          <cell r="AS462">
            <v>178</v>
          </cell>
          <cell r="AT462">
            <v>1129</v>
          </cell>
          <cell r="AU462">
            <v>875</v>
          </cell>
          <cell r="AV462">
            <v>712</v>
          </cell>
          <cell r="AW462">
            <v>811</v>
          </cell>
          <cell r="AX462">
            <v>815</v>
          </cell>
          <cell r="AY462">
            <v>697</v>
          </cell>
          <cell r="AZ462">
            <v>1205</v>
          </cell>
          <cell r="BA462">
            <v>904</v>
          </cell>
          <cell r="BB462">
            <v>848</v>
          </cell>
          <cell r="BC462">
            <v>1282</v>
          </cell>
          <cell r="BD462">
            <v>914</v>
          </cell>
          <cell r="BE462">
            <v>815</v>
          </cell>
          <cell r="BF462">
            <v>1007</v>
          </cell>
          <cell r="BG462">
            <v>921</v>
          </cell>
          <cell r="BH462">
            <v>773</v>
          </cell>
          <cell r="BI462">
            <v>844</v>
          </cell>
          <cell r="BJ462">
            <v>685</v>
          </cell>
          <cell r="BK462">
            <v>960</v>
          </cell>
          <cell r="BL462">
            <v>813</v>
          </cell>
          <cell r="BM462">
            <v>939</v>
          </cell>
          <cell r="BN462">
            <v>1075</v>
          </cell>
          <cell r="BO462">
            <v>727</v>
          </cell>
          <cell r="BP462">
            <v>761</v>
          </cell>
          <cell r="BQ462">
            <v>684</v>
          </cell>
          <cell r="BR462">
            <v>834</v>
          </cell>
          <cell r="BS462">
            <v>811</v>
          </cell>
          <cell r="BT462">
            <v>641</v>
          </cell>
          <cell r="BU462">
            <v>865</v>
          </cell>
          <cell r="BV462">
            <v>790</v>
          </cell>
          <cell r="BW462">
            <v>850</v>
          </cell>
          <cell r="BX462">
            <v>1010</v>
          </cell>
          <cell r="BY462">
            <v>1189</v>
          </cell>
          <cell r="BZ462">
            <v>1909</v>
          </cell>
          <cell r="CA462">
            <v>880</v>
          </cell>
          <cell r="CB462">
            <v>849</v>
          </cell>
          <cell r="CC462">
            <v>878</v>
          </cell>
          <cell r="CD462">
            <v>860</v>
          </cell>
          <cell r="CE462">
            <v>1618</v>
          </cell>
          <cell r="CF462">
            <v>792</v>
          </cell>
          <cell r="CG462">
            <v>926</v>
          </cell>
          <cell r="CH462">
            <v>939</v>
          </cell>
          <cell r="CI462">
            <v>1071</v>
          </cell>
          <cell r="CJ462">
            <v>906</v>
          </cell>
          <cell r="CK462">
            <v>1120</v>
          </cell>
          <cell r="CL462">
            <v>1050</v>
          </cell>
          <cell r="CM462">
            <v>1328</v>
          </cell>
          <cell r="CN462">
            <v>1088</v>
          </cell>
          <cell r="CO462">
            <v>1062</v>
          </cell>
          <cell r="CP462">
            <v>1161</v>
          </cell>
          <cell r="CQ462">
            <v>670</v>
          </cell>
          <cell r="CR462">
            <v>829</v>
          </cell>
          <cell r="CS462">
            <v>222</v>
          </cell>
          <cell r="CT462">
            <v>1345</v>
          </cell>
          <cell r="CU462">
            <v>1392</v>
          </cell>
          <cell r="CV462">
            <v>1814</v>
          </cell>
          <cell r="CW462">
            <v>1251</v>
          </cell>
          <cell r="CX462">
            <v>1293</v>
          </cell>
          <cell r="CY462">
            <v>1258</v>
          </cell>
          <cell r="CZ462">
            <v>1032</v>
          </cell>
          <cell r="DA462">
            <v>1267</v>
          </cell>
          <cell r="DB462">
            <v>1007</v>
          </cell>
          <cell r="DC462">
            <v>1058</v>
          </cell>
          <cell r="DD462">
            <v>1017</v>
          </cell>
          <cell r="DE462">
            <v>893</v>
          </cell>
          <cell r="DF462">
            <v>1290</v>
          </cell>
          <cell r="DG462">
            <v>894</v>
          </cell>
          <cell r="DH462">
            <v>504</v>
          </cell>
          <cell r="DI462">
            <v>281</v>
          </cell>
          <cell r="DJ462">
            <v>1091</v>
          </cell>
          <cell r="DK462">
            <v>1049</v>
          </cell>
          <cell r="DL462">
            <v>1012</v>
          </cell>
          <cell r="DM462">
            <v>1078</v>
          </cell>
          <cell r="DN462">
            <v>942</v>
          </cell>
          <cell r="DO462">
            <v>1041</v>
          </cell>
          <cell r="DP462">
            <v>952</v>
          </cell>
          <cell r="DQ462">
            <v>1008</v>
          </cell>
          <cell r="DR462">
            <v>1007</v>
          </cell>
          <cell r="DS462">
            <v>1031</v>
          </cell>
          <cell r="DT462">
            <v>1004</v>
          </cell>
          <cell r="DU462">
            <v>1168</v>
          </cell>
          <cell r="DV462">
            <v>1088</v>
          </cell>
          <cell r="DW462">
            <v>987</v>
          </cell>
          <cell r="DX462">
            <v>1161</v>
          </cell>
          <cell r="DY462">
            <v>995</v>
          </cell>
          <cell r="DZ462">
            <v>1178</v>
          </cell>
          <cell r="EA462">
            <v>1159</v>
          </cell>
          <cell r="EB462">
            <v>1062</v>
          </cell>
          <cell r="EC462">
            <v>876</v>
          </cell>
          <cell r="ED462">
            <v>990</v>
          </cell>
          <cell r="EE462">
            <v>953</v>
          </cell>
          <cell r="EF462">
            <v>981.38</v>
          </cell>
          <cell r="EG462">
            <v>1652</v>
          </cell>
          <cell r="EH462">
            <v>887</v>
          </cell>
          <cell r="EI462">
            <v>665</v>
          </cell>
          <cell r="EJ462" t="str">
            <v>ACTIVO</v>
          </cell>
          <cell r="EK462" t="str">
            <v/>
          </cell>
          <cell r="EL462" t="str">
            <v/>
          </cell>
          <cell r="EM462">
            <v>1029.8552</v>
          </cell>
          <cell r="EN462">
            <v>171.64253333333332</v>
          </cell>
          <cell r="EO462">
            <v>297.26440952914987</v>
          </cell>
          <cell r="EP462">
            <v>0</v>
          </cell>
          <cell r="EQ462">
            <v>0</v>
          </cell>
          <cell r="ER462">
            <v>0</v>
          </cell>
          <cell r="ES462">
            <v>0</v>
          </cell>
        </row>
        <row r="463">
          <cell r="F463">
            <v>107355</v>
          </cell>
          <cell r="G463" t="str">
            <v>JUGO DE LIMÓN ALTA FRUTA</v>
          </cell>
          <cell r="H463">
            <v>56</v>
          </cell>
          <cell r="I463"/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>
            <v>8</v>
          </cell>
          <cell r="AC463">
            <v>28</v>
          </cell>
          <cell r="AD463">
            <v>87</v>
          </cell>
          <cell r="AE463">
            <v>217</v>
          </cell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>
            <v>48</v>
          </cell>
          <cell r="BG463">
            <v>31</v>
          </cell>
          <cell r="BH463">
            <v>177</v>
          </cell>
          <cell r="BI463">
            <v>238</v>
          </cell>
          <cell r="BJ463">
            <v>142</v>
          </cell>
          <cell r="BK463">
            <v>109</v>
          </cell>
          <cell r="BL463">
            <v>197</v>
          </cell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>
            <v>5</v>
          </cell>
          <cell r="CE463">
            <v>110</v>
          </cell>
          <cell r="CF463">
            <v>319</v>
          </cell>
          <cell r="CG463">
            <v>459</v>
          </cell>
          <cell r="CH463">
            <v>279</v>
          </cell>
          <cell r="CI463">
            <v>329</v>
          </cell>
          <cell r="CJ463">
            <v>212.8</v>
          </cell>
          <cell r="CK463"/>
          <cell r="CL463">
            <v>14</v>
          </cell>
          <cell r="CM463">
            <v>354</v>
          </cell>
          <cell r="CN463">
            <v>200</v>
          </cell>
          <cell r="CO463">
            <v>280</v>
          </cell>
          <cell r="CP463">
            <v>289</v>
          </cell>
          <cell r="CQ463">
            <v>306</v>
          </cell>
          <cell r="CR463">
            <v>320</v>
          </cell>
          <cell r="CS463">
            <v>140</v>
          </cell>
          <cell r="CT463">
            <v>323</v>
          </cell>
          <cell r="CU463">
            <v>277</v>
          </cell>
          <cell r="CV463">
            <v>312</v>
          </cell>
          <cell r="CW463">
            <v>223</v>
          </cell>
          <cell r="CX463">
            <v>59</v>
          </cell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K463"/>
          <cell r="DL463">
            <v>10</v>
          </cell>
          <cell r="DM463">
            <v>29</v>
          </cell>
          <cell r="DN463">
            <v>168</v>
          </cell>
          <cell r="DO463">
            <v>215</v>
          </cell>
          <cell r="DP463">
            <v>142</v>
          </cell>
          <cell r="DQ463">
            <v>180</v>
          </cell>
          <cell r="DR463">
            <v>201</v>
          </cell>
          <cell r="DS463">
            <v>236</v>
          </cell>
          <cell r="DT463">
            <v>9</v>
          </cell>
          <cell r="DU463"/>
          <cell r="DV463"/>
          <cell r="DW463">
            <v>18</v>
          </cell>
          <cell r="DX463"/>
          <cell r="DY463">
            <v>6</v>
          </cell>
          <cell r="DZ463">
            <v>221</v>
          </cell>
          <cell r="EA463">
            <v>286</v>
          </cell>
          <cell r="EB463">
            <v>211</v>
          </cell>
          <cell r="EC463">
            <v>286</v>
          </cell>
          <cell r="ED463">
            <v>223</v>
          </cell>
          <cell r="EE463">
            <v>213</v>
          </cell>
          <cell r="EF463">
            <v>224</v>
          </cell>
          <cell r="EG463">
            <v>370</v>
          </cell>
          <cell r="EH463">
            <v>195</v>
          </cell>
          <cell r="EI463">
            <v>140</v>
          </cell>
          <cell r="EJ463" t="str">
            <v>ACTIVO</v>
          </cell>
          <cell r="EK463" t="str">
            <v>B</v>
          </cell>
          <cell r="EL463" t="str">
            <v/>
          </cell>
          <cell r="EM463">
            <v>170.94736842105263</v>
          </cell>
          <cell r="EN463">
            <v>28.491228070175438</v>
          </cell>
          <cell r="EO463">
            <v>112.13098412124987</v>
          </cell>
          <cell r="EP463">
            <v>613</v>
          </cell>
          <cell r="EQ463">
            <v>1727434</v>
          </cell>
          <cell r="ER463">
            <v>3.5858990147783252</v>
          </cell>
          <cell r="ES463">
            <v>85.473684210526315</v>
          </cell>
        </row>
        <row r="464">
          <cell r="F464">
            <v>405330</v>
          </cell>
          <cell r="G464" t="str">
            <v>JUGO EN POLVO FRUTILLA</v>
          </cell>
          <cell r="H464"/>
          <cell r="I464"/>
          <cell r="J464"/>
          <cell r="K464"/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>
            <v>15</v>
          </cell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K464"/>
          <cell r="DL464"/>
          <cell r="DM464"/>
          <cell r="DN464"/>
          <cell r="DO464"/>
          <cell r="DP464"/>
          <cell r="DQ464"/>
          <cell r="DR464"/>
          <cell r="DS464"/>
          <cell r="DT464"/>
          <cell r="DU464"/>
          <cell r="DV464"/>
          <cell r="DW464"/>
          <cell r="DX464"/>
          <cell r="DY464"/>
          <cell r="DZ464"/>
          <cell r="EA464"/>
          <cell r="EB464"/>
          <cell r="EC464"/>
          <cell r="ED464"/>
          <cell r="EE464"/>
          <cell r="EF464"/>
          <cell r="EG464"/>
          <cell r="EH464"/>
          <cell r="EI464"/>
          <cell r="EJ464" t="str">
            <v>SIN USO</v>
          </cell>
          <cell r="EK464" t="str">
            <v/>
          </cell>
          <cell r="EL464" t="str">
            <v/>
          </cell>
          <cell r="EM464">
            <v>0</v>
          </cell>
          <cell r="EN464">
            <v>0</v>
          </cell>
          <cell r="EO464">
            <v>0</v>
          </cell>
          <cell r="EP464">
            <v>0</v>
          </cell>
          <cell r="EQ464">
            <v>0</v>
          </cell>
          <cell r="ER464">
            <v>0</v>
          </cell>
          <cell r="ES464">
            <v>0</v>
          </cell>
        </row>
        <row r="465">
          <cell r="F465">
            <v>405331</v>
          </cell>
          <cell r="G465" t="str">
            <v>JUGO EN POLVO DURAZNO</v>
          </cell>
          <cell r="H465"/>
          <cell r="I465"/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>
            <v>20</v>
          </cell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>
            <v>7.2</v>
          </cell>
          <cell r="BL465"/>
          <cell r="BM465"/>
          <cell r="BN465"/>
          <cell r="BO465"/>
          <cell r="BP465"/>
          <cell r="BQ465"/>
          <cell r="BR465"/>
          <cell r="BS465"/>
          <cell r="BT465"/>
          <cell r="BU465">
            <v>9.6</v>
          </cell>
          <cell r="BV465"/>
          <cell r="BW465"/>
          <cell r="BX465"/>
          <cell r="BY465"/>
          <cell r="BZ465">
            <v>16.8</v>
          </cell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>
            <v>16.8</v>
          </cell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K465"/>
          <cell r="DL465"/>
          <cell r="DM465"/>
          <cell r="DN465"/>
          <cell r="DO465"/>
          <cell r="DP465"/>
          <cell r="DQ465"/>
          <cell r="DR465"/>
          <cell r="DS465"/>
          <cell r="DT465"/>
          <cell r="DU465"/>
          <cell r="DV465"/>
          <cell r="DW465"/>
          <cell r="DX465"/>
          <cell r="DY465"/>
          <cell r="DZ465"/>
          <cell r="EA465"/>
          <cell r="EB465"/>
          <cell r="EC465"/>
          <cell r="ED465"/>
          <cell r="EE465"/>
          <cell r="EF465"/>
          <cell r="EG465"/>
          <cell r="EH465"/>
          <cell r="EI465"/>
          <cell r="EJ465" t="str">
            <v>SIN USO</v>
          </cell>
          <cell r="EK465" t="str">
            <v>C</v>
          </cell>
          <cell r="EL465" t="str">
            <v/>
          </cell>
          <cell r="EM465">
            <v>0</v>
          </cell>
          <cell r="EN465">
            <v>0</v>
          </cell>
          <cell r="EO465">
            <v>4.9477267507411868</v>
          </cell>
          <cell r="EP465">
            <v>0</v>
          </cell>
          <cell r="EQ465">
            <v>0</v>
          </cell>
          <cell r="ER465">
            <v>0</v>
          </cell>
          <cell r="ES465">
            <v>0</v>
          </cell>
        </row>
        <row r="466">
          <cell r="F466">
            <v>405446</v>
          </cell>
          <cell r="G466" t="str">
            <v>JUGO POLVO DURAZNO</v>
          </cell>
          <cell r="H466"/>
          <cell r="I466"/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>
            <v>7.2</v>
          </cell>
          <cell r="BC466"/>
          <cell r="BD466"/>
          <cell r="BE466"/>
          <cell r="BF466">
            <v>7.2</v>
          </cell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K466"/>
          <cell r="DL466"/>
          <cell r="DM466"/>
          <cell r="DN466"/>
          <cell r="DO466"/>
          <cell r="DP466"/>
          <cell r="DQ466"/>
          <cell r="DR466"/>
          <cell r="DS466"/>
          <cell r="DT466"/>
          <cell r="DU466"/>
          <cell r="DV466"/>
          <cell r="DW466"/>
          <cell r="DX466"/>
          <cell r="DY466"/>
          <cell r="DZ466"/>
          <cell r="EA466"/>
          <cell r="EB466"/>
          <cell r="EC466"/>
          <cell r="ED466"/>
          <cell r="EE466"/>
          <cell r="EF466"/>
          <cell r="EG466"/>
          <cell r="EH466"/>
          <cell r="EI466"/>
          <cell r="EJ466" t="str">
            <v>SIN USO</v>
          </cell>
          <cell r="EK466" t="str">
            <v/>
          </cell>
          <cell r="EL466" t="str">
            <v/>
          </cell>
          <cell r="EM466">
            <v>0</v>
          </cell>
          <cell r="EN466">
            <v>0</v>
          </cell>
          <cell r="EO466">
            <v>0</v>
          </cell>
          <cell r="EP466">
            <v>0</v>
          </cell>
          <cell r="EQ466">
            <v>0</v>
          </cell>
          <cell r="ER466">
            <v>0</v>
          </cell>
          <cell r="ES466">
            <v>0</v>
          </cell>
        </row>
        <row r="467">
          <cell r="F467">
            <v>405465</v>
          </cell>
          <cell r="G467" t="str">
            <v>JUGO POLVO FRUTILLA</v>
          </cell>
          <cell r="H467"/>
          <cell r="I467"/>
          <cell r="J467"/>
          <cell r="K467"/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>
            <v>7.2</v>
          </cell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>
            <v>2.1</v>
          </cell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K467"/>
          <cell r="DL467"/>
          <cell r="DM467"/>
          <cell r="DN467"/>
          <cell r="DO467"/>
          <cell r="DP467"/>
          <cell r="DQ467"/>
          <cell r="DR467"/>
          <cell r="DS467"/>
          <cell r="DT467"/>
          <cell r="DU467"/>
          <cell r="DV467"/>
          <cell r="DW467"/>
          <cell r="DX467"/>
          <cell r="DY467"/>
          <cell r="DZ467"/>
          <cell r="EA467"/>
          <cell r="EB467"/>
          <cell r="EC467"/>
          <cell r="ED467"/>
          <cell r="EE467"/>
          <cell r="EF467"/>
          <cell r="EG467"/>
          <cell r="EH467"/>
          <cell r="EI467"/>
          <cell r="EJ467" t="str">
            <v>SIN USO</v>
          </cell>
          <cell r="EK467" t="str">
            <v>C</v>
          </cell>
          <cell r="EL467" t="str">
            <v/>
          </cell>
          <cell r="EM467">
            <v>0</v>
          </cell>
          <cell r="EN467">
            <v>0</v>
          </cell>
          <cell r="EO467">
            <v>0</v>
          </cell>
          <cell r="EP467">
            <v>0</v>
          </cell>
          <cell r="EQ467">
            <v>0</v>
          </cell>
          <cell r="ER467">
            <v>0</v>
          </cell>
          <cell r="ES467">
            <v>0</v>
          </cell>
        </row>
        <row r="468">
          <cell r="F468">
            <v>405320</v>
          </cell>
          <cell r="G468" t="str">
            <v>JUGO DE LIMÓN CONGELADO WATT</v>
          </cell>
          <cell r="H468"/>
          <cell r="I468"/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>
            <v>37</v>
          </cell>
          <cell r="AF468">
            <v>81</v>
          </cell>
          <cell r="AG468">
            <v>139</v>
          </cell>
          <cell r="AH468">
            <v>195</v>
          </cell>
          <cell r="AI468">
            <v>227</v>
          </cell>
          <cell r="AJ468">
            <v>207</v>
          </cell>
          <cell r="AK468">
            <v>214</v>
          </cell>
          <cell r="AL468">
            <v>201</v>
          </cell>
          <cell r="AM468">
            <v>289</v>
          </cell>
          <cell r="AN468">
            <v>240</v>
          </cell>
          <cell r="AO468">
            <v>226</v>
          </cell>
          <cell r="AP468">
            <v>256</v>
          </cell>
          <cell r="AQ468">
            <v>261</v>
          </cell>
          <cell r="AR468">
            <v>263</v>
          </cell>
          <cell r="AS468">
            <v>166</v>
          </cell>
          <cell r="AT468">
            <v>312</v>
          </cell>
          <cell r="AU468">
            <v>266</v>
          </cell>
          <cell r="AV468">
            <v>261</v>
          </cell>
          <cell r="AW468">
            <v>214</v>
          </cell>
          <cell r="AX468">
            <v>285</v>
          </cell>
          <cell r="AY468">
            <v>267</v>
          </cell>
          <cell r="AZ468">
            <v>268</v>
          </cell>
          <cell r="BA468">
            <v>269</v>
          </cell>
          <cell r="BB468">
            <v>213</v>
          </cell>
          <cell r="BC468">
            <v>252</v>
          </cell>
          <cell r="BD468">
            <v>243</v>
          </cell>
          <cell r="BE468">
            <v>249</v>
          </cell>
          <cell r="BF468">
            <v>175</v>
          </cell>
          <cell r="BG468">
            <v>195</v>
          </cell>
          <cell r="BH468"/>
          <cell r="BI468"/>
          <cell r="BJ468">
            <v>3</v>
          </cell>
          <cell r="BK468">
            <v>73</v>
          </cell>
          <cell r="BL468">
            <v>7</v>
          </cell>
          <cell r="BM468">
            <v>209</v>
          </cell>
          <cell r="BN468">
            <v>222</v>
          </cell>
          <cell r="BO468">
            <v>230</v>
          </cell>
          <cell r="BP468">
            <v>229</v>
          </cell>
          <cell r="BQ468">
            <v>232</v>
          </cell>
          <cell r="BR468">
            <v>286</v>
          </cell>
          <cell r="BS468">
            <v>223</v>
          </cell>
          <cell r="BT468">
            <v>280</v>
          </cell>
          <cell r="BU468">
            <v>263</v>
          </cell>
          <cell r="BV468">
            <v>273</v>
          </cell>
          <cell r="BW468">
            <v>278</v>
          </cell>
          <cell r="BX468">
            <v>286</v>
          </cell>
          <cell r="BY468">
            <v>439</v>
          </cell>
          <cell r="BZ468">
            <v>445</v>
          </cell>
          <cell r="CA468">
            <v>251</v>
          </cell>
          <cell r="CB468">
            <v>283</v>
          </cell>
          <cell r="CC468">
            <v>340</v>
          </cell>
          <cell r="CD468">
            <v>360</v>
          </cell>
          <cell r="CE468">
            <v>425</v>
          </cell>
          <cell r="CF468"/>
          <cell r="CG468"/>
          <cell r="CH468"/>
          <cell r="CI468"/>
          <cell r="CJ468">
            <v>136.19999999999999</v>
          </cell>
          <cell r="CK468">
            <v>538</v>
          </cell>
          <cell r="CL468">
            <v>314</v>
          </cell>
          <cell r="CM468">
            <v>11.8</v>
          </cell>
          <cell r="CN468"/>
          <cell r="CO468"/>
          <cell r="CP468"/>
          <cell r="CQ468"/>
          <cell r="CR468"/>
          <cell r="CS468"/>
          <cell r="CT468"/>
          <cell r="CU468"/>
          <cell r="CV468">
            <v>80</v>
          </cell>
          <cell r="CW468">
            <v>19</v>
          </cell>
          <cell r="CX468">
            <v>188</v>
          </cell>
          <cell r="CY468">
            <v>240</v>
          </cell>
          <cell r="CZ468">
            <v>228</v>
          </cell>
          <cell r="DA468">
            <v>215</v>
          </cell>
          <cell r="DB468">
            <v>202</v>
          </cell>
          <cell r="DC468">
            <v>260</v>
          </cell>
          <cell r="DD468">
            <v>211</v>
          </cell>
          <cell r="DE468">
            <v>256</v>
          </cell>
          <cell r="DF468">
            <v>292</v>
          </cell>
          <cell r="DG468">
            <v>213</v>
          </cell>
          <cell r="DH468">
            <v>142</v>
          </cell>
          <cell r="DI468">
            <v>71</v>
          </cell>
          <cell r="DJ468">
            <v>286</v>
          </cell>
          <cell r="DK468">
            <v>224</v>
          </cell>
          <cell r="DL468">
            <v>211</v>
          </cell>
          <cell r="DM468">
            <v>226</v>
          </cell>
          <cell r="DN468">
            <v>4</v>
          </cell>
          <cell r="DO468"/>
          <cell r="DP468"/>
          <cell r="DQ468"/>
          <cell r="DR468"/>
          <cell r="DS468">
            <v>13</v>
          </cell>
          <cell r="DT468">
            <v>177</v>
          </cell>
          <cell r="DU468">
            <v>231</v>
          </cell>
          <cell r="DV468">
            <v>319</v>
          </cell>
          <cell r="DW468">
            <v>247</v>
          </cell>
          <cell r="DX468">
            <v>238</v>
          </cell>
          <cell r="DY468">
            <v>232</v>
          </cell>
          <cell r="DZ468">
            <v>102</v>
          </cell>
          <cell r="EA468"/>
          <cell r="EB468"/>
          <cell r="EC468"/>
          <cell r="ED468"/>
          <cell r="EE468"/>
          <cell r="EF468"/>
          <cell r="EG468"/>
          <cell r="EH468"/>
          <cell r="EI468"/>
          <cell r="EJ468" t="str">
            <v>ACTIVO</v>
          </cell>
          <cell r="EK468" t="str">
            <v>B</v>
          </cell>
          <cell r="EL468">
            <v>400</v>
          </cell>
          <cell r="EM468">
            <v>184.35714285714286</v>
          </cell>
          <cell r="EN468">
            <v>30.726190476190478</v>
          </cell>
          <cell r="EO468">
            <v>119.37770358555375</v>
          </cell>
          <cell r="EP468">
            <v>0</v>
          </cell>
          <cell r="EQ468">
            <v>0</v>
          </cell>
          <cell r="ER468">
            <v>0</v>
          </cell>
          <cell r="ES468">
            <v>92.178571428571431</v>
          </cell>
        </row>
        <row r="469">
          <cell r="F469">
            <v>405723</v>
          </cell>
          <cell r="G469" t="str">
            <v>NECTAR SABOR NARANJA WATTS</v>
          </cell>
          <cell r="H469"/>
          <cell r="I469"/>
          <cell r="J469"/>
          <cell r="K469"/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K469"/>
          <cell r="DL469"/>
          <cell r="DM469"/>
          <cell r="DN469"/>
          <cell r="DO469"/>
          <cell r="DP469"/>
          <cell r="DQ469"/>
          <cell r="DR469"/>
          <cell r="DS469">
            <v>7.5</v>
          </cell>
          <cell r="DT469"/>
          <cell r="DU469"/>
          <cell r="DV469"/>
          <cell r="DW469"/>
          <cell r="DX469"/>
          <cell r="DY469"/>
          <cell r="DZ469">
            <v>7.5</v>
          </cell>
          <cell r="EA469">
            <v>4.5</v>
          </cell>
          <cell r="EB469">
            <v>25.5</v>
          </cell>
          <cell r="EC469"/>
          <cell r="ED469">
            <v>16.5</v>
          </cell>
          <cell r="EE469"/>
          <cell r="EF469">
            <v>22.5</v>
          </cell>
          <cell r="EG469">
            <v>21</v>
          </cell>
          <cell r="EH469">
            <v>20.5</v>
          </cell>
          <cell r="EI469">
            <v>6</v>
          </cell>
          <cell r="EJ469" t="str">
            <v>ACTIVO</v>
          </cell>
          <cell r="EK469" t="str">
            <v/>
          </cell>
          <cell r="EL469" t="str">
            <v/>
          </cell>
          <cell r="EM469">
            <v>15</v>
          </cell>
          <cell r="EN469">
            <v>2.5</v>
          </cell>
          <cell r="EO469">
            <v>0</v>
          </cell>
          <cell r="EP469">
            <v>73.5</v>
          </cell>
          <cell r="EQ469">
            <v>60924.15</v>
          </cell>
          <cell r="ER469">
            <v>4.9000000000000004</v>
          </cell>
          <cell r="ES469">
            <v>7.5</v>
          </cell>
        </row>
        <row r="470">
          <cell r="F470"/>
          <cell r="G470"/>
          <cell r="H470">
            <v>56</v>
          </cell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>
            <v>8</v>
          </cell>
          <cell r="AC470">
            <v>28</v>
          </cell>
          <cell r="AD470">
            <v>87</v>
          </cell>
          <cell r="AE470">
            <v>254</v>
          </cell>
          <cell r="AF470">
            <v>81</v>
          </cell>
          <cell r="AG470">
            <v>139</v>
          </cell>
          <cell r="AH470">
            <v>195</v>
          </cell>
          <cell r="AI470">
            <v>227</v>
          </cell>
          <cell r="AJ470">
            <v>242</v>
          </cell>
          <cell r="AK470">
            <v>214</v>
          </cell>
          <cell r="AL470">
            <v>201</v>
          </cell>
          <cell r="AM470">
            <v>289</v>
          </cell>
          <cell r="AN470">
            <v>240</v>
          </cell>
          <cell r="AO470">
            <v>226</v>
          </cell>
          <cell r="AP470">
            <v>256</v>
          </cell>
          <cell r="AQ470">
            <v>261</v>
          </cell>
          <cell r="AR470">
            <v>263</v>
          </cell>
          <cell r="AS470">
            <v>166</v>
          </cell>
          <cell r="AT470">
            <v>312</v>
          </cell>
          <cell r="AU470">
            <v>266</v>
          </cell>
          <cell r="AV470">
            <v>261</v>
          </cell>
          <cell r="AW470">
            <v>214</v>
          </cell>
          <cell r="AX470">
            <v>285</v>
          </cell>
          <cell r="AY470">
            <v>267</v>
          </cell>
          <cell r="AZ470">
            <v>268</v>
          </cell>
          <cell r="BA470">
            <v>269</v>
          </cell>
          <cell r="BB470">
            <v>227.4</v>
          </cell>
          <cell r="BC470">
            <v>252</v>
          </cell>
          <cell r="BD470">
            <v>243</v>
          </cell>
          <cell r="BE470">
            <v>249</v>
          </cell>
          <cell r="BF470">
            <v>230.2</v>
          </cell>
          <cell r="BG470">
            <v>226</v>
          </cell>
          <cell r="BH470">
            <v>177</v>
          </cell>
          <cell r="BI470">
            <v>238</v>
          </cell>
          <cell r="BJ470">
            <v>145</v>
          </cell>
          <cell r="BK470">
            <v>189.2</v>
          </cell>
          <cell r="BL470">
            <v>204</v>
          </cell>
          <cell r="BM470">
            <v>209</v>
          </cell>
          <cell r="BN470">
            <v>222</v>
          </cell>
          <cell r="BO470">
            <v>230</v>
          </cell>
          <cell r="BP470">
            <v>229</v>
          </cell>
          <cell r="BQ470">
            <v>232</v>
          </cell>
          <cell r="BR470">
            <v>286</v>
          </cell>
          <cell r="BS470">
            <v>223</v>
          </cell>
          <cell r="BT470">
            <v>280</v>
          </cell>
          <cell r="BU470">
            <v>272.60000000000002</v>
          </cell>
          <cell r="BV470">
            <v>273</v>
          </cell>
          <cell r="BW470">
            <v>278</v>
          </cell>
          <cell r="BX470">
            <v>286</v>
          </cell>
          <cell r="BY470">
            <v>439</v>
          </cell>
          <cell r="BZ470">
            <v>461.8</v>
          </cell>
          <cell r="CA470">
            <v>251</v>
          </cell>
          <cell r="CB470">
            <v>283</v>
          </cell>
          <cell r="CC470">
            <v>340</v>
          </cell>
          <cell r="CD470">
            <v>365</v>
          </cell>
          <cell r="CE470">
            <v>535</v>
          </cell>
          <cell r="CF470">
            <v>319</v>
          </cell>
          <cell r="CG470">
            <v>459</v>
          </cell>
          <cell r="CH470">
            <v>279</v>
          </cell>
          <cell r="CI470">
            <v>329</v>
          </cell>
          <cell r="CJ470">
            <v>349</v>
          </cell>
          <cell r="CK470">
            <v>554.79999999999995</v>
          </cell>
          <cell r="CL470">
            <v>328</v>
          </cell>
          <cell r="CM470">
            <v>365.8</v>
          </cell>
          <cell r="CN470">
            <v>200</v>
          </cell>
          <cell r="CO470">
            <v>280</v>
          </cell>
          <cell r="CP470">
            <v>289</v>
          </cell>
          <cell r="CQ470">
            <v>306</v>
          </cell>
          <cell r="CR470">
            <v>320</v>
          </cell>
          <cell r="CS470">
            <v>140</v>
          </cell>
          <cell r="CT470">
            <v>325.10000000000002</v>
          </cell>
          <cell r="CU470">
            <v>277</v>
          </cell>
          <cell r="CV470">
            <v>392</v>
          </cell>
          <cell r="CW470">
            <v>242</v>
          </cell>
          <cell r="CX470">
            <v>247</v>
          </cell>
          <cell r="CY470">
            <v>240</v>
          </cell>
          <cell r="CZ470">
            <v>228</v>
          </cell>
          <cell r="DA470">
            <v>215</v>
          </cell>
          <cell r="DB470">
            <v>202</v>
          </cell>
          <cell r="DC470">
            <v>260</v>
          </cell>
          <cell r="DD470">
            <v>211</v>
          </cell>
          <cell r="DE470">
            <v>256</v>
          </cell>
          <cell r="DF470">
            <v>292</v>
          </cell>
          <cell r="DG470">
            <v>213</v>
          </cell>
          <cell r="DH470">
            <v>142</v>
          </cell>
          <cell r="DI470">
            <v>71</v>
          </cell>
          <cell r="DJ470">
            <v>286</v>
          </cell>
          <cell r="DK470">
            <v>224</v>
          </cell>
          <cell r="DL470">
            <v>221</v>
          </cell>
          <cell r="DM470">
            <v>255</v>
          </cell>
          <cell r="DN470">
            <v>172</v>
          </cell>
          <cell r="DO470">
            <v>215</v>
          </cell>
          <cell r="DP470">
            <v>142</v>
          </cell>
          <cell r="DQ470">
            <v>180</v>
          </cell>
          <cell r="DR470">
            <v>201</v>
          </cell>
          <cell r="DS470">
            <v>256.5</v>
          </cell>
          <cell r="DT470">
            <v>186</v>
          </cell>
          <cell r="DU470">
            <v>231</v>
          </cell>
          <cell r="DV470">
            <v>319</v>
          </cell>
          <cell r="DW470">
            <v>265</v>
          </cell>
          <cell r="DX470">
            <v>238</v>
          </cell>
          <cell r="DY470">
            <v>238</v>
          </cell>
          <cell r="DZ470">
            <v>330.5</v>
          </cell>
          <cell r="EA470">
            <v>290.5</v>
          </cell>
          <cell r="EB470">
            <v>236.5</v>
          </cell>
          <cell r="EC470">
            <v>286</v>
          </cell>
          <cell r="ED470">
            <v>239.5</v>
          </cell>
          <cell r="EE470">
            <v>213</v>
          </cell>
          <cell r="EF470">
            <v>246.5</v>
          </cell>
          <cell r="EG470">
            <v>391</v>
          </cell>
          <cell r="EH470">
            <v>215.5</v>
          </cell>
          <cell r="EI470">
            <v>146</v>
          </cell>
          <cell r="EJ470" t="str">
            <v>ACTIVO</v>
          </cell>
          <cell r="EK470" t="str">
            <v/>
          </cell>
          <cell r="EL470" t="str">
            <v/>
          </cell>
          <cell r="EM470">
            <v>237.36</v>
          </cell>
          <cell r="EN470">
            <v>39.56</v>
          </cell>
          <cell r="EO470">
            <v>89.249942574979741</v>
          </cell>
          <cell r="EP470">
            <v>0</v>
          </cell>
          <cell r="EQ470">
            <v>0</v>
          </cell>
          <cell r="ER470">
            <v>0</v>
          </cell>
          <cell r="ES470">
            <v>0</v>
          </cell>
        </row>
        <row r="471">
          <cell r="F471">
            <v>402255</v>
          </cell>
          <cell r="G471" t="str">
            <v>CINTA DE EMBALAJE 72x100 SOLUTION</v>
          </cell>
          <cell r="H471">
            <v>64</v>
          </cell>
          <cell r="I471">
            <v>48</v>
          </cell>
          <cell r="J471"/>
          <cell r="K471">
            <v>96</v>
          </cell>
          <cell r="L471"/>
          <cell r="M471"/>
          <cell r="N471">
            <v>96</v>
          </cell>
          <cell r="O471">
            <v>96</v>
          </cell>
          <cell r="P471">
            <v>64</v>
          </cell>
          <cell r="Q471"/>
          <cell r="R471"/>
          <cell r="S471">
            <v>64</v>
          </cell>
          <cell r="T471"/>
          <cell r="U471">
            <v>64</v>
          </cell>
          <cell r="V471">
            <v>64</v>
          </cell>
          <cell r="W471">
            <v>64</v>
          </cell>
          <cell r="X471"/>
          <cell r="Y471"/>
          <cell r="Z471">
            <v>96</v>
          </cell>
          <cell r="AA471"/>
          <cell r="AB471">
            <v>320</v>
          </cell>
          <cell r="AC471"/>
          <cell r="AD471">
            <v>256</v>
          </cell>
          <cell r="AE471">
            <v>136</v>
          </cell>
          <cell r="AF471">
            <v>24</v>
          </cell>
          <cell r="AG471">
            <v>160</v>
          </cell>
          <cell r="AH471"/>
          <cell r="AI471"/>
          <cell r="AJ471">
            <v>64</v>
          </cell>
          <cell r="AK471">
            <v>160</v>
          </cell>
          <cell r="AL471">
            <v>155</v>
          </cell>
          <cell r="AM471"/>
          <cell r="AN471"/>
          <cell r="AO471">
            <v>32</v>
          </cell>
          <cell r="AP471">
            <v>160</v>
          </cell>
          <cell r="AQ471">
            <v>64</v>
          </cell>
          <cell r="AR471">
            <v>384</v>
          </cell>
          <cell r="AS471">
            <v>256</v>
          </cell>
          <cell r="AT471">
            <v>448</v>
          </cell>
          <cell r="AU471">
            <v>352</v>
          </cell>
          <cell r="AV471">
            <v>512</v>
          </cell>
          <cell r="AW471">
            <v>384</v>
          </cell>
          <cell r="AX471">
            <v>544</v>
          </cell>
          <cell r="AY471">
            <v>448</v>
          </cell>
          <cell r="AZ471">
            <v>480</v>
          </cell>
          <cell r="BA471">
            <v>448</v>
          </cell>
          <cell r="BB471">
            <v>384</v>
          </cell>
          <cell r="BC471">
            <v>288</v>
          </cell>
          <cell r="BD471">
            <v>320</v>
          </cell>
          <cell r="BE471">
            <v>480</v>
          </cell>
          <cell r="BF471">
            <v>384</v>
          </cell>
          <cell r="BG471">
            <v>416</v>
          </cell>
          <cell r="BH471">
            <v>160</v>
          </cell>
          <cell r="BI471">
            <v>384</v>
          </cell>
          <cell r="BJ471">
            <v>448</v>
          </cell>
          <cell r="BK471">
            <v>448</v>
          </cell>
          <cell r="BL471">
            <v>384</v>
          </cell>
          <cell r="BM471">
            <v>352</v>
          </cell>
          <cell r="BN471">
            <v>481</v>
          </cell>
          <cell r="BO471">
            <v>290</v>
          </cell>
          <cell r="BP471">
            <v>224</v>
          </cell>
          <cell r="BQ471">
            <v>352</v>
          </cell>
          <cell r="BR471">
            <v>256</v>
          </cell>
          <cell r="BS471">
            <v>288</v>
          </cell>
          <cell r="BT471">
            <v>784</v>
          </cell>
          <cell r="BU471">
            <v>448</v>
          </cell>
          <cell r="BV471">
            <v>256</v>
          </cell>
          <cell r="BW471">
            <v>512</v>
          </cell>
          <cell r="BX471">
            <v>480</v>
          </cell>
          <cell r="BY471">
            <v>192</v>
          </cell>
          <cell r="BZ471">
            <v>544</v>
          </cell>
          <cell r="CA471">
            <v>352</v>
          </cell>
          <cell r="CB471">
            <v>320</v>
          </cell>
          <cell r="CC471">
            <v>288</v>
          </cell>
          <cell r="CD471">
            <v>251.8</v>
          </cell>
          <cell r="CE471">
            <v>352</v>
          </cell>
          <cell r="CF471">
            <v>320</v>
          </cell>
          <cell r="CG471">
            <v>416</v>
          </cell>
          <cell r="CH471">
            <v>332</v>
          </cell>
          <cell r="CI471">
            <v>192</v>
          </cell>
          <cell r="CJ471">
            <v>384</v>
          </cell>
          <cell r="CK471">
            <v>320</v>
          </cell>
          <cell r="CL471">
            <v>224</v>
          </cell>
          <cell r="CM471">
            <v>288</v>
          </cell>
          <cell r="CN471">
            <v>192</v>
          </cell>
          <cell r="CO471">
            <v>384</v>
          </cell>
          <cell r="CP471">
            <v>384</v>
          </cell>
          <cell r="CQ471">
            <v>288</v>
          </cell>
          <cell r="CR471">
            <v>320</v>
          </cell>
          <cell r="CS471">
            <v>96</v>
          </cell>
          <cell r="CT471">
            <v>352</v>
          </cell>
          <cell r="CU471">
            <v>256</v>
          </cell>
          <cell r="CV471">
            <v>256</v>
          </cell>
          <cell r="CW471">
            <v>224</v>
          </cell>
          <cell r="CX471">
            <v>251.8</v>
          </cell>
          <cell r="CY471">
            <v>224</v>
          </cell>
          <cell r="CZ471">
            <v>237.9</v>
          </cell>
          <cell r="DA471">
            <v>256</v>
          </cell>
          <cell r="DB471">
            <v>160</v>
          </cell>
          <cell r="DC471">
            <v>288</v>
          </cell>
          <cell r="DD471">
            <v>256</v>
          </cell>
          <cell r="DE471">
            <v>288</v>
          </cell>
          <cell r="DF471">
            <v>288</v>
          </cell>
          <cell r="DG471">
            <v>256</v>
          </cell>
          <cell r="DH471">
            <v>96</v>
          </cell>
          <cell r="DI471">
            <v>71</v>
          </cell>
          <cell r="DJ471">
            <v>168</v>
          </cell>
          <cell r="DK471">
            <v>180</v>
          </cell>
          <cell r="DL471">
            <v>248</v>
          </cell>
          <cell r="DM471">
            <v>268</v>
          </cell>
          <cell r="DN471">
            <v>344</v>
          </cell>
          <cell r="DO471">
            <v>288</v>
          </cell>
          <cell r="DP471">
            <v>192</v>
          </cell>
          <cell r="DQ471">
            <v>256</v>
          </cell>
          <cell r="DR471">
            <v>224</v>
          </cell>
          <cell r="DS471">
            <v>288</v>
          </cell>
          <cell r="DT471">
            <v>248</v>
          </cell>
          <cell r="DU471">
            <v>352</v>
          </cell>
          <cell r="DV471">
            <v>256</v>
          </cell>
          <cell r="DW471">
            <v>224</v>
          </cell>
          <cell r="DX471">
            <v>224</v>
          </cell>
          <cell r="DY471">
            <v>320</v>
          </cell>
          <cell r="DZ471">
            <v>320</v>
          </cell>
          <cell r="EA471">
            <v>480</v>
          </cell>
          <cell r="EB471">
            <v>256</v>
          </cell>
          <cell r="EC471">
            <v>256</v>
          </cell>
          <cell r="ED471">
            <v>352</v>
          </cell>
          <cell r="EE471">
            <v>224</v>
          </cell>
          <cell r="EF471">
            <v>256</v>
          </cell>
          <cell r="EG471">
            <v>480</v>
          </cell>
          <cell r="EH471">
            <v>384</v>
          </cell>
          <cell r="EI471">
            <v>160</v>
          </cell>
          <cell r="EJ471" t="str">
            <v>ACTIVO</v>
          </cell>
          <cell r="EK471" t="str">
            <v>B</v>
          </cell>
          <cell r="EL471">
            <v>600</v>
          </cell>
          <cell r="EM471">
            <v>271</v>
          </cell>
          <cell r="EN471">
            <v>45.166666666666664</v>
          </cell>
          <cell r="EO471">
            <v>118.22431681186133</v>
          </cell>
          <cell r="EP471">
            <v>920</v>
          </cell>
          <cell r="EQ471">
            <v>1186800</v>
          </cell>
          <cell r="ER471">
            <v>3.3948339483394836</v>
          </cell>
          <cell r="ES471">
            <v>135.5</v>
          </cell>
        </row>
        <row r="472">
          <cell r="F472">
            <v>405336</v>
          </cell>
          <cell r="G472" t="str">
            <v>CINTA DE EMBALAJE 72x100 REMINISEN</v>
          </cell>
          <cell r="H472"/>
          <cell r="I472"/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>
            <v>36</v>
          </cell>
          <cell r="DK472">
            <v>208</v>
          </cell>
          <cell r="DL472">
            <v>108</v>
          </cell>
          <cell r="DM472"/>
          <cell r="DN472"/>
          <cell r="DO472"/>
          <cell r="DP472"/>
          <cell r="DQ472"/>
          <cell r="DR472"/>
          <cell r="DS472"/>
          <cell r="DT472"/>
          <cell r="DU472"/>
          <cell r="DV472"/>
          <cell r="DW472"/>
          <cell r="DX472"/>
          <cell r="DY472"/>
          <cell r="DZ472"/>
          <cell r="EA472"/>
          <cell r="EB472"/>
          <cell r="EC472"/>
          <cell r="ED472"/>
          <cell r="EE472"/>
          <cell r="EF472"/>
          <cell r="EG472"/>
          <cell r="EH472"/>
          <cell r="EI472"/>
          <cell r="EJ472" t="str">
            <v>ACTIVO</v>
          </cell>
          <cell r="EK472" t="str">
            <v/>
          </cell>
          <cell r="EL472" t="str">
            <v/>
          </cell>
          <cell r="EM472">
            <v>117.33333333333333</v>
          </cell>
          <cell r="EN472">
            <v>19.555555555555554</v>
          </cell>
          <cell r="EO472">
            <v>0</v>
          </cell>
          <cell r="EP472">
            <v>0</v>
          </cell>
          <cell r="EQ472">
            <v>0</v>
          </cell>
          <cell r="ER472">
            <v>0</v>
          </cell>
          <cell r="ES472">
            <v>58.666666666666657</v>
          </cell>
        </row>
        <row r="473">
          <cell r="F473"/>
          <cell r="G473"/>
          <cell r="H473">
            <v>64</v>
          </cell>
          <cell r="I473">
            <v>48</v>
          </cell>
          <cell r="J473"/>
          <cell r="K473">
            <v>96</v>
          </cell>
          <cell r="L473"/>
          <cell r="M473"/>
          <cell r="N473">
            <v>96</v>
          </cell>
          <cell r="O473">
            <v>96</v>
          </cell>
          <cell r="P473">
            <v>64</v>
          </cell>
          <cell r="Q473"/>
          <cell r="R473"/>
          <cell r="S473">
            <v>64</v>
          </cell>
          <cell r="T473"/>
          <cell r="U473">
            <v>64</v>
          </cell>
          <cell r="V473">
            <v>64</v>
          </cell>
          <cell r="W473">
            <v>64</v>
          </cell>
          <cell r="X473"/>
          <cell r="Y473"/>
          <cell r="Z473">
            <v>96</v>
          </cell>
          <cell r="AA473"/>
          <cell r="AB473">
            <v>320</v>
          </cell>
          <cell r="AC473"/>
          <cell r="AD473">
            <v>256</v>
          </cell>
          <cell r="AE473">
            <v>136</v>
          </cell>
          <cell r="AF473">
            <v>24</v>
          </cell>
          <cell r="AG473">
            <v>160</v>
          </cell>
          <cell r="AH473"/>
          <cell r="AI473"/>
          <cell r="AJ473">
            <v>64</v>
          </cell>
          <cell r="AK473">
            <v>160</v>
          </cell>
          <cell r="AL473">
            <v>155</v>
          </cell>
          <cell r="AM473"/>
          <cell r="AN473"/>
          <cell r="AO473">
            <v>32</v>
          </cell>
          <cell r="AP473">
            <v>160</v>
          </cell>
          <cell r="AQ473">
            <v>64</v>
          </cell>
          <cell r="AR473">
            <v>384</v>
          </cell>
          <cell r="AS473">
            <v>256</v>
          </cell>
          <cell r="AT473">
            <v>448</v>
          </cell>
          <cell r="AU473">
            <v>352</v>
          </cell>
          <cell r="AV473">
            <v>512</v>
          </cell>
          <cell r="AW473">
            <v>384</v>
          </cell>
          <cell r="AX473">
            <v>544</v>
          </cell>
          <cell r="AY473">
            <v>448</v>
          </cell>
          <cell r="AZ473">
            <v>480</v>
          </cell>
          <cell r="BA473">
            <v>448</v>
          </cell>
          <cell r="BB473">
            <v>384</v>
          </cell>
          <cell r="BC473">
            <v>288</v>
          </cell>
          <cell r="BD473">
            <v>320</v>
          </cell>
          <cell r="BE473">
            <v>480</v>
          </cell>
          <cell r="BF473">
            <v>384</v>
          </cell>
          <cell r="BG473">
            <v>416</v>
          </cell>
          <cell r="BH473">
            <v>160</v>
          </cell>
          <cell r="BI473">
            <v>384</v>
          </cell>
          <cell r="BJ473">
            <v>448</v>
          </cell>
          <cell r="BK473">
            <v>448</v>
          </cell>
          <cell r="BL473">
            <v>384</v>
          </cell>
          <cell r="BM473">
            <v>352</v>
          </cell>
          <cell r="BN473">
            <v>481</v>
          </cell>
          <cell r="BO473">
            <v>290</v>
          </cell>
          <cell r="BP473">
            <v>224</v>
          </cell>
          <cell r="BQ473">
            <v>352</v>
          </cell>
          <cell r="BR473">
            <v>256</v>
          </cell>
          <cell r="BS473">
            <v>288</v>
          </cell>
          <cell r="BT473">
            <v>784</v>
          </cell>
          <cell r="BU473">
            <v>448</v>
          </cell>
          <cell r="BV473">
            <v>256</v>
          </cell>
          <cell r="BW473">
            <v>512</v>
          </cell>
          <cell r="BX473">
            <v>480</v>
          </cell>
          <cell r="BY473">
            <v>192</v>
          </cell>
          <cell r="BZ473">
            <v>544</v>
          </cell>
          <cell r="CA473">
            <v>352</v>
          </cell>
          <cell r="CB473">
            <v>320</v>
          </cell>
          <cell r="CC473">
            <v>288</v>
          </cell>
          <cell r="CD473">
            <v>251.8</v>
          </cell>
          <cell r="CE473">
            <v>352</v>
          </cell>
          <cell r="CF473">
            <v>320</v>
          </cell>
          <cell r="CG473">
            <v>416</v>
          </cell>
          <cell r="CH473">
            <v>332</v>
          </cell>
          <cell r="CI473">
            <v>192</v>
          </cell>
          <cell r="CJ473">
            <v>384</v>
          </cell>
          <cell r="CK473">
            <v>320</v>
          </cell>
          <cell r="CL473">
            <v>224</v>
          </cell>
          <cell r="CM473">
            <v>288</v>
          </cell>
          <cell r="CN473">
            <v>192</v>
          </cell>
          <cell r="CO473">
            <v>384</v>
          </cell>
          <cell r="CP473">
            <v>384</v>
          </cell>
          <cell r="CQ473">
            <v>288</v>
          </cell>
          <cell r="CR473">
            <v>320</v>
          </cell>
          <cell r="CS473">
            <v>96</v>
          </cell>
          <cell r="CT473">
            <v>352</v>
          </cell>
          <cell r="CU473">
            <v>256</v>
          </cell>
          <cell r="CV473">
            <v>256</v>
          </cell>
          <cell r="CW473">
            <v>224</v>
          </cell>
          <cell r="CX473">
            <v>251.8</v>
          </cell>
          <cell r="CY473">
            <v>224</v>
          </cell>
          <cell r="CZ473">
            <v>237.9</v>
          </cell>
          <cell r="DA473">
            <v>256</v>
          </cell>
          <cell r="DB473">
            <v>160</v>
          </cell>
          <cell r="DC473">
            <v>288</v>
          </cell>
          <cell r="DD473">
            <v>256</v>
          </cell>
          <cell r="DE473">
            <v>288</v>
          </cell>
          <cell r="DF473">
            <v>288</v>
          </cell>
          <cell r="DG473">
            <v>256</v>
          </cell>
          <cell r="DH473">
            <v>96</v>
          </cell>
          <cell r="DI473">
            <v>71</v>
          </cell>
          <cell r="DJ473">
            <v>204</v>
          </cell>
          <cell r="DK473">
            <v>388</v>
          </cell>
          <cell r="DL473">
            <v>356</v>
          </cell>
          <cell r="DM473">
            <v>268</v>
          </cell>
          <cell r="DN473">
            <v>344</v>
          </cell>
          <cell r="DO473">
            <v>288</v>
          </cell>
          <cell r="DP473">
            <v>192</v>
          </cell>
          <cell r="DQ473">
            <v>256</v>
          </cell>
          <cell r="DR473">
            <v>224</v>
          </cell>
          <cell r="DS473">
            <v>288</v>
          </cell>
          <cell r="DT473">
            <v>248</v>
          </cell>
          <cell r="DU473">
            <v>352</v>
          </cell>
          <cell r="DV473">
            <v>256</v>
          </cell>
          <cell r="DW473">
            <v>224</v>
          </cell>
          <cell r="DX473">
            <v>224</v>
          </cell>
          <cell r="DY473">
            <v>320</v>
          </cell>
          <cell r="DZ473">
            <v>320</v>
          </cell>
          <cell r="EA473">
            <v>480</v>
          </cell>
          <cell r="EB473">
            <v>256</v>
          </cell>
          <cell r="EC473">
            <v>256</v>
          </cell>
          <cell r="ED473">
            <v>352</v>
          </cell>
          <cell r="EE473">
            <v>224</v>
          </cell>
          <cell r="EF473">
            <v>256</v>
          </cell>
          <cell r="EG473">
            <v>480</v>
          </cell>
          <cell r="EH473">
            <v>384</v>
          </cell>
          <cell r="EI473">
            <v>160</v>
          </cell>
          <cell r="EJ473" t="str">
            <v>ACTIVO</v>
          </cell>
          <cell r="EK473" t="str">
            <v/>
          </cell>
          <cell r="EL473" t="str">
            <v/>
          </cell>
          <cell r="EM473">
            <v>285.08</v>
          </cell>
          <cell r="EN473">
            <v>47.513333333333328</v>
          </cell>
          <cell r="EO473">
            <v>118.22431681186133</v>
          </cell>
          <cell r="EP473">
            <v>0</v>
          </cell>
          <cell r="EQ473">
            <v>0</v>
          </cell>
          <cell r="ER473">
            <v>0</v>
          </cell>
          <cell r="ES473">
            <v>0</v>
          </cell>
        </row>
        <row r="474">
          <cell r="F474">
            <v>402130</v>
          </cell>
          <cell r="G474" t="str">
            <v>NUEZ PICADILLO LAS TRES ERRES</v>
          </cell>
          <cell r="H474">
            <v>5</v>
          </cell>
          <cell r="I474"/>
          <cell r="J474"/>
          <cell r="K474"/>
          <cell r="L474"/>
          <cell r="M474"/>
          <cell r="N474"/>
          <cell r="O474">
            <v>60</v>
          </cell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>
            <v>10</v>
          </cell>
          <cell r="AV474">
            <v>20</v>
          </cell>
          <cell r="AW474">
            <v>45</v>
          </cell>
          <cell r="AX474">
            <v>40</v>
          </cell>
          <cell r="AY474">
            <v>45</v>
          </cell>
          <cell r="AZ474">
            <v>90</v>
          </cell>
          <cell r="BA474">
            <v>30</v>
          </cell>
          <cell r="BB474">
            <v>145</v>
          </cell>
          <cell r="BC474">
            <v>45</v>
          </cell>
          <cell r="BD474">
            <v>35</v>
          </cell>
          <cell r="BE474">
            <v>60</v>
          </cell>
          <cell r="BF474">
            <v>30</v>
          </cell>
          <cell r="BG474">
            <v>20</v>
          </cell>
          <cell r="BH474">
            <v>15</v>
          </cell>
          <cell r="BI474">
            <v>110</v>
          </cell>
          <cell r="BJ474">
            <v>10</v>
          </cell>
          <cell r="BK474">
            <v>130</v>
          </cell>
          <cell r="BL474">
            <v>40</v>
          </cell>
          <cell r="BM474">
            <v>65</v>
          </cell>
          <cell r="BN474">
            <v>30</v>
          </cell>
          <cell r="BO474">
            <v>35</v>
          </cell>
          <cell r="BP474">
            <v>140</v>
          </cell>
          <cell r="BQ474">
            <v>40</v>
          </cell>
          <cell r="BR474">
            <v>35</v>
          </cell>
          <cell r="BS474">
            <v>65</v>
          </cell>
          <cell r="BT474">
            <v>45</v>
          </cell>
          <cell r="BU474">
            <v>49</v>
          </cell>
          <cell r="BV474">
            <v>60</v>
          </cell>
          <cell r="BW474">
            <v>30</v>
          </cell>
          <cell r="BX474">
            <v>30</v>
          </cell>
          <cell r="BY474">
            <v>20</v>
          </cell>
          <cell r="BZ474">
            <v>5</v>
          </cell>
          <cell r="CA474">
            <v>85</v>
          </cell>
          <cell r="CB474">
            <v>30</v>
          </cell>
          <cell r="CC474">
            <v>50</v>
          </cell>
          <cell r="CD474">
            <v>65</v>
          </cell>
          <cell r="CE474">
            <v>35</v>
          </cell>
          <cell r="CF474">
            <v>45</v>
          </cell>
          <cell r="CG474">
            <v>45</v>
          </cell>
          <cell r="CH474">
            <v>30</v>
          </cell>
          <cell r="CI474">
            <v>45</v>
          </cell>
          <cell r="CJ474">
            <v>30</v>
          </cell>
          <cell r="CK474">
            <v>45</v>
          </cell>
          <cell r="CL474">
            <v>15</v>
          </cell>
          <cell r="CM474">
            <v>10</v>
          </cell>
          <cell r="CN474">
            <v>25</v>
          </cell>
          <cell r="CO474">
            <v>40</v>
          </cell>
          <cell r="CP474">
            <v>45</v>
          </cell>
          <cell r="CQ474">
            <v>5</v>
          </cell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K474"/>
          <cell r="DL474"/>
          <cell r="DM474"/>
          <cell r="DN474"/>
          <cell r="DO474"/>
          <cell r="DP474"/>
          <cell r="DQ474"/>
          <cell r="DR474"/>
          <cell r="DS474"/>
          <cell r="DT474"/>
          <cell r="DU474"/>
          <cell r="DV474"/>
          <cell r="DW474"/>
          <cell r="DX474">
            <v>25</v>
          </cell>
          <cell r="DY474">
            <v>5</v>
          </cell>
          <cell r="DZ474">
            <v>10</v>
          </cell>
          <cell r="EA474">
            <v>5</v>
          </cell>
          <cell r="EB474">
            <v>10</v>
          </cell>
          <cell r="EC474"/>
          <cell r="ED474"/>
          <cell r="EE474"/>
          <cell r="EF474">
            <v>30</v>
          </cell>
          <cell r="EG474">
            <v>40</v>
          </cell>
          <cell r="EH474">
            <v>35</v>
          </cell>
          <cell r="EI474">
            <v>55</v>
          </cell>
          <cell r="EJ474" t="str">
            <v>ACTIVO</v>
          </cell>
          <cell r="EK474" t="str">
            <v>C</v>
          </cell>
          <cell r="EL474">
            <v>0</v>
          </cell>
          <cell r="EM474">
            <v>17.857142857142858</v>
          </cell>
          <cell r="EN474">
            <v>2.9761904761904763</v>
          </cell>
          <cell r="EO474">
            <v>31.043172702360362</v>
          </cell>
          <cell r="EP474">
            <v>15</v>
          </cell>
          <cell r="EQ474">
            <v>75000</v>
          </cell>
          <cell r="ER474">
            <v>0.84</v>
          </cell>
          <cell r="ES474">
            <v>5.9523809523809526</v>
          </cell>
        </row>
        <row r="475">
          <cell r="F475">
            <v>405543</v>
          </cell>
          <cell r="G475" t="str">
            <v>NUEZ PICADILLO CAMPOS</v>
          </cell>
          <cell r="H475"/>
          <cell r="I475"/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>
            <v>30</v>
          </cell>
          <cell r="CM475">
            <v>50</v>
          </cell>
          <cell r="CN475">
            <v>15</v>
          </cell>
          <cell r="CO475"/>
          <cell r="CP475"/>
          <cell r="CQ475">
            <v>80</v>
          </cell>
          <cell r="CR475">
            <v>80</v>
          </cell>
          <cell r="CS475">
            <v>10</v>
          </cell>
          <cell r="CT475">
            <v>40</v>
          </cell>
          <cell r="CU475">
            <v>45</v>
          </cell>
          <cell r="CV475">
            <v>60</v>
          </cell>
          <cell r="CW475">
            <v>70</v>
          </cell>
          <cell r="CX475">
            <v>35</v>
          </cell>
          <cell r="CY475">
            <v>55</v>
          </cell>
          <cell r="CZ475">
            <v>90</v>
          </cell>
          <cell r="DA475">
            <v>70</v>
          </cell>
          <cell r="DB475">
            <v>35</v>
          </cell>
          <cell r="DC475">
            <v>40</v>
          </cell>
          <cell r="DD475">
            <v>40</v>
          </cell>
          <cell r="DE475">
            <v>50</v>
          </cell>
          <cell r="DF475">
            <v>55</v>
          </cell>
          <cell r="DG475">
            <v>50</v>
          </cell>
          <cell r="DH475">
            <v>35</v>
          </cell>
          <cell r="DI475">
            <v>10</v>
          </cell>
          <cell r="DJ475">
            <v>45</v>
          </cell>
          <cell r="DK475">
            <v>50</v>
          </cell>
          <cell r="DL475">
            <v>45</v>
          </cell>
          <cell r="DM475">
            <v>50</v>
          </cell>
          <cell r="DN475">
            <v>30</v>
          </cell>
          <cell r="DO475">
            <v>30</v>
          </cell>
          <cell r="DP475">
            <v>30</v>
          </cell>
          <cell r="DQ475">
            <v>30</v>
          </cell>
          <cell r="DR475">
            <v>50</v>
          </cell>
          <cell r="DS475">
            <v>30</v>
          </cell>
          <cell r="DT475">
            <v>50</v>
          </cell>
          <cell r="DU475">
            <v>40</v>
          </cell>
          <cell r="DV475">
            <v>40</v>
          </cell>
          <cell r="DW475">
            <v>45</v>
          </cell>
          <cell r="DX475">
            <v>40</v>
          </cell>
          <cell r="DY475">
            <v>60</v>
          </cell>
          <cell r="DZ475">
            <v>40</v>
          </cell>
          <cell r="EA475">
            <v>25</v>
          </cell>
          <cell r="EB475">
            <v>40</v>
          </cell>
          <cell r="EC475">
            <v>30</v>
          </cell>
          <cell r="ED475">
            <v>40</v>
          </cell>
          <cell r="EE475">
            <v>35</v>
          </cell>
          <cell r="EF475">
            <v>30</v>
          </cell>
          <cell r="EG475"/>
          <cell r="EH475"/>
          <cell r="EI475"/>
          <cell r="EJ475" t="str">
            <v>ACTIVO</v>
          </cell>
          <cell r="EK475" t="str">
            <v>C</v>
          </cell>
          <cell r="EL475" t="str">
            <v/>
          </cell>
          <cell r="EM475">
            <v>38.125</v>
          </cell>
          <cell r="EN475">
            <v>6.354166666666667</v>
          </cell>
          <cell r="EO475">
            <v>20.693339162983964</v>
          </cell>
          <cell r="EP475">
            <v>0</v>
          </cell>
          <cell r="EQ475">
            <v>0</v>
          </cell>
          <cell r="ER475">
            <v>0</v>
          </cell>
          <cell r="ES475">
            <v>12.708333333333334</v>
          </cell>
        </row>
        <row r="476">
          <cell r="F476">
            <v>405305</v>
          </cell>
          <cell r="G476" t="str">
            <v>ESENCIA CAFE CARAMELO SABORES Y FRAGANCIA</v>
          </cell>
          <cell r="H476"/>
          <cell r="I476"/>
          <cell r="J476"/>
          <cell r="K476"/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>
            <v>20</v>
          </cell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>
            <v>20</v>
          </cell>
          <cell r="BC476"/>
          <cell r="BD476">
            <v>20</v>
          </cell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>
            <v>20</v>
          </cell>
          <cell r="BZ476"/>
          <cell r="CA476"/>
          <cell r="CB476"/>
          <cell r="CC476"/>
          <cell r="CD476"/>
          <cell r="CE476"/>
          <cell r="CF476"/>
          <cell r="CG476"/>
          <cell r="CH476"/>
          <cell r="CI476">
            <v>20</v>
          </cell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>
            <v>20</v>
          </cell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K476"/>
          <cell r="DL476"/>
          <cell r="DM476"/>
          <cell r="DN476"/>
          <cell r="DO476"/>
          <cell r="DP476"/>
          <cell r="DQ476"/>
          <cell r="DR476"/>
          <cell r="DS476"/>
          <cell r="DT476"/>
          <cell r="DU476"/>
          <cell r="DV476"/>
          <cell r="DW476"/>
          <cell r="DX476"/>
          <cell r="DY476"/>
          <cell r="DZ476"/>
          <cell r="EA476"/>
          <cell r="EB476"/>
          <cell r="EC476"/>
          <cell r="ED476"/>
          <cell r="EE476"/>
          <cell r="EF476"/>
          <cell r="EG476"/>
          <cell r="EH476"/>
          <cell r="EI476"/>
          <cell r="EJ476" t="str">
            <v>SIN USO</v>
          </cell>
          <cell r="EK476" t="str">
            <v>C</v>
          </cell>
          <cell r="EL476">
            <v>20</v>
          </cell>
          <cell r="EM476">
            <v>0</v>
          </cell>
          <cell r="EN476">
            <v>0</v>
          </cell>
          <cell r="EO476">
            <v>0</v>
          </cell>
          <cell r="EP476">
            <v>0</v>
          </cell>
          <cell r="EQ476">
            <v>0</v>
          </cell>
          <cell r="ER476">
            <v>0</v>
          </cell>
          <cell r="ES476">
            <v>0</v>
          </cell>
        </row>
        <row r="477">
          <cell r="F477">
            <v>106302</v>
          </cell>
          <cell r="G477" t="str">
            <v>CANELA EN POLVO ALTO LA CRUZ</v>
          </cell>
          <cell r="H477"/>
          <cell r="I477"/>
          <cell r="J477"/>
          <cell r="K477"/>
          <cell r="L477"/>
          <cell r="M477"/>
          <cell r="N477"/>
          <cell r="O477">
            <v>10</v>
          </cell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K477"/>
          <cell r="DL477"/>
          <cell r="DM477"/>
          <cell r="DN477"/>
          <cell r="DO477"/>
          <cell r="DP477"/>
          <cell r="DQ477"/>
          <cell r="DR477"/>
          <cell r="DS477"/>
          <cell r="DT477"/>
          <cell r="DU477"/>
          <cell r="DV477"/>
          <cell r="DW477"/>
          <cell r="DX477"/>
          <cell r="DY477"/>
          <cell r="DZ477"/>
          <cell r="EA477"/>
          <cell r="EB477"/>
          <cell r="EC477"/>
          <cell r="ED477"/>
          <cell r="EE477"/>
          <cell r="EF477"/>
          <cell r="EG477"/>
          <cell r="EH477"/>
          <cell r="EI477"/>
          <cell r="EJ477" t="str">
            <v>SIN USO</v>
          </cell>
          <cell r="EK477" t="str">
            <v/>
          </cell>
          <cell r="EL477" t="str">
            <v/>
          </cell>
          <cell r="EM477">
            <v>0</v>
          </cell>
          <cell r="EN477">
            <v>0</v>
          </cell>
          <cell r="EO477">
            <v>0</v>
          </cell>
          <cell r="EP477">
            <v>0</v>
          </cell>
          <cell r="EQ477">
            <v>0</v>
          </cell>
          <cell r="ER477">
            <v>0</v>
          </cell>
          <cell r="ES477">
            <v>0</v>
          </cell>
        </row>
        <row r="478">
          <cell r="F478">
            <v>106401</v>
          </cell>
          <cell r="G478" t="str">
            <v>CAFE POLVO WINKLER</v>
          </cell>
          <cell r="H478">
            <v>1</v>
          </cell>
          <cell r="I478">
            <v>7.5</v>
          </cell>
          <cell r="J478">
            <v>5</v>
          </cell>
          <cell r="K478">
            <v>13</v>
          </cell>
          <cell r="L478">
            <v>5.5</v>
          </cell>
          <cell r="M478">
            <v>5</v>
          </cell>
          <cell r="N478">
            <v>7</v>
          </cell>
          <cell r="O478">
            <v>13</v>
          </cell>
          <cell r="P478">
            <v>6</v>
          </cell>
          <cell r="Q478">
            <v>9</v>
          </cell>
          <cell r="R478">
            <v>4</v>
          </cell>
          <cell r="S478">
            <v>4.5</v>
          </cell>
          <cell r="T478">
            <v>6.5</v>
          </cell>
          <cell r="U478">
            <v>4.5</v>
          </cell>
          <cell r="V478"/>
          <cell r="W478">
            <v>2</v>
          </cell>
          <cell r="X478">
            <v>9.5</v>
          </cell>
          <cell r="Y478">
            <v>3.5</v>
          </cell>
          <cell r="Z478">
            <v>0.5</v>
          </cell>
          <cell r="AA478">
            <v>8</v>
          </cell>
          <cell r="AB478">
            <v>12</v>
          </cell>
          <cell r="AC478">
            <v>7.5</v>
          </cell>
          <cell r="AD478">
            <v>5.5</v>
          </cell>
          <cell r="AE478">
            <v>4</v>
          </cell>
          <cell r="AF478">
            <v>6.5</v>
          </cell>
          <cell r="AG478">
            <v>4.5</v>
          </cell>
          <cell r="AH478">
            <v>6</v>
          </cell>
          <cell r="AI478">
            <v>14.5</v>
          </cell>
          <cell r="AJ478">
            <v>4</v>
          </cell>
          <cell r="AK478">
            <v>9.5</v>
          </cell>
          <cell r="AL478">
            <v>7.5</v>
          </cell>
          <cell r="AM478">
            <v>1</v>
          </cell>
          <cell r="AN478">
            <v>8.5</v>
          </cell>
          <cell r="AO478">
            <v>11</v>
          </cell>
          <cell r="AP478">
            <v>13.5</v>
          </cell>
          <cell r="AQ478">
            <v>14</v>
          </cell>
          <cell r="AR478">
            <v>8</v>
          </cell>
          <cell r="AS478">
            <v>7</v>
          </cell>
          <cell r="AT478">
            <v>5</v>
          </cell>
          <cell r="AU478">
            <v>10</v>
          </cell>
          <cell r="AV478">
            <v>9</v>
          </cell>
          <cell r="AW478">
            <v>26</v>
          </cell>
          <cell r="AX478">
            <v>10</v>
          </cell>
          <cell r="AY478">
            <v>8</v>
          </cell>
          <cell r="AZ478">
            <v>10.5</v>
          </cell>
          <cell r="BA478">
            <v>7.5</v>
          </cell>
          <cell r="BB478">
            <v>98</v>
          </cell>
          <cell r="BC478">
            <v>5.5</v>
          </cell>
          <cell r="BD478">
            <v>19.5</v>
          </cell>
          <cell r="BE478">
            <v>12.5</v>
          </cell>
          <cell r="BF478">
            <v>9.5</v>
          </cell>
          <cell r="BG478">
            <v>20</v>
          </cell>
          <cell r="BH478">
            <v>3.5</v>
          </cell>
          <cell r="BI478">
            <v>5.5</v>
          </cell>
          <cell r="BJ478">
            <v>4</v>
          </cell>
          <cell r="BK478">
            <v>24</v>
          </cell>
          <cell r="BL478">
            <v>7</v>
          </cell>
          <cell r="BM478">
            <v>19</v>
          </cell>
          <cell r="BN478">
            <v>19</v>
          </cell>
          <cell r="BO478">
            <v>5</v>
          </cell>
          <cell r="BP478">
            <v>6</v>
          </cell>
          <cell r="BQ478">
            <v>41</v>
          </cell>
          <cell r="BR478">
            <v>14</v>
          </cell>
          <cell r="BS478">
            <v>19.5</v>
          </cell>
          <cell r="BT478">
            <v>51.5</v>
          </cell>
          <cell r="BU478">
            <v>7</v>
          </cell>
          <cell r="BV478">
            <v>19</v>
          </cell>
          <cell r="BW478">
            <v>8.5</v>
          </cell>
          <cell r="BX478">
            <v>11</v>
          </cell>
          <cell r="BY478">
            <v>16.5</v>
          </cell>
          <cell r="BZ478">
            <v>6</v>
          </cell>
          <cell r="CA478">
            <v>8</v>
          </cell>
          <cell r="CB478">
            <v>0.5</v>
          </cell>
          <cell r="CC478">
            <v>12</v>
          </cell>
          <cell r="CD478">
            <v>4.5</v>
          </cell>
          <cell r="CE478">
            <v>20.5</v>
          </cell>
          <cell r="CF478">
            <v>43.5</v>
          </cell>
          <cell r="CG478">
            <v>3.5</v>
          </cell>
          <cell r="CH478">
            <v>10</v>
          </cell>
          <cell r="CI478">
            <v>16</v>
          </cell>
          <cell r="CJ478">
            <v>2.5</v>
          </cell>
          <cell r="CK478">
            <v>15</v>
          </cell>
          <cell r="CL478">
            <v>9</v>
          </cell>
          <cell r="CM478">
            <v>6</v>
          </cell>
          <cell r="CN478">
            <v>15</v>
          </cell>
          <cell r="CO478">
            <v>10.5</v>
          </cell>
          <cell r="CP478">
            <v>9</v>
          </cell>
          <cell r="CQ478">
            <v>7</v>
          </cell>
          <cell r="CR478">
            <v>4.5</v>
          </cell>
          <cell r="CS478">
            <v>4</v>
          </cell>
          <cell r="CT478">
            <v>9</v>
          </cell>
          <cell r="CU478">
            <v>9.5</v>
          </cell>
          <cell r="CV478"/>
          <cell r="CW478"/>
          <cell r="CX478">
            <v>10</v>
          </cell>
          <cell r="CY478"/>
          <cell r="CZ478">
            <v>8</v>
          </cell>
          <cell r="DA478"/>
          <cell r="DB478"/>
          <cell r="DC478"/>
          <cell r="DD478">
            <v>8.5</v>
          </cell>
          <cell r="DE478"/>
          <cell r="DF478"/>
          <cell r="DG478">
            <v>10</v>
          </cell>
          <cell r="DH478"/>
          <cell r="DI478"/>
          <cell r="DJ478">
            <v>3.5</v>
          </cell>
          <cell r="DK478"/>
          <cell r="DL478">
            <v>7</v>
          </cell>
          <cell r="DM478">
            <v>4</v>
          </cell>
          <cell r="DN478">
            <v>3.5</v>
          </cell>
          <cell r="DO478">
            <v>8</v>
          </cell>
          <cell r="DP478">
            <v>4.5</v>
          </cell>
          <cell r="DQ478">
            <v>3.5</v>
          </cell>
          <cell r="DR478">
            <v>6</v>
          </cell>
          <cell r="DS478">
            <v>7</v>
          </cell>
          <cell r="DT478">
            <v>14</v>
          </cell>
          <cell r="DU478">
            <v>1</v>
          </cell>
          <cell r="DV478">
            <v>8.5</v>
          </cell>
          <cell r="DW478"/>
          <cell r="DX478">
            <v>4.5</v>
          </cell>
          <cell r="DY478">
            <v>1.5</v>
          </cell>
          <cell r="DZ478">
            <v>7.5</v>
          </cell>
          <cell r="EA478"/>
          <cell r="EB478"/>
          <cell r="EC478"/>
          <cell r="ED478"/>
          <cell r="EE478">
            <v>13.5</v>
          </cell>
          <cell r="EF478">
            <v>1</v>
          </cell>
          <cell r="EG478"/>
          <cell r="EH478">
            <v>11</v>
          </cell>
          <cell r="EI478"/>
          <cell r="EJ478" t="str">
            <v>ACTIVO</v>
          </cell>
          <cell r="EK478" t="str">
            <v>C</v>
          </cell>
          <cell r="EL478">
            <v>300</v>
          </cell>
          <cell r="EM478">
            <v>5.7941176470588234</v>
          </cell>
          <cell r="EN478">
            <v>0.96568627450980393</v>
          </cell>
          <cell r="EO478">
            <v>10.623456236561998</v>
          </cell>
          <cell r="EP478">
            <v>8</v>
          </cell>
          <cell r="EQ478">
            <v>174754</v>
          </cell>
          <cell r="ER478">
            <v>1.3807106598984773</v>
          </cell>
          <cell r="ES478">
            <v>2.8970588235294117</v>
          </cell>
        </row>
        <row r="479">
          <cell r="F479">
            <v>107134</v>
          </cell>
          <cell r="G479" t="str">
            <v>COCO RALLADO ALTO LA CRUZ</v>
          </cell>
          <cell r="H479">
            <v>130</v>
          </cell>
          <cell r="I479">
            <v>110</v>
          </cell>
          <cell r="J479">
            <v>190</v>
          </cell>
          <cell r="K479">
            <v>290</v>
          </cell>
          <cell r="L479">
            <v>140</v>
          </cell>
          <cell r="M479">
            <v>145</v>
          </cell>
          <cell r="N479">
            <v>70</v>
          </cell>
          <cell r="O479">
            <v>302.52</v>
          </cell>
          <cell r="P479">
            <v>110</v>
          </cell>
          <cell r="Q479">
            <v>135</v>
          </cell>
          <cell r="R479">
            <v>130</v>
          </cell>
          <cell r="S479">
            <v>140</v>
          </cell>
          <cell r="T479">
            <v>90</v>
          </cell>
          <cell r="U479">
            <v>140</v>
          </cell>
          <cell r="V479">
            <v>105</v>
          </cell>
          <cell r="W479">
            <v>135</v>
          </cell>
          <cell r="X479">
            <v>250</v>
          </cell>
          <cell r="Y479">
            <v>110</v>
          </cell>
          <cell r="Z479">
            <v>50</v>
          </cell>
          <cell r="AA479">
            <v>105</v>
          </cell>
          <cell r="AB479">
            <v>125</v>
          </cell>
          <cell r="AC479">
            <v>115</v>
          </cell>
          <cell r="AD479">
            <v>180</v>
          </cell>
          <cell r="AE479">
            <v>140</v>
          </cell>
          <cell r="AF479">
            <v>115</v>
          </cell>
          <cell r="AG479">
            <v>115</v>
          </cell>
          <cell r="AH479">
            <v>130</v>
          </cell>
          <cell r="AI479">
            <v>155</v>
          </cell>
          <cell r="AJ479">
            <v>130.16</v>
          </cell>
          <cell r="AK479">
            <v>115</v>
          </cell>
          <cell r="AL479">
            <v>220</v>
          </cell>
          <cell r="AM479">
            <v>150</v>
          </cell>
          <cell r="AN479">
            <v>90</v>
          </cell>
          <cell r="AO479">
            <v>85</v>
          </cell>
          <cell r="AP479">
            <v>130</v>
          </cell>
          <cell r="AQ479">
            <v>90</v>
          </cell>
          <cell r="AR479">
            <v>100</v>
          </cell>
          <cell r="AS479">
            <v>100</v>
          </cell>
          <cell r="AT479">
            <v>85</v>
          </cell>
          <cell r="AU479">
            <v>95</v>
          </cell>
          <cell r="AV479">
            <v>100</v>
          </cell>
          <cell r="AW479">
            <v>155</v>
          </cell>
          <cell r="AX479">
            <v>200</v>
          </cell>
          <cell r="AY479">
            <v>95</v>
          </cell>
          <cell r="AZ479">
            <v>100</v>
          </cell>
          <cell r="BA479">
            <v>105</v>
          </cell>
          <cell r="BB479">
            <v>185</v>
          </cell>
          <cell r="BC479">
            <v>100</v>
          </cell>
          <cell r="BD479">
            <v>110</v>
          </cell>
          <cell r="BE479">
            <v>100</v>
          </cell>
          <cell r="BF479">
            <v>119</v>
          </cell>
          <cell r="BG479">
            <v>140</v>
          </cell>
          <cell r="BH479">
            <v>60</v>
          </cell>
          <cell r="BI479">
            <v>110</v>
          </cell>
          <cell r="BJ479">
            <v>80</v>
          </cell>
          <cell r="BK479">
            <v>170</v>
          </cell>
          <cell r="BL479">
            <v>165</v>
          </cell>
          <cell r="BM479">
            <v>100</v>
          </cell>
          <cell r="BN479">
            <v>190</v>
          </cell>
          <cell r="BO479">
            <v>155</v>
          </cell>
          <cell r="BP479">
            <v>120</v>
          </cell>
          <cell r="BQ479">
            <v>80</v>
          </cell>
          <cell r="BR479">
            <v>200</v>
          </cell>
          <cell r="BS479">
            <v>170</v>
          </cell>
          <cell r="BT479">
            <v>230</v>
          </cell>
          <cell r="BU479">
            <v>100</v>
          </cell>
          <cell r="BV479">
            <v>105</v>
          </cell>
          <cell r="BW479">
            <v>145</v>
          </cell>
          <cell r="BX479">
            <v>255</v>
          </cell>
          <cell r="BY479">
            <v>115</v>
          </cell>
          <cell r="BZ479">
            <v>25</v>
          </cell>
          <cell r="CA479">
            <v>80</v>
          </cell>
          <cell r="CB479">
            <v>160</v>
          </cell>
          <cell r="CC479">
            <v>125</v>
          </cell>
          <cell r="CD479">
            <v>80</v>
          </cell>
          <cell r="CE479">
            <v>30</v>
          </cell>
          <cell r="CF479">
            <v>180</v>
          </cell>
          <cell r="CG479">
            <v>151</v>
          </cell>
          <cell r="CH479">
            <v>40</v>
          </cell>
          <cell r="CI479">
            <v>150</v>
          </cell>
          <cell r="CJ479"/>
          <cell r="CK479">
            <v>195</v>
          </cell>
          <cell r="CL479">
            <v>110</v>
          </cell>
          <cell r="CM479">
            <v>115</v>
          </cell>
          <cell r="CN479">
            <v>165</v>
          </cell>
          <cell r="CO479">
            <v>135</v>
          </cell>
          <cell r="CP479">
            <v>175</v>
          </cell>
          <cell r="CQ479">
            <v>180</v>
          </cell>
          <cell r="CR479">
            <v>205</v>
          </cell>
          <cell r="CS479">
            <v>95</v>
          </cell>
          <cell r="CT479">
            <v>110</v>
          </cell>
          <cell r="CU479">
            <v>10</v>
          </cell>
          <cell r="CV479">
            <v>135</v>
          </cell>
          <cell r="CW479">
            <v>75</v>
          </cell>
          <cell r="CX479">
            <v>130</v>
          </cell>
          <cell r="CY479">
            <v>80</v>
          </cell>
          <cell r="CZ479">
            <v>80</v>
          </cell>
          <cell r="DA479">
            <v>185</v>
          </cell>
          <cell r="DB479">
            <v>180</v>
          </cell>
          <cell r="DC479">
            <v>120</v>
          </cell>
          <cell r="DD479">
            <v>70</v>
          </cell>
          <cell r="DE479">
            <v>135</v>
          </cell>
          <cell r="DF479">
            <v>30</v>
          </cell>
          <cell r="DG479">
            <v>10</v>
          </cell>
          <cell r="DH479">
            <v>10</v>
          </cell>
          <cell r="DI479">
            <v>10</v>
          </cell>
          <cell r="DJ479">
            <v>135</v>
          </cell>
          <cell r="DK479">
            <v>120</v>
          </cell>
          <cell r="DL479">
            <v>115</v>
          </cell>
          <cell r="DM479">
            <v>120</v>
          </cell>
          <cell r="DN479">
            <v>160</v>
          </cell>
          <cell r="DO479">
            <v>90</v>
          </cell>
          <cell r="DP479">
            <v>140</v>
          </cell>
          <cell r="DQ479">
            <v>110</v>
          </cell>
          <cell r="DR479">
            <v>100</v>
          </cell>
          <cell r="DS479">
            <v>90</v>
          </cell>
          <cell r="DT479">
            <v>55</v>
          </cell>
          <cell r="DU479">
            <v>115</v>
          </cell>
          <cell r="DV479">
            <v>60</v>
          </cell>
          <cell r="DW479">
            <v>75</v>
          </cell>
          <cell r="DX479">
            <v>160</v>
          </cell>
          <cell r="DY479">
            <v>250</v>
          </cell>
          <cell r="DZ479">
            <v>90</v>
          </cell>
          <cell r="EA479"/>
          <cell r="EB479">
            <v>120</v>
          </cell>
          <cell r="EC479">
            <v>95</v>
          </cell>
          <cell r="ED479">
            <v>160</v>
          </cell>
          <cell r="EE479">
            <v>100</v>
          </cell>
          <cell r="EF479">
            <v>110.28</v>
          </cell>
          <cell r="EG479">
            <v>100</v>
          </cell>
          <cell r="EH479">
            <v>115</v>
          </cell>
          <cell r="EI479">
            <v>70</v>
          </cell>
          <cell r="EJ479" t="str">
            <v>ACTIVO</v>
          </cell>
          <cell r="EK479" t="str">
            <v>B</v>
          </cell>
          <cell r="EL479">
            <v>300</v>
          </cell>
          <cell r="EM479">
            <v>111.67833333333334</v>
          </cell>
          <cell r="EN479">
            <v>18.613055555555558</v>
          </cell>
          <cell r="EO479">
            <v>58.620118136839963</v>
          </cell>
          <cell r="EP479">
            <v>245</v>
          </cell>
          <cell r="EQ479">
            <v>881990.2</v>
          </cell>
          <cell r="ER479">
            <v>2.1938006476935246</v>
          </cell>
          <cell r="ES479">
            <v>37.226111111111116</v>
          </cell>
        </row>
        <row r="480">
          <cell r="F480">
            <v>107326</v>
          </cell>
          <cell r="G480" t="str">
            <v>QUINOA PERLA DE COLORES ZUKKER</v>
          </cell>
          <cell r="H480"/>
          <cell r="I480"/>
          <cell r="J480"/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>
            <v>31</v>
          </cell>
          <cell r="AM480">
            <v>55</v>
          </cell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K480"/>
          <cell r="DL480"/>
          <cell r="DM480"/>
          <cell r="DN480"/>
          <cell r="DO480"/>
          <cell r="DP480"/>
          <cell r="DQ480"/>
          <cell r="DR480"/>
          <cell r="DS480"/>
          <cell r="DT480"/>
          <cell r="DU480"/>
          <cell r="DV480"/>
          <cell r="DW480"/>
          <cell r="DX480"/>
          <cell r="DY480"/>
          <cell r="DZ480"/>
          <cell r="EA480"/>
          <cell r="EB480"/>
          <cell r="EC480"/>
          <cell r="ED480"/>
          <cell r="EE480"/>
          <cell r="EF480"/>
          <cell r="EG480"/>
          <cell r="EH480"/>
          <cell r="EI480"/>
          <cell r="EJ480" t="str">
            <v>SIN USO</v>
          </cell>
          <cell r="EK480" t="str">
            <v>C</v>
          </cell>
          <cell r="EL480">
            <v>3200</v>
          </cell>
          <cell r="EM480">
            <v>0</v>
          </cell>
          <cell r="EN480">
            <v>0</v>
          </cell>
          <cell r="EO480">
            <v>0</v>
          </cell>
          <cell r="EP480">
            <v>0</v>
          </cell>
          <cell r="EQ480">
            <v>0</v>
          </cell>
          <cell r="ER480">
            <v>0</v>
          </cell>
          <cell r="ES480">
            <v>0</v>
          </cell>
        </row>
        <row r="481">
          <cell r="F481">
            <v>107148</v>
          </cell>
          <cell r="G481" t="str">
            <v>SABOR AROMA LUCUMA FRANCIAAROMA</v>
          </cell>
          <cell r="H481"/>
          <cell r="I481"/>
          <cell r="J481"/>
          <cell r="K481"/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>
            <v>20</v>
          </cell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>
            <v>20</v>
          </cell>
          <cell r="BR481"/>
          <cell r="BS481"/>
          <cell r="BT481"/>
          <cell r="BU481"/>
          <cell r="BV481"/>
          <cell r="BW481"/>
          <cell r="BX481"/>
          <cell r="BY481"/>
          <cell r="BZ481"/>
          <cell r="CA481">
            <v>20</v>
          </cell>
          <cell r="CB481"/>
          <cell r="CC481"/>
          <cell r="CD481"/>
          <cell r="CE481"/>
          <cell r="CF481">
            <v>20</v>
          </cell>
          <cell r="CG481"/>
          <cell r="CH481"/>
          <cell r="CI481"/>
          <cell r="CJ481"/>
          <cell r="CK481">
            <v>20</v>
          </cell>
          <cell r="CL481"/>
          <cell r="CM481"/>
          <cell r="CN481"/>
          <cell r="CO481"/>
          <cell r="CP481"/>
          <cell r="CQ481"/>
          <cell r="CR481">
            <v>20</v>
          </cell>
          <cell r="CS481"/>
          <cell r="CT481"/>
          <cell r="CU481"/>
          <cell r="CV481"/>
          <cell r="CW481"/>
          <cell r="CX481"/>
          <cell r="CY481"/>
          <cell r="CZ481">
            <v>20</v>
          </cell>
          <cell r="DA481"/>
          <cell r="DB481"/>
          <cell r="DC481"/>
          <cell r="DD481"/>
          <cell r="DE481"/>
          <cell r="DF481">
            <v>20</v>
          </cell>
          <cell r="DG481"/>
          <cell r="DH481"/>
          <cell r="DI481"/>
          <cell r="DJ481"/>
          <cell r="DK481"/>
          <cell r="DL481"/>
          <cell r="DM481"/>
          <cell r="DN481"/>
          <cell r="DO481"/>
          <cell r="DP481"/>
          <cell r="DQ481"/>
          <cell r="DR481"/>
          <cell r="DS481">
            <v>25</v>
          </cell>
          <cell r="DT481"/>
          <cell r="DU481"/>
          <cell r="DV481"/>
          <cell r="DW481"/>
          <cell r="DX481"/>
          <cell r="DY481">
            <v>20</v>
          </cell>
          <cell r="DZ481"/>
          <cell r="EA481"/>
          <cell r="EB481"/>
          <cell r="EC481"/>
          <cell r="ED481">
            <v>20</v>
          </cell>
          <cell r="EE481"/>
          <cell r="EF481">
            <v>20</v>
          </cell>
          <cell r="EG481"/>
          <cell r="EH481"/>
          <cell r="EI481"/>
          <cell r="EJ481" t="str">
            <v>ACTIVO</v>
          </cell>
          <cell r="EK481" t="str">
            <v>C</v>
          </cell>
          <cell r="EL481">
            <v>20</v>
          </cell>
          <cell r="EM481">
            <v>21.25</v>
          </cell>
          <cell r="EN481">
            <v>3.5416666666666665</v>
          </cell>
          <cell r="EO481">
            <v>0</v>
          </cell>
          <cell r="EP481">
            <v>20</v>
          </cell>
          <cell r="EQ481">
            <v>418000</v>
          </cell>
          <cell r="ER481">
            <v>0.94117647058823528</v>
          </cell>
          <cell r="ES481">
            <v>14.166666666666666</v>
          </cell>
        </row>
        <row r="482">
          <cell r="F482">
            <v>405482</v>
          </cell>
          <cell r="G482" t="str">
            <v>ALMENDRAS FILETEADAS EGC</v>
          </cell>
          <cell r="H482"/>
          <cell r="I482"/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>
            <v>22.678000000000001</v>
          </cell>
          <cell r="BH482"/>
          <cell r="BI482"/>
          <cell r="BJ482"/>
          <cell r="BK482"/>
          <cell r="BL482"/>
          <cell r="BM482"/>
          <cell r="BN482">
            <v>11.34</v>
          </cell>
          <cell r="BO482"/>
          <cell r="BP482"/>
          <cell r="BQ482"/>
          <cell r="BR482">
            <v>11.34</v>
          </cell>
          <cell r="BS482"/>
          <cell r="BT482"/>
          <cell r="BU482">
            <v>11.33</v>
          </cell>
          <cell r="BV482"/>
          <cell r="BW482">
            <v>11.34</v>
          </cell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K482"/>
          <cell r="DL482"/>
          <cell r="DM482"/>
          <cell r="DN482"/>
          <cell r="DO482"/>
          <cell r="DP482"/>
          <cell r="DQ482"/>
          <cell r="DR482"/>
          <cell r="DS482"/>
          <cell r="DT482"/>
          <cell r="DU482"/>
          <cell r="DV482"/>
          <cell r="DW482"/>
          <cell r="DX482"/>
          <cell r="DY482"/>
          <cell r="DZ482"/>
          <cell r="EA482"/>
          <cell r="EB482"/>
          <cell r="EC482"/>
          <cell r="ED482"/>
          <cell r="EE482"/>
          <cell r="EF482"/>
          <cell r="EG482"/>
          <cell r="EH482"/>
          <cell r="EI482"/>
          <cell r="EJ482" t="str">
            <v>SIN USO</v>
          </cell>
          <cell r="EK482" t="str">
            <v>C</v>
          </cell>
          <cell r="EL482" t="str">
            <v/>
          </cell>
          <cell r="EM482">
            <v>0</v>
          </cell>
          <cell r="EN482">
            <v>0</v>
          </cell>
          <cell r="EO482">
            <v>4.9999999999998934E-3</v>
          </cell>
          <cell r="EP482">
            <v>146</v>
          </cell>
          <cell r="EQ482">
            <v>1642501.46</v>
          </cell>
          <cell r="ER482">
            <v>0</v>
          </cell>
          <cell r="ES482">
            <v>0</v>
          </cell>
        </row>
        <row r="483">
          <cell r="F483">
            <v>405682</v>
          </cell>
          <cell r="G483" t="str">
            <v>ALMENDRAS FILETEADAS TOSTADAS ALTO LA CRUZ</v>
          </cell>
          <cell r="H483"/>
          <cell r="I483"/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>
            <v>0</v>
          </cell>
          <cell r="DG483"/>
          <cell r="DH483"/>
          <cell r="DI483"/>
          <cell r="DJ483"/>
          <cell r="DK483"/>
          <cell r="DL483"/>
          <cell r="DM483"/>
          <cell r="DN483"/>
          <cell r="DO483"/>
          <cell r="DP483"/>
          <cell r="DQ483"/>
          <cell r="DR483">
            <v>10</v>
          </cell>
          <cell r="DS483"/>
          <cell r="DT483"/>
          <cell r="DU483"/>
          <cell r="DV483">
            <v>10</v>
          </cell>
          <cell r="DW483"/>
          <cell r="DX483"/>
          <cell r="DY483">
            <v>10</v>
          </cell>
          <cell r="DZ483"/>
          <cell r="EA483">
            <v>10</v>
          </cell>
          <cell r="EB483"/>
          <cell r="EC483">
            <v>10</v>
          </cell>
          <cell r="ED483"/>
          <cell r="EE483"/>
          <cell r="EF483">
            <v>10</v>
          </cell>
          <cell r="EG483"/>
          <cell r="EH483"/>
          <cell r="EI483">
            <v>10</v>
          </cell>
          <cell r="EJ483" t="str">
            <v>ACTIVO</v>
          </cell>
          <cell r="EK483" t="str">
            <v>C</v>
          </cell>
          <cell r="EL483" t="str">
            <v/>
          </cell>
          <cell r="EM483">
            <v>10</v>
          </cell>
          <cell r="EN483">
            <v>1.6666666666666667</v>
          </cell>
          <cell r="EO483">
            <v>0</v>
          </cell>
          <cell r="EP483">
            <v>40</v>
          </cell>
          <cell r="EQ483">
            <v>427600</v>
          </cell>
          <cell r="ER483">
            <v>4</v>
          </cell>
          <cell r="ES483">
            <v>3.3333333333333335</v>
          </cell>
        </row>
        <row r="484">
          <cell r="F484">
            <v>405652</v>
          </cell>
          <cell r="G484" t="str">
            <v>ESENCIA DE VAINILLA TRAVERSO EGC</v>
          </cell>
          <cell r="H484"/>
          <cell r="I484"/>
          <cell r="J484"/>
          <cell r="K484"/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>
            <v>0</v>
          </cell>
          <cell r="DG484"/>
          <cell r="DH484"/>
          <cell r="DI484"/>
          <cell r="DJ484"/>
          <cell r="DK484"/>
          <cell r="DL484"/>
          <cell r="DM484"/>
          <cell r="DN484"/>
          <cell r="DO484"/>
          <cell r="DP484"/>
          <cell r="DQ484"/>
          <cell r="DR484">
            <v>1</v>
          </cell>
          <cell r="DS484">
            <v>2</v>
          </cell>
          <cell r="DT484">
            <v>1</v>
          </cell>
          <cell r="DU484">
            <v>2</v>
          </cell>
          <cell r="DV484"/>
          <cell r="DW484"/>
          <cell r="DX484">
            <v>1</v>
          </cell>
          <cell r="DY484">
            <v>3</v>
          </cell>
          <cell r="DZ484">
            <v>2</v>
          </cell>
          <cell r="EA484">
            <v>2</v>
          </cell>
          <cell r="EB484">
            <v>7</v>
          </cell>
          <cell r="EC484">
            <v>1</v>
          </cell>
          <cell r="ED484">
            <v>2</v>
          </cell>
          <cell r="EE484"/>
          <cell r="EF484">
            <v>2</v>
          </cell>
          <cell r="EG484">
            <v>2</v>
          </cell>
          <cell r="EH484">
            <v>3.5</v>
          </cell>
          <cell r="EI484">
            <v>8.5</v>
          </cell>
          <cell r="EJ484" t="str">
            <v>ACTIVO</v>
          </cell>
          <cell r="EK484" t="str">
            <v>C</v>
          </cell>
          <cell r="EL484" t="str">
            <v/>
          </cell>
          <cell r="EM484">
            <v>2.1538461538461537</v>
          </cell>
          <cell r="EN484">
            <v>0.35897435897435898</v>
          </cell>
          <cell r="EO484">
            <v>0</v>
          </cell>
          <cell r="EP484">
            <v>9.5</v>
          </cell>
          <cell r="EQ484">
            <v>18716.994999999999</v>
          </cell>
          <cell r="ER484">
            <v>4.4107142857142856</v>
          </cell>
          <cell r="ES484">
            <v>0.71794871794871795</v>
          </cell>
        </row>
        <row r="485">
          <cell r="F485">
            <v>405650</v>
          </cell>
          <cell r="G485" t="str">
            <v>NUEZ MARIPOSA CLARA CAMPOS</v>
          </cell>
          <cell r="H485"/>
          <cell r="I485"/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>
            <v>0</v>
          </cell>
          <cell r="DG485"/>
          <cell r="DH485"/>
          <cell r="DI485"/>
          <cell r="DJ485"/>
          <cell r="DK485"/>
          <cell r="DL485"/>
          <cell r="DM485"/>
          <cell r="DN485"/>
          <cell r="DO485"/>
          <cell r="DP485"/>
          <cell r="DQ485"/>
          <cell r="DR485">
            <v>5</v>
          </cell>
          <cell r="DS485">
            <v>10</v>
          </cell>
          <cell r="DT485">
            <v>5</v>
          </cell>
          <cell r="DU485"/>
          <cell r="DV485">
            <v>5</v>
          </cell>
          <cell r="DW485">
            <v>5</v>
          </cell>
          <cell r="DX485"/>
          <cell r="DY485">
            <v>10</v>
          </cell>
          <cell r="DZ485"/>
          <cell r="EA485">
            <v>10</v>
          </cell>
          <cell r="EB485">
            <v>5</v>
          </cell>
          <cell r="EC485"/>
          <cell r="ED485">
            <v>5</v>
          </cell>
          <cell r="EE485"/>
          <cell r="EF485">
            <v>5</v>
          </cell>
          <cell r="EG485">
            <v>5</v>
          </cell>
          <cell r="EH485"/>
          <cell r="EI485"/>
          <cell r="EJ485" t="str">
            <v>ACTIVO</v>
          </cell>
          <cell r="EK485" t="str">
            <v>C</v>
          </cell>
          <cell r="EL485" t="str">
            <v/>
          </cell>
          <cell r="EM485">
            <v>6.3636363636363633</v>
          </cell>
          <cell r="EN485">
            <v>1.0606060606060606</v>
          </cell>
          <cell r="EO485">
            <v>0</v>
          </cell>
          <cell r="EP485">
            <v>30</v>
          </cell>
          <cell r="EQ485">
            <v>239700</v>
          </cell>
          <cell r="ER485">
            <v>4.7142857142857144</v>
          </cell>
          <cell r="ES485">
            <v>2.1212121212121211</v>
          </cell>
        </row>
        <row r="486">
          <cell r="F486">
            <v>405651</v>
          </cell>
          <cell r="G486" t="str">
            <v>SEMILLA DE AMAPOLA CAMPOS</v>
          </cell>
          <cell r="H486"/>
          <cell r="I486"/>
          <cell r="J486"/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>
            <v>0</v>
          </cell>
          <cell r="DG486"/>
          <cell r="DH486"/>
          <cell r="DI486"/>
          <cell r="DJ486"/>
          <cell r="DK486"/>
          <cell r="DL486"/>
          <cell r="DM486"/>
          <cell r="DN486"/>
          <cell r="DO486"/>
          <cell r="DP486"/>
          <cell r="DQ486"/>
          <cell r="DR486">
            <v>10</v>
          </cell>
          <cell r="DS486">
            <v>15</v>
          </cell>
          <cell r="DT486"/>
          <cell r="DU486">
            <v>10</v>
          </cell>
          <cell r="DV486">
            <v>10</v>
          </cell>
          <cell r="DW486">
            <v>10</v>
          </cell>
          <cell r="DX486">
            <v>25</v>
          </cell>
          <cell r="DY486"/>
          <cell r="DZ486"/>
          <cell r="EA486"/>
          <cell r="EB486"/>
          <cell r="EC486">
            <v>5</v>
          </cell>
          <cell r="ED486"/>
          <cell r="EE486">
            <v>25</v>
          </cell>
          <cell r="EF486"/>
          <cell r="EG486">
            <v>30</v>
          </cell>
          <cell r="EH486">
            <v>15</v>
          </cell>
          <cell r="EI486"/>
          <cell r="EJ486" t="str">
            <v>ACTIVO</v>
          </cell>
          <cell r="EK486" t="str">
            <v>C</v>
          </cell>
          <cell r="EL486" t="str">
            <v/>
          </cell>
          <cell r="EM486">
            <v>15.555555555555555</v>
          </cell>
          <cell r="EN486">
            <v>2.5925925925925926</v>
          </cell>
          <cell r="EO486">
            <v>0</v>
          </cell>
          <cell r="EP486">
            <v>50</v>
          </cell>
          <cell r="EQ486">
            <v>349502</v>
          </cell>
          <cell r="ER486">
            <v>3.2142857142857144</v>
          </cell>
          <cell r="ES486">
            <v>5.1851851851851851</v>
          </cell>
        </row>
        <row r="487">
          <cell r="F487"/>
          <cell r="G487"/>
          <cell r="H487">
            <v>136</v>
          </cell>
          <cell r="I487">
            <v>117.5</v>
          </cell>
          <cell r="J487">
            <v>195</v>
          </cell>
          <cell r="K487">
            <v>303</v>
          </cell>
          <cell r="L487">
            <v>145.5</v>
          </cell>
          <cell r="M487">
            <v>150</v>
          </cell>
          <cell r="N487">
            <v>77</v>
          </cell>
          <cell r="O487">
            <v>385.52</v>
          </cell>
          <cell r="P487">
            <v>116</v>
          </cell>
          <cell r="Q487">
            <v>144</v>
          </cell>
          <cell r="R487">
            <v>134</v>
          </cell>
          <cell r="S487">
            <v>144.5</v>
          </cell>
          <cell r="T487">
            <v>96.5</v>
          </cell>
          <cell r="U487">
            <v>144.5</v>
          </cell>
          <cell r="V487">
            <v>105</v>
          </cell>
          <cell r="W487">
            <v>137</v>
          </cell>
          <cell r="X487">
            <v>259.5</v>
          </cell>
          <cell r="Y487">
            <v>113.5</v>
          </cell>
          <cell r="Z487">
            <v>50.5</v>
          </cell>
          <cell r="AA487">
            <v>113</v>
          </cell>
          <cell r="AB487">
            <v>137</v>
          </cell>
          <cell r="AC487">
            <v>122.5</v>
          </cell>
          <cell r="AD487">
            <v>185.5</v>
          </cell>
          <cell r="AE487">
            <v>144</v>
          </cell>
          <cell r="AF487">
            <v>121.5</v>
          </cell>
          <cell r="AG487">
            <v>119.5</v>
          </cell>
          <cell r="AH487">
            <v>136</v>
          </cell>
          <cell r="AI487">
            <v>169.5</v>
          </cell>
          <cell r="AJ487">
            <v>134.16</v>
          </cell>
          <cell r="AK487">
            <v>124.5</v>
          </cell>
          <cell r="AL487">
            <v>258.5</v>
          </cell>
          <cell r="AM487">
            <v>206</v>
          </cell>
          <cell r="AN487">
            <v>98.5</v>
          </cell>
          <cell r="AO487">
            <v>116</v>
          </cell>
          <cell r="AP487">
            <v>143.5</v>
          </cell>
          <cell r="AQ487">
            <v>124</v>
          </cell>
          <cell r="AR487">
            <v>108</v>
          </cell>
          <cell r="AS487">
            <v>107</v>
          </cell>
          <cell r="AT487">
            <v>90</v>
          </cell>
          <cell r="AU487">
            <v>115</v>
          </cell>
          <cell r="AV487">
            <v>129</v>
          </cell>
          <cell r="AW487">
            <v>226</v>
          </cell>
          <cell r="AX487">
            <v>250</v>
          </cell>
          <cell r="AY487">
            <v>148</v>
          </cell>
          <cell r="AZ487">
            <v>200.5</v>
          </cell>
          <cell r="BA487">
            <v>142.5</v>
          </cell>
          <cell r="BB487">
            <v>448</v>
          </cell>
          <cell r="BC487">
            <v>150.5</v>
          </cell>
          <cell r="BD487">
            <v>184.5</v>
          </cell>
          <cell r="BE487">
            <v>172.5</v>
          </cell>
          <cell r="BF487">
            <v>158.5</v>
          </cell>
          <cell r="BG487">
            <v>202.678</v>
          </cell>
          <cell r="BH487">
            <v>78.5</v>
          </cell>
          <cell r="BI487">
            <v>225.5</v>
          </cell>
          <cell r="BJ487">
            <v>94</v>
          </cell>
          <cell r="BK487">
            <v>324</v>
          </cell>
          <cell r="BL487">
            <v>212</v>
          </cell>
          <cell r="BM487">
            <v>184</v>
          </cell>
          <cell r="BN487">
            <v>250.34</v>
          </cell>
          <cell r="BO487">
            <v>195</v>
          </cell>
          <cell r="BP487">
            <v>266</v>
          </cell>
          <cell r="BQ487">
            <v>181</v>
          </cell>
          <cell r="BR487">
            <v>260.33999999999997</v>
          </cell>
          <cell r="BS487">
            <v>254.5</v>
          </cell>
          <cell r="BT487">
            <v>326.5</v>
          </cell>
          <cell r="BU487">
            <v>167.33</v>
          </cell>
          <cell r="BV487">
            <v>184</v>
          </cell>
          <cell r="BW487">
            <v>194.84</v>
          </cell>
          <cell r="BX487">
            <v>296</v>
          </cell>
          <cell r="BY487">
            <v>171.5</v>
          </cell>
          <cell r="BZ487">
            <v>36</v>
          </cell>
          <cell r="CA487">
            <v>193</v>
          </cell>
          <cell r="CB487">
            <v>190.5</v>
          </cell>
          <cell r="CC487">
            <v>187</v>
          </cell>
          <cell r="CD487">
            <v>149.5</v>
          </cell>
          <cell r="CE487">
            <v>85.5</v>
          </cell>
          <cell r="CF487">
            <v>288.5</v>
          </cell>
          <cell r="CG487">
            <v>199.5</v>
          </cell>
          <cell r="CH487">
            <v>80</v>
          </cell>
          <cell r="CI487">
            <v>231</v>
          </cell>
          <cell r="CJ487">
            <v>32.5</v>
          </cell>
          <cell r="CK487">
            <v>275</v>
          </cell>
          <cell r="CL487">
            <v>164</v>
          </cell>
          <cell r="CM487">
            <v>181</v>
          </cell>
          <cell r="CN487">
            <v>220</v>
          </cell>
          <cell r="CO487">
            <v>185.5</v>
          </cell>
          <cell r="CP487">
            <v>229</v>
          </cell>
          <cell r="CQ487">
            <v>272</v>
          </cell>
          <cell r="CR487">
            <v>309.5</v>
          </cell>
          <cell r="CS487">
            <v>109</v>
          </cell>
          <cell r="CT487">
            <v>159</v>
          </cell>
          <cell r="CU487">
            <v>64.5</v>
          </cell>
          <cell r="CV487">
            <v>195</v>
          </cell>
          <cell r="CW487">
            <v>145</v>
          </cell>
          <cell r="CX487">
            <v>175</v>
          </cell>
          <cell r="CY487">
            <v>155</v>
          </cell>
          <cell r="CZ487">
            <v>198</v>
          </cell>
          <cell r="DA487">
            <v>255</v>
          </cell>
          <cell r="DB487">
            <v>215</v>
          </cell>
          <cell r="DC487">
            <v>160</v>
          </cell>
          <cell r="DD487">
            <v>118.5</v>
          </cell>
          <cell r="DE487">
            <v>185</v>
          </cell>
          <cell r="DF487">
            <v>105</v>
          </cell>
          <cell r="DG487">
            <v>70</v>
          </cell>
          <cell r="DH487">
            <v>45</v>
          </cell>
          <cell r="DI487">
            <v>20</v>
          </cell>
          <cell r="DJ487">
            <v>183.5</v>
          </cell>
          <cell r="DK487">
            <v>170</v>
          </cell>
          <cell r="DL487">
            <v>167</v>
          </cell>
          <cell r="DM487">
            <v>174</v>
          </cell>
          <cell r="DN487">
            <v>193.5</v>
          </cell>
          <cell r="DO487">
            <v>128</v>
          </cell>
          <cell r="DP487">
            <v>174.5</v>
          </cell>
          <cell r="DQ487">
            <v>143.5</v>
          </cell>
          <cell r="DR487">
            <v>182</v>
          </cell>
          <cell r="DS487">
            <v>179</v>
          </cell>
          <cell r="DT487">
            <v>125</v>
          </cell>
          <cell r="DU487">
            <v>168</v>
          </cell>
          <cell r="DV487">
            <v>133.5</v>
          </cell>
          <cell r="DW487">
            <v>135</v>
          </cell>
          <cell r="DX487">
            <v>255.5</v>
          </cell>
          <cell r="DY487">
            <v>359.5</v>
          </cell>
          <cell r="DZ487">
            <v>149.5</v>
          </cell>
          <cell r="EA487">
            <v>52</v>
          </cell>
          <cell r="EB487">
            <v>182</v>
          </cell>
          <cell r="EC487">
            <v>141</v>
          </cell>
          <cell r="ED487">
            <v>227</v>
          </cell>
          <cell r="EE487">
            <v>173.5</v>
          </cell>
          <cell r="EF487">
            <v>208.28</v>
          </cell>
          <cell r="EG487">
            <v>177</v>
          </cell>
          <cell r="EH487">
            <v>179.5</v>
          </cell>
          <cell r="EI487">
            <v>143.5</v>
          </cell>
          <cell r="EJ487" t="str">
            <v>ACTIVO</v>
          </cell>
          <cell r="EK487" t="str">
            <v/>
          </cell>
          <cell r="EL487" t="str">
            <v/>
          </cell>
          <cell r="EM487">
            <v>168.07120000000003</v>
          </cell>
          <cell r="EN487">
            <v>28.011866666666673</v>
          </cell>
          <cell r="EO487">
            <v>74.041618032501304</v>
          </cell>
          <cell r="EP487">
            <v>0</v>
          </cell>
          <cell r="EQ487">
            <v>0</v>
          </cell>
          <cell r="ER487">
            <v>0</v>
          </cell>
          <cell r="ES487">
            <v>0</v>
          </cell>
        </row>
        <row r="488">
          <cell r="F488">
            <v>107335</v>
          </cell>
          <cell r="G488" t="str">
            <v>GALLETA VINO NESTLE</v>
          </cell>
          <cell r="H488"/>
          <cell r="I488"/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>
            <v>199.64</v>
          </cell>
          <cell r="CC488">
            <v>199.64</v>
          </cell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K488"/>
          <cell r="DL488"/>
          <cell r="DM488"/>
          <cell r="DN488"/>
          <cell r="DO488"/>
          <cell r="DP488"/>
          <cell r="DQ488"/>
          <cell r="DR488"/>
          <cell r="DS488"/>
          <cell r="DT488"/>
          <cell r="DU488"/>
          <cell r="DV488"/>
          <cell r="DW488"/>
          <cell r="DX488"/>
          <cell r="DY488"/>
          <cell r="DZ488"/>
          <cell r="EA488"/>
          <cell r="EB488"/>
          <cell r="EC488"/>
          <cell r="ED488"/>
          <cell r="EE488"/>
          <cell r="EF488"/>
          <cell r="EG488"/>
          <cell r="EH488"/>
          <cell r="EI488"/>
          <cell r="EJ488" t="str">
            <v>SIN USO</v>
          </cell>
          <cell r="EK488" t="str">
            <v>C</v>
          </cell>
          <cell r="EL488" t="str">
            <v/>
          </cell>
          <cell r="EM488">
            <v>0</v>
          </cell>
          <cell r="EN488">
            <v>0</v>
          </cell>
          <cell r="EO488">
            <v>0</v>
          </cell>
          <cell r="EP488">
            <v>0</v>
          </cell>
          <cell r="EQ488">
            <v>0</v>
          </cell>
          <cell r="ER488">
            <v>0</v>
          </cell>
          <cell r="ES488">
            <v>0</v>
          </cell>
        </row>
        <row r="489">
          <cell r="F489">
            <v>405634</v>
          </cell>
          <cell r="G489" t="str">
            <v>COSTA CHOCOLATE 24X140 GRS EGC</v>
          </cell>
          <cell r="H489"/>
          <cell r="I489"/>
          <cell r="J489"/>
          <cell r="K489"/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>
            <v>18.79</v>
          </cell>
          <cell r="CZ489">
            <v>48.690000000000005</v>
          </cell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K489"/>
          <cell r="DL489"/>
          <cell r="DM489"/>
          <cell r="DN489"/>
          <cell r="DO489"/>
          <cell r="DP489"/>
          <cell r="DQ489"/>
          <cell r="DR489"/>
          <cell r="DS489"/>
          <cell r="DT489"/>
          <cell r="DU489"/>
          <cell r="DV489"/>
          <cell r="DW489"/>
          <cell r="DX489"/>
          <cell r="DY489"/>
          <cell r="DZ489"/>
          <cell r="EA489"/>
          <cell r="EB489"/>
          <cell r="EC489"/>
          <cell r="ED489"/>
          <cell r="EE489"/>
          <cell r="EF489"/>
          <cell r="EG489"/>
          <cell r="EH489"/>
          <cell r="EI489"/>
          <cell r="EJ489" t="str">
            <v>ACTIVO</v>
          </cell>
          <cell r="EK489" t="str">
            <v>C</v>
          </cell>
          <cell r="EL489" t="str">
            <v/>
          </cell>
          <cell r="EM489">
            <v>0</v>
          </cell>
          <cell r="EN489">
            <v>0</v>
          </cell>
          <cell r="EO489">
            <v>21.142492757477772</v>
          </cell>
          <cell r="EP489">
            <v>0</v>
          </cell>
          <cell r="EQ489">
            <v>0</v>
          </cell>
          <cell r="ER489">
            <v>0</v>
          </cell>
          <cell r="ES489">
            <v>0</v>
          </cell>
        </row>
        <row r="490">
          <cell r="F490">
            <v>405560</v>
          </cell>
          <cell r="G490" t="str">
            <v>COSTA CHOCOLATE 24X140 GRS CAROZZI</v>
          </cell>
          <cell r="H490"/>
          <cell r="I490"/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>
            <v>97.299999999999983</v>
          </cell>
          <cell r="DB490">
            <v>97.97999999999999</v>
          </cell>
          <cell r="DC490">
            <v>96.32</v>
          </cell>
          <cell r="DD490">
            <v>99.2</v>
          </cell>
          <cell r="DE490">
            <v>47.94</v>
          </cell>
          <cell r="DF490"/>
          <cell r="DG490"/>
          <cell r="DH490">
            <v>23.94</v>
          </cell>
          <cell r="DI490"/>
          <cell r="DJ490">
            <v>72.239999999999995</v>
          </cell>
          <cell r="DK490">
            <v>48.019999999999996</v>
          </cell>
          <cell r="DL490">
            <v>77.97999999999999</v>
          </cell>
          <cell r="DM490">
            <v>100.52</v>
          </cell>
          <cell r="DN490">
            <v>72.94</v>
          </cell>
          <cell r="DO490">
            <v>49</v>
          </cell>
          <cell r="DP490">
            <v>49</v>
          </cell>
          <cell r="DQ490">
            <v>48.5</v>
          </cell>
          <cell r="DR490"/>
          <cell r="DS490"/>
          <cell r="DT490"/>
          <cell r="DU490"/>
          <cell r="DV490"/>
          <cell r="DW490"/>
          <cell r="DX490"/>
          <cell r="DY490"/>
          <cell r="DZ490"/>
          <cell r="EA490"/>
          <cell r="EB490"/>
          <cell r="EC490"/>
          <cell r="ED490"/>
          <cell r="EE490"/>
          <cell r="EF490"/>
          <cell r="EG490"/>
          <cell r="EH490"/>
          <cell r="EI490"/>
          <cell r="EJ490" t="str">
            <v>ACTIVO</v>
          </cell>
          <cell r="EK490" t="str">
            <v>C</v>
          </cell>
          <cell r="EL490" t="str">
            <v/>
          </cell>
          <cell r="EM490">
            <v>64.775000000000006</v>
          </cell>
          <cell r="EN490">
            <v>10.795833333333334</v>
          </cell>
          <cell r="EO490">
            <v>32.796716095771941</v>
          </cell>
          <cell r="EP490">
            <v>179.48</v>
          </cell>
          <cell r="EQ490">
            <v>690692.88399999996</v>
          </cell>
          <cell r="ER490">
            <v>2.7708220764183711</v>
          </cell>
          <cell r="ES490">
            <v>32.387500000000003</v>
          </cell>
        </row>
        <row r="491">
          <cell r="F491">
            <v>107336</v>
          </cell>
          <cell r="G491" t="str">
            <v>GALLETA VINO CAROZZI</v>
          </cell>
          <cell r="H491"/>
          <cell r="I491"/>
          <cell r="J491"/>
          <cell r="K491"/>
          <cell r="L491">
            <v>337.92</v>
          </cell>
          <cell r="M491"/>
          <cell r="N491"/>
          <cell r="O491"/>
          <cell r="P491"/>
          <cell r="Q491"/>
          <cell r="R491"/>
          <cell r="S491"/>
          <cell r="T491"/>
          <cell r="U491"/>
          <cell r="V491">
            <v>281.60000000000002</v>
          </cell>
          <cell r="W491"/>
          <cell r="X491">
            <v>337.92</v>
          </cell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K491"/>
          <cell r="DL491"/>
          <cell r="DM491"/>
          <cell r="DN491"/>
          <cell r="DO491"/>
          <cell r="DP491"/>
          <cell r="DQ491"/>
          <cell r="DR491"/>
          <cell r="DS491"/>
          <cell r="DT491"/>
          <cell r="DU491"/>
          <cell r="DV491"/>
          <cell r="DW491"/>
          <cell r="DX491"/>
          <cell r="DY491"/>
          <cell r="DZ491"/>
          <cell r="EA491"/>
          <cell r="EB491"/>
          <cell r="EC491"/>
          <cell r="ED491"/>
          <cell r="EE491"/>
          <cell r="EF491"/>
          <cell r="EG491"/>
          <cell r="EH491"/>
          <cell r="EI491"/>
          <cell r="EJ491" t="str">
            <v>SIN USO</v>
          </cell>
          <cell r="EK491" t="str">
            <v/>
          </cell>
          <cell r="EL491" t="str">
            <v/>
          </cell>
          <cell r="EM491">
            <v>0</v>
          </cell>
          <cell r="EN491">
            <v>0</v>
          </cell>
          <cell r="EO491">
            <v>0</v>
          </cell>
          <cell r="EP491">
            <v>0</v>
          </cell>
          <cell r="EQ491">
            <v>0</v>
          </cell>
          <cell r="ER491">
            <v>0</v>
          </cell>
          <cell r="ES491">
            <v>0</v>
          </cell>
        </row>
        <row r="492">
          <cell r="F492">
            <v>405333</v>
          </cell>
          <cell r="G492" t="str">
            <v>GALLETA OREO REGULAR BEZANILLA</v>
          </cell>
          <cell r="H492"/>
          <cell r="I492"/>
          <cell r="J492"/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>
            <v>22.68</v>
          </cell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>
            <v>27</v>
          </cell>
          <cell r="AR492">
            <v>27</v>
          </cell>
          <cell r="AS492">
            <v>10.69228</v>
          </cell>
          <cell r="AT492">
            <v>38.664000000000001</v>
          </cell>
          <cell r="AU492">
            <v>197.35599999999997</v>
          </cell>
          <cell r="AV492"/>
          <cell r="AW492">
            <v>106.92</v>
          </cell>
          <cell r="AX492">
            <v>35.64</v>
          </cell>
          <cell r="AY492">
            <v>71.28</v>
          </cell>
          <cell r="AZ492">
            <v>116.64000000000001</v>
          </cell>
          <cell r="BA492"/>
          <cell r="BB492"/>
          <cell r="BC492">
            <v>199.71600000000001</v>
          </cell>
          <cell r="BD492">
            <v>84.240000000000009</v>
          </cell>
          <cell r="BE492">
            <v>42.120000000000005</v>
          </cell>
          <cell r="BF492"/>
          <cell r="BG492"/>
          <cell r="BH492">
            <v>97.2</v>
          </cell>
          <cell r="BI492">
            <v>42.120000000000005</v>
          </cell>
          <cell r="BJ492">
            <v>42.120000000000005</v>
          </cell>
          <cell r="BK492">
            <v>181.44</v>
          </cell>
          <cell r="BL492">
            <v>46.548000000000002</v>
          </cell>
          <cell r="BM492">
            <v>46.872</v>
          </cell>
          <cell r="BN492"/>
          <cell r="BO492">
            <v>181.87200000000001</v>
          </cell>
          <cell r="BP492"/>
          <cell r="BQ492"/>
          <cell r="BR492">
            <v>134.78</v>
          </cell>
          <cell r="BS492">
            <v>35.64</v>
          </cell>
          <cell r="BT492">
            <v>39.527999999999999</v>
          </cell>
          <cell r="BU492"/>
          <cell r="BV492"/>
          <cell r="BW492"/>
          <cell r="BX492">
            <v>7.5600000000000005</v>
          </cell>
          <cell r="BY492"/>
          <cell r="BZ492"/>
          <cell r="CA492"/>
          <cell r="CB492">
            <v>17.61</v>
          </cell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K492"/>
          <cell r="DL492"/>
          <cell r="DM492"/>
          <cell r="DN492"/>
          <cell r="DO492"/>
          <cell r="DP492"/>
          <cell r="DQ492"/>
          <cell r="DR492"/>
          <cell r="DS492"/>
          <cell r="DT492"/>
          <cell r="DU492"/>
          <cell r="DV492"/>
          <cell r="DW492"/>
          <cell r="DX492"/>
          <cell r="DY492"/>
          <cell r="DZ492"/>
          <cell r="EA492"/>
          <cell r="EB492"/>
          <cell r="EC492"/>
          <cell r="ED492"/>
          <cell r="EE492"/>
          <cell r="EF492"/>
          <cell r="EG492"/>
          <cell r="EH492"/>
          <cell r="EI492"/>
          <cell r="EJ492" t="str">
            <v>SIN USO</v>
          </cell>
          <cell r="EK492" t="str">
            <v>C</v>
          </cell>
          <cell r="EL492">
            <v>0</v>
          </cell>
          <cell r="EM492">
            <v>0</v>
          </cell>
          <cell r="EN492">
            <v>0</v>
          </cell>
          <cell r="EO492">
            <v>61.178027805344605</v>
          </cell>
          <cell r="EP492">
            <v>0</v>
          </cell>
          <cell r="EQ492">
            <v>0</v>
          </cell>
          <cell r="ER492">
            <v>0</v>
          </cell>
          <cell r="ES492">
            <v>0</v>
          </cell>
        </row>
        <row r="493">
          <cell r="F493">
            <v>405334</v>
          </cell>
          <cell r="G493" t="str">
            <v>OREO MEDIUM CRUMBS (TROZOS) BEZANILLA</v>
          </cell>
          <cell r="H493"/>
          <cell r="I493"/>
          <cell r="J493"/>
          <cell r="K493"/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>
            <v>8</v>
          </cell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>
            <v>36</v>
          </cell>
          <cell r="AR493">
            <v>48</v>
          </cell>
          <cell r="AS493">
            <v>16</v>
          </cell>
          <cell r="AT493">
            <v>56</v>
          </cell>
          <cell r="AU493">
            <v>252</v>
          </cell>
          <cell r="AV493">
            <v>80</v>
          </cell>
          <cell r="AW493">
            <v>220</v>
          </cell>
          <cell r="AX493">
            <v>188</v>
          </cell>
          <cell r="AY493">
            <v>216</v>
          </cell>
          <cell r="AZ493">
            <v>200</v>
          </cell>
          <cell r="BA493"/>
          <cell r="BB493"/>
          <cell r="BC493">
            <v>416</v>
          </cell>
          <cell r="BD493">
            <v>144</v>
          </cell>
          <cell r="BE493">
            <v>76</v>
          </cell>
          <cell r="BF493"/>
          <cell r="BG493"/>
          <cell r="BH493">
            <v>244</v>
          </cell>
          <cell r="BI493">
            <v>72</v>
          </cell>
          <cell r="BJ493">
            <v>72</v>
          </cell>
          <cell r="BK493">
            <v>372</v>
          </cell>
          <cell r="BL493">
            <v>192</v>
          </cell>
          <cell r="BM493">
            <v>72</v>
          </cell>
          <cell r="BN493"/>
          <cell r="BO493">
            <v>392</v>
          </cell>
          <cell r="BP493"/>
          <cell r="BQ493"/>
          <cell r="BR493">
            <v>100</v>
          </cell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K493"/>
          <cell r="DL493"/>
          <cell r="DM493"/>
          <cell r="DN493"/>
          <cell r="DO493"/>
          <cell r="DP493"/>
          <cell r="DQ493"/>
          <cell r="DR493"/>
          <cell r="DS493"/>
          <cell r="DT493"/>
          <cell r="DU493"/>
          <cell r="DV493"/>
          <cell r="DW493"/>
          <cell r="DX493"/>
          <cell r="DY493"/>
          <cell r="DZ493"/>
          <cell r="EA493"/>
          <cell r="EB493"/>
          <cell r="EC493"/>
          <cell r="ED493"/>
          <cell r="EE493"/>
          <cell r="EF493"/>
          <cell r="EG493"/>
          <cell r="EH493"/>
          <cell r="EI493"/>
          <cell r="EJ493" t="str">
            <v>SIN USO</v>
          </cell>
          <cell r="EK493" t="str">
            <v>C</v>
          </cell>
          <cell r="EL493">
            <v>0</v>
          </cell>
          <cell r="EM493">
            <v>0</v>
          </cell>
          <cell r="EN493">
            <v>0</v>
          </cell>
          <cell r="EO493">
            <v>134.54579677036153</v>
          </cell>
          <cell r="EP493">
            <v>0</v>
          </cell>
          <cell r="EQ493">
            <v>0</v>
          </cell>
          <cell r="ER493">
            <v>0</v>
          </cell>
          <cell r="ES493">
            <v>0</v>
          </cell>
        </row>
        <row r="494">
          <cell r="F494">
            <v>405507</v>
          </cell>
          <cell r="G494" t="str">
            <v>OREO MEDIUM CRUMBS (TROZOS) ALCA</v>
          </cell>
          <cell r="H494"/>
          <cell r="I494"/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>
            <v>64</v>
          </cell>
          <cell r="BS494">
            <v>60</v>
          </cell>
          <cell r="BT494">
            <v>684</v>
          </cell>
          <cell r="BU494">
            <v>4</v>
          </cell>
          <cell r="BV494"/>
          <cell r="BW494"/>
          <cell r="BX494">
            <v>188</v>
          </cell>
          <cell r="BY494"/>
          <cell r="BZ494"/>
          <cell r="CA494"/>
          <cell r="CB494">
            <v>156</v>
          </cell>
          <cell r="CC494">
            <v>288</v>
          </cell>
          <cell r="CD494">
            <v>52</v>
          </cell>
          <cell r="CE494">
            <v>224</v>
          </cell>
          <cell r="CF494"/>
          <cell r="CG494">
            <v>204</v>
          </cell>
          <cell r="CH494"/>
          <cell r="CI494"/>
          <cell r="CJ494">
            <v>164</v>
          </cell>
          <cell r="CK494"/>
          <cell r="CL494">
            <v>132</v>
          </cell>
          <cell r="CM494">
            <v>132</v>
          </cell>
          <cell r="CN494">
            <v>168</v>
          </cell>
          <cell r="CO494">
            <v>324</v>
          </cell>
          <cell r="CP494">
            <v>556</v>
          </cell>
          <cell r="CQ494"/>
          <cell r="CR494"/>
          <cell r="CS494"/>
          <cell r="CT494">
            <v>300</v>
          </cell>
          <cell r="CU494">
            <v>96</v>
          </cell>
          <cell r="CV494"/>
          <cell r="CW494">
            <v>392</v>
          </cell>
          <cell r="CX494">
            <v>88</v>
          </cell>
          <cell r="CY494">
            <v>88</v>
          </cell>
          <cell r="CZ494"/>
          <cell r="DA494">
            <v>232</v>
          </cell>
          <cell r="DB494"/>
          <cell r="DC494">
            <v>184</v>
          </cell>
          <cell r="DD494"/>
          <cell r="DE494">
            <v>100</v>
          </cell>
          <cell r="DF494">
            <v>200</v>
          </cell>
          <cell r="DG494"/>
          <cell r="DH494">
            <v>12</v>
          </cell>
          <cell r="DI494"/>
          <cell r="DJ494">
            <v>264</v>
          </cell>
          <cell r="DK494">
            <v>12</v>
          </cell>
          <cell r="DL494">
            <v>92</v>
          </cell>
          <cell r="DM494">
            <v>92</v>
          </cell>
          <cell r="DN494">
            <v>204</v>
          </cell>
          <cell r="DO494">
            <v>108</v>
          </cell>
          <cell r="DP494">
            <v>184</v>
          </cell>
          <cell r="DQ494">
            <v>276</v>
          </cell>
          <cell r="DR494">
            <v>144</v>
          </cell>
          <cell r="DS494">
            <v>334</v>
          </cell>
          <cell r="DT494"/>
          <cell r="DU494">
            <v>204</v>
          </cell>
          <cell r="DV494">
            <v>120</v>
          </cell>
          <cell r="DW494">
            <v>256</v>
          </cell>
          <cell r="DX494">
            <v>4</v>
          </cell>
          <cell r="DY494">
            <v>24</v>
          </cell>
          <cell r="DZ494"/>
          <cell r="EA494"/>
          <cell r="EB494">
            <v>248</v>
          </cell>
          <cell r="EC494">
            <v>108</v>
          </cell>
          <cell r="ED494">
            <v>228</v>
          </cell>
          <cell r="EE494">
            <v>104</v>
          </cell>
          <cell r="EF494">
            <v>124</v>
          </cell>
          <cell r="EG494">
            <v>264</v>
          </cell>
          <cell r="EH494">
            <v>184</v>
          </cell>
          <cell r="EI494">
            <v>25</v>
          </cell>
          <cell r="EJ494" t="str">
            <v>ACTIVO</v>
          </cell>
          <cell r="EK494" t="str">
            <v>B</v>
          </cell>
          <cell r="EL494" t="str">
            <v/>
          </cell>
          <cell r="EM494">
            <v>161.61904761904762</v>
          </cell>
          <cell r="EN494">
            <v>26.936507936507937</v>
          </cell>
          <cell r="EO494">
            <v>158.2038412448174</v>
          </cell>
          <cell r="EP494">
            <v>136.77199999999999</v>
          </cell>
          <cell r="EQ494">
            <v>726601.25</v>
          </cell>
          <cell r="ER494">
            <v>0.84626163818503231</v>
          </cell>
          <cell r="ES494">
            <v>80.80952380952381</v>
          </cell>
        </row>
        <row r="495">
          <cell r="F495">
            <v>405506</v>
          </cell>
          <cell r="G495" t="str">
            <v>GALLETA OREO REGULAR ALCA</v>
          </cell>
          <cell r="H495"/>
          <cell r="I495"/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>
            <v>162</v>
          </cell>
          <cell r="BU495">
            <v>0.54</v>
          </cell>
          <cell r="BV495"/>
          <cell r="BW495"/>
          <cell r="BX495">
            <v>100.44</v>
          </cell>
          <cell r="BY495"/>
          <cell r="BZ495"/>
          <cell r="CA495">
            <v>1.84</v>
          </cell>
          <cell r="CB495">
            <v>75.53</v>
          </cell>
          <cell r="CC495">
            <v>167.4</v>
          </cell>
          <cell r="CD495">
            <v>1.3</v>
          </cell>
          <cell r="CE495">
            <v>89.639999999999986</v>
          </cell>
          <cell r="CF495"/>
          <cell r="CG495">
            <v>84.895999999999987</v>
          </cell>
          <cell r="CH495"/>
          <cell r="CI495"/>
          <cell r="CJ495">
            <v>89.86</v>
          </cell>
          <cell r="CK495">
            <v>2.16</v>
          </cell>
          <cell r="CL495">
            <v>45.36</v>
          </cell>
          <cell r="CM495">
            <v>110.87</v>
          </cell>
          <cell r="CN495">
            <v>97.2</v>
          </cell>
          <cell r="CO495">
            <v>138.01</v>
          </cell>
          <cell r="CP495">
            <v>239.32999999999998</v>
          </cell>
          <cell r="CQ495"/>
          <cell r="CR495"/>
          <cell r="CS495">
            <v>0.22</v>
          </cell>
          <cell r="CT495">
            <v>113.4</v>
          </cell>
          <cell r="CU495">
            <v>56.7</v>
          </cell>
          <cell r="CV495">
            <v>0.432</v>
          </cell>
          <cell r="CW495">
            <v>117.07</v>
          </cell>
          <cell r="CX495">
            <v>54</v>
          </cell>
          <cell r="CY495">
            <v>63.72</v>
          </cell>
          <cell r="CZ495"/>
          <cell r="DA495">
            <v>78.3</v>
          </cell>
          <cell r="DB495"/>
          <cell r="DC495">
            <v>108</v>
          </cell>
          <cell r="DD495"/>
          <cell r="DE495"/>
          <cell r="DF495">
            <v>110</v>
          </cell>
          <cell r="DG495"/>
          <cell r="DH495"/>
          <cell r="DI495"/>
          <cell r="DJ495">
            <v>108</v>
          </cell>
          <cell r="DK495">
            <v>1.4</v>
          </cell>
          <cell r="DL495">
            <v>59.617999999999995</v>
          </cell>
          <cell r="DM495">
            <v>54.54</v>
          </cell>
          <cell r="DN495">
            <v>54.5</v>
          </cell>
          <cell r="DO495">
            <v>55.58</v>
          </cell>
          <cell r="DP495">
            <v>115.5</v>
          </cell>
          <cell r="DQ495">
            <v>109</v>
          </cell>
          <cell r="DR495">
            <v>27</v>
          </cell>
          <cell r="DS495">
            <v>114.51</v>
          </cell>
          <cell r="DT495"/>
          <cell r="DU495">
            <v>115.48</v>
          </cell>
          <cell r="DV495"/>
          <cell r="DW495">
            <v>109</v>
          </cell>
          <cell r="DX495"/>
          <cell r="DY495"/>
          <cell r="DZ495">
            <v>0.11</v>
          </cell>
          <cell r="EA495"/>
          <cell r="EB495">
            <v>100.98</v>
          </cell>
          <cell r="EC495">
            <v>6.48</v>
          </cell>
          <cell r="ED495">
            <v>113.39999999999999</v>
          </cell>
          <cell r="EE495">
            <v>20.204000000000001</v>
          </cell>
          <cell r="EF495">
            <v>74.26400000000001</v>
          </cell>
          <cell r="EG495">
            <v>115.48</v>
          </cell>
          <cell r="EH495">
            <v>87.48</v>
          </cell>
          <cell r="EI495">
            <v>14.176</v>
          </cell>
          <cell r="EJ495" t="str">
            <v>ACTIVO</v>
          </cell>
          <cell r="EK495" t="str">
            <v>C</v>
          </cell>
          <cell r="EL495" t="str">
            <v/>
          </cell>
          <cell r="EM495">
            <v>71.318210526315781</v>
          </cell>
          <cell r="EN495">
            <v>11.88636842105263</v>
          </cell>
          <cell r="EO495">
            <v>59.738120468437387</v>
          </cell>
          <cell r="EP495">
            <v>183.14</v>
          </cell>
          <cell r="EQ495">
            <v>960342.20640000002</v>
          </cell>
          <cell r="ER495">
            <v>2.5679275832702362</v>
          </cell>
          <cell r="ES495">
            <v>35.65910526315789</v>
          </cell>
        </row>
        <row r="496">
          <cell r="F496"/>
          <cell r="G496"/>
          <cell r="H496"/>
          <cell r="I496"/>
          <cell r="J496"/>
          <cell r="K496"/>
          <cell r="L496">
            <v>337.92</v>
          </cell>
          <cell r="M496"/>
          <cell r="N496"/>
          <cell r="O496"/>
          <cell r="P496"/>
          <cell r="Q496"/>
          <cell r="R496"/>
          <cell r="S496"/>
          <cell r="T496"/>
          <cell r="U496"/>
          <cell r="V496">
            <v>281.60000000000002</v>
          </cell>
          <cell r="W496"/>
          <cell r="X496">
            <v>337.92</v>
          </cell>
          <cell r="Y496"/>
          <cell r="Z496"/>
          <cell r="AA496"/>
          <cell r="AB496"/>
          <cell r="AC496"/>
          <cell r="AD496"/>
          <cell r="AE496"/>
          <cell r="AF496">
            <v>30.68</v>
          </cell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>
            <v>63</v>
          </cell>
          <cell r="AR496">
            <v>75</v>
          </cell>
          <cell r="AS496">
            <v>26.69228</v>
          </cell>
          <cell r="AT496">
            <v>94.664000000000001</v>
          </cell>
          <cell r="AU496">
            <v>449.35599999999999</v>
          </cell>
          <cell r="AV496">
            <v>80</v>
          </cell>
          <cell r="AW496">
            <v>326.92</v>
          </cell>
          <cell r="AX496">
            <v>223.64</v>
          </cell>
          <cell r="AY496">
            <v>287.27999999999997</v>
          </cell>
          <cell r="AZ496">
            <v>316.64</v>
          </cell>
          <cell r="BA496"/>
          <cell r="BB496"/>
          <cell r="BC496">
            <v>615.71600000000001</v>
          </cell>
          <cell r="BD496">
            <v>228.24</v>
          </cell>
          <cell r="BE496">
            <v>118.12</v>
          </cell>
          <cell r="BF496"/>
          <cell r="BG496"/>
          <cell r="BH496">
            <v>341.2</v>
          </cell>
          <cell r="BI496">
            <v>114.12</v>
          </cell>
          <cell r="BJ496">
            <v>114.12</v>
          </cell>
          <cell r="BK496">
            <v>553.44000000000005</v>
          </cell>
          <cell r="BL496">
            <v>238.548</v>
          </cell>
          <cell r="BM496">
            <v>118.872</v>
          </cell>
          <cell r="BN496"/>
          <cell r="BO496">
            <v>573.87200000000007</v>
          </cell>
          <cell r="BP496"/>
          <cell r="BQ496"/>
          <cell r="BR496">
            <v>298.77999999999997</v>
          </cell>
          <cell r="BS496">
            <v>95.64</v>
          </cell>
          <cell r="BT496">
            <v>885.52800000000002</v>
          </cell>
          <cell r="BU496">
            <v>4.54</v>
          </cell>
          <cell r="BV496"/>
          <cell r="BW496"/>
          <cell r="BX496">
            <v>296</v>
          </cell>
          <cell r="BY496"/>
          <cell r="BZ496"/>
          <cell r="CA496">
            <v>1.84</v>
          </cell>
          <cell r="CB496">
            <v>448.78</v>
          </cell>
          <cell r="CC496">
            <v>655.04</v>
          </cell>
          <cell r="CD496">
            <v>53.3</v>
          </cell>
          <cell r="CE496">
            <v>313.64</v>
          </cell>
          <cell r="CF496"/>
          <cell r="CG496">
            <v>288.89599999999996</v>
          </cell>
          <cell r="CH496"/>
          <cell r="CI496"/>
          <cell r="CJ496">
            <v>253.86</v>
          </cell>
          <cell r="CK496">
            <v>2.16</v>
          </cell>
          <cell r="CL496">
            <v>177.36</v>
          </cell>
          <cell r="CM496">
            <v>242.87</v>
          </cell>
          <cell r="CN496">
            <v>265.2</v>
          </cell>
          <cell r="CO496">
            <v>462.01</v>
          </cell>
          <cell r="CP496">
            <v>795.32999999999993</v>
          </cell>
          <cell r="CQ496"/>
          <cell r="CR496"/>
          <cell r="CS496">
            <v>0.22</v>
          </cell>
          <cell r="CT496">
            <v>413.4</v>
          </cell>
          <cell r="CU496">
            <v>152.69999999999999</v>
          </cell>
          <cell r="CV496">
            <v>0.432</v>
          </cell>
          <cell r="CW496">
            <v>509.07</v>
          </cell>
          <cell r="CX496">
            <v>142</v>
          </cell>
          <cell r="CY496">
            <v>170.51</v>
          </cell>
          <cell r="CZ496">
            <v>48.690000000000005</v>
          </cell>
          <cell r="DA496">
            <v>407.59999999999997</v>
          </cell>
          <cell r="DB496">
            <v>97.97999999999999</v>
          </cell>
          <cell r="DC496">
            <v>388.32</v>
          </cell>
          <cell r="DD496">
            <v>99.2</v>
          </cell>
          <cell r="DE496">
            <v>147.94</v>
          </cell>
          <cell r="DF496">
            <v>310</v>
          </cell>
          <cell r="DG496"/>
          <cell r="DH496">
            <v>35.94</v>
          </cell>
          <cell r="DI496"/>
          <cell r="DJ496">
            <v>444.24</v>
          </cell>
          <cell r="DK496">
            <v>61.419999999999995</v>
          </cell>
          <cell r="DL496">
            <v>229.59799999999998</v>
          </cell>
          <cell r="DM496">
            <v>247.05999999999997</v>
          </cell>
          <cell r="DN496">
            <v>331.44</v>
          </cell>
          <cell r="DO496">
            <v>212.57999999999998</v>
          </cell>
          <cell r="DP496">
            <v>348.5</v>
          </cell>
          <cell r="DQ496">
            <v>433.5</v>
          </cell>
          <cell r="DR496">
            <v>171</v>
          </cell>
          <cell r="DS496">
            <v>448.51</v>
          </cell>
          <cell r="DT496"/>
          <cell r="DU496">
            <v>319.48</v>
          </cell>
          <cell r="DV496">
            <v>120</v>
          </cell>
          <cell r="DW496">
            <v>365</v>
          </cell>
          <cell r="DX496">
            <v>4</v>
          </cell>
          <cell r="DY496">
            <v>24</v>
          </cell>
          <cell r="DZ496">
            <v>0.11</v>
          </cell>
          <cell r="EA496"/>
          <cell r="EB496">
            <v>348.98</v>
          </cell>
          <cell r="EC496">
            <v>114.48</v>
          </cell>
          <cell r="ED496">
            <v>341.4</v>
          </cell>
          <cell r="EE496">
            <v>124.20400000000001</v>
          </cell>
          <cell r="EF496">
            <v>198.26400000000001</v>
          </cell>
          <cell r="EG496">
            <v>379.48</v>
          </cell>
          <cell r="EH496">
            <v>271.48</v>
          </cell>
          <cell r="EI496">
            <v>39.176000000000002</v>
          </cell>
          <cell r="EJ496" t="str">
            <v>ACTIVO</v>
          </cell>
          <cell r="EK496" t="str">
            <v/>
          </cell>
          <cell r="EL496" t="str">
            <v/>
          </cell>
          <cell r="EM496">
            <v>239.4202727272727</v>
          </cell>
          <cell r="EN496">
            <v>39.903378787878786</v>
          </cell>
          <cell r="EO496">
            <v>220.72954788251727</v>
          </cell>
          <cell r="EP496">
            <v>0</v>
          </cell>
          <cell r="EQ496">
            <v>0</v>
          </cell>
          <cell r="ER496">
            <v>0</v>
          </cell>
          <cell r="ES496">
            <v>0</v>
          </cell>
        </row>
        <row r="497">
          <cell r="F497">
            <v>102103</v>
          </cell>
          <cell r="G497" t="str">
            <v>PROPIONATO DE SODIO WINKLER</v>
          </cell>
          <cell r="H497"/>
          <cell r="I497"/>
          <cell r="J497">
            <v>56</v>
          </cell>
          <cell r="K497"/>
          <cell r="L497">
            <v>56</v>
          </cell>
          <cell r="M497"/>
          <cell r="N497"/>
          <cell r="O497"/>
          <cell r="P497"/>
          <cell r="Q497"/>
          <cell r="R497">
            <v>56</v>
          </cell>
          <cell r="S497"/>
          <cell r="T497"/>
          <cell r="U497"/>
          <cell r="V497">
            <v>56</v>
          </cell>
          <cell r="W497"/>
          <cell r="X497"/>
          <cell r="Y497">
            <v>56</v>
          </cell>
          <cell r="Z497"/>
          <cell r="AA497"/>
          <cell r="AB497">
            <v>56</v>
          </cell>
          <cell r="AC497"/>
          <cell r="AD497"/>
          <cell r="AE497"/>
          <cell r="AF497">
            <v>70</v>
          </cell>
          <cell r="AG497"/>
          <cell r="AH497">
            <v>14</v>
          </cell>
          <cell r="AI497">
            <v>70</v>
          </cell>
          <cell r="AJ497"/>
          <cell r="AK497"/>
          <cell r="AL497"/>
          <cell r="AM497"/>
          <cell r="AN497">
            <v>56</v>
          </cell>
          <cell r="AO497"/>
          <cell r="AP497"/>
          <cell r="AQ497">
            <v>70</v>
          </cell>
          <cell r="AR497"/>
          <cell r="AS497"/>
          <cell r="AT497"/>
          <cell r="AU497">
            <v>56</v>
          </cell>
          <cell r="AV497"/>
          <cell r="AW497"/>
          <cell r="AX497"/>
          <cell r="AY497"/>
          <cell r="AZ497"/>
          <cell r="BA497">
            <v>56</v>
          </cell>
          <cell r="BB497"/>
          <cell r="BC497">
            <v>70</v>
          </cell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K497"/>
          <cell r="DL497"/>
          <cell r="DM497"/>
          <cell r="DN497"/>
          <cell r="DO497"/>
          <cell r="DP497"/>
          <cell r="DQ497"/>
          <cell r="DR497">
            <v>56</v>
          </cell>
          <cell r="DS497"/>
          <cell r="DT497"/>
          <cell r="DU497"/>
          <cell r="DV497"/>
          <cell r="DW497">
            <v>56</v>
          </cell>
          <cell r="DX497">
            <v>14</v>
          </cell>
          <cell r="DY497"/>
          <cell r="DZ497"/>
          <cell r="EA497"/>
          <cell r="EB497"/>
          <cell r="EC497"/>
          <cell r="ED497"/>
          <cell r="EE497"/>
          <cell r="EF497"/>
          <cell r="EG497"/>
          <cell r="EH497">
            <v>70</v>
          </cell>
          <cell r="EI497"/>
          <cell r="EJ497" t="str">
            <v>SIN USO</v>
          </cell>
          <cell r="EK497" t="str">
            <v/>
          </cell>
          <cell r="EL497">
            <v>0</v>
          </cell>
          <cell r="EM497">
            <v>42</v>
          </cell>
          <cell r="EN497">
            <v>7</v>
          </cell>
          <cell r="EO497">
            <v>0</v>
          </cell>
          <cell r="EP497">
            <v>0</v>
          </cell>
          <cell r="EQ497">
            <v>0</v>
          </cell>
          <cell r="ER497">
            <v>0</v>
          </cell>
          <cell r="ES497">
            <v>21</v>
          </cell>
        </row>
        <row r="498">
          <cell r="F498">
            <v>403269</v>
          </cell>
          <cell r="G498" t="str">
            <v>PROPIONATO DE CALCIO 14 KG WINKLER</v>
          </cell>
          <cell r="H498"/>
          <cell r="I498"/>
          <cell r="J498"/>
          <cell r="K498"/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>
            <v>56</v>
          </cell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>
            <v>56</v>
          </cell>
          <cell r="BX498"/>
          <cell r="BY498"/>
          <cell r="BZ498"/>
          <cell r="CA498">
            <v>56</v>
          </cell>
          <cell r="CB498"/>
          <cell r="CC498">
            <v>0</v>
          </cell>
          <cell r="CD498">
            <v>14</v>
          </cell>
          <cell r="CE498">
            <v>56</v>
          </cell>
          <cell r="CF498"/>
          <cell r="CG498"/>
          <cell r="CH498">
            <v>42</v>
          </cell>
          <cell r="CI498"/>
          <cell r="CJ498"/>
          <cell r="CK498"/>
          <cell r="CL498">
            <v>56</v>
          </cell>
          <cell r="CM498"/>
          <cell r="CN498">
            <v>56</v>
          </cell>
          <cell r="CO498"/>
          <cell r="CP498"/>
          <cell r="CQ498"/>
          <cell r="CR498">
            <v>56</v>
          </cell>
          <cell r="CS498"/>
          <cell r="CT498"/>
          <cell r="CU498"/>
          <cell r="CV498"/>
          <cell r="CW498">
            <v>56</v>
          </cell>
          <cell r="CX498"/>
          <cell r="CY498"/>
          <cell r="CZ498">
            <v>56</v>
          </cell>
          <cell r="DA498"/>
          <cell r="DB498"/>
          <cell r="DC498"/>
          <cell r="DD498">
            <v>56</v>
          </cell>
          <cell r="DE498"/>
          <cell r="DF498"/>
          <cell r="DG498"/>
          <cell r="DH498">
            <v>56</v>
          </cell>
          <cell r="DI498"/>
          <cell r="DJ498"/>
          <cell r="DK498"/>
          <cell r="DL498"/>
          <cell r="DM498">
            <v>42</v>
          </cell>
          <cell r="DN498">
            <v>28</v>
          </cell>
          <cell r="DO498">
            <v>56</v>
          </cell>
          <cell r="DP498"/>
          <cell r="DQ498"/>
          <cell r="DR498"/>
          <cell r="DS498"/>
          <cell r="DT498"/>
          <cell r="DU498"/>
          <cell r="DV498"/>
          <cell r="DW498"/>
          <cell r="DX498"/>
          <cell r="DY498">
            <v>70</v>
          </cell>
          <cell r="DZ498">
            <v>42</v>
          </cell>
          <cell r="EA498"/>
          <cell r="EB498"/>
          <cell r="EC498">
            <v>56</v>
          </cell>
          <cell r="ED498"/>
          <cell r="EE498"/>
          <cell r="EF498"/>
          <cell r="EG498"/>
          <cell r="EH498"/>
          <cell r="EI498"/>
          <cell r="EJ498" t="str">
            <v>SIN USO</v>
          </cell>
          <cell r="EK498" t="str">
            <v>C</v>
          </cell>
          <cell r="EL498" t="str">
            <v/>
          </cell>
          <cell r="EM498">
            <v>49</v>
          </cell>
          <cell r="EN498">
            <v>8.1666666666666661</v>
          </cell>
          <cell r="EO498">
            <v>17.974340685458344</v>
          </cell>
          <cell r="EP498">
            <v>0</v>
          </cell>
          <cell r="EQ498">
            <v>0</v>
          </cell>
          <cell r="ER498">
            <v>0</v>
          </cell>
          <cell r="ES498">
            <v>24.5</v>
          </cell>
        </row>
        <row r="499">
          <cell r="F499">
            <v>405504</v>
          </cell>
          <cell r="G499" t="str">
            <v>PROPIONATO DE CALCIO ALCHEM</v>
          </cell>
          <cell r="H499"/>
          <cell r="I499"/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>
            <v>50</v>
          </cell>
          <cell r="BO499"/>
          <cell r="BP499">
            <v>50</v>
          </cell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K499"/>
          <cell r="DL499"/>
          <cell r="DM499"/>
          <cell r="DN499"/>
          <cell r="DO499"/>
          <cell r="DP499"/>
          <cell r="DQ499"/>
          <cell r="DR499"/>
          <cell r="DS499"/>
          <cell r="DT499"/>
          <cell r="DU499"/>
          <cell r="DV499"/>
          <cell r="DW499"/>
          <cell r="DX499"/>
          <cell r="DY499"/>
          <cell r="DZ499"/>
          <cell r="EA499"/>
          <cell r="EB499"/>
          <cell r="EC499"/>
          <cell r="ED499"/>
          <cell r="EE499"/>
          <cell r="EF499"/>
          <cell r="EG499"/>
          <cell r="EH499"/>
          <cell r="EI499"/>
          <cell r="EJ499" t="str">
            <v>SIN USO</v>
          </cell>
          <cell r="EK499" t="str">
            <v>C</v>
          </cell>
          <cell r="EL499" t="str">
            <v/>
          </cell>
          <cell r="EM499">
            <v>0</v>
          </cell>
          <cell r="EN499">
            <v>0</v>
          </cell>
          <cell r="EO499">
            <v>0</v>
          </cell>
          <cell r="EP499">
            <v>0</v>
          </cell>
          <cell r="EQ499">
            <v>0</v>
          </cell>
          <cell r="ER499">
            <v>0</v>
          </cell>
          <cell r="ES499">
            <v>0</v>
          </cell>
        </row>
        <row r="500">
          <cell r="F500"/>
          <cell r="G500"/>
          <cell r="H500"/>
          <cell r="I500"/>
          <cell r="J500">
            <v>56</v>
          </cell>
          <cell r="K500"/>
          <cell r="L500">
            <v>56</v>
          </cell>
          <cell r="M500"/>
          <cell r="N500"/>
          <cell r="O500"/>
          <cell r="P500"/>
          <cell r="Q500"/>
          <cell r="R500">
            <v>56</v>
          </cell>
          <cell r="S500"/>
          <cell r="T500"/>
          <cell r="U500"/>
          <cell r="V500">
            <v>56</v>
          </cell>
          <cell r="W500"/>
          <cell r="X500"/>
          <cell r="Y500">
            <v>56</v>
          </cell>
          <cell r="Z500"/>
          <cell r="AA500"/>
          <cell r="AB500">
            <v>56</v>
          </cell>
          <cell r="AC500"/>
          <cell r="AD500"/>
          <cell r="AE500"/>
          <cell r="AF500">
            <v>70</v>
          </cell>
          <cell r="AG500"/>
          <cell r="AH500">
            <v>14</v>
          </cell>
          <cell r="AI500">
            <v>70</v>
          </cell>
          <cell r="AJ500"/>
          <cell r="AK500"/>
          <cell r="AL500"/>
          <cell r="AM500"/>
          <cell r="AN500">
            <v>56</v>
          </cell>
          <cell r="AO500"/>
          <cell r="AP500"/>
          <cell r="AQ500">
            <v>70</v>
          </cell>
          <cell r="AR500"/>
          <cell r="AS500"/>
          <cell r="AT500"/>
          <cell r="AU500">
            <v>56</v>
          </cell>
          <cell r="AV500"/>
          <cell r="AW500"/>
          <cell r="AX500"/>
          <cell r="AY500"/>
          <cell r="AZ500"/>
          <cell r="BA500">
            <v>56</v>
          </cell>
          <cell r="BB500"/>
          <cell r="BC500">
            <v>70</v>
          </cell>
          <cell r="BD500"/>
          <cell r="BE500"/>
          <cell r="BF500"/>
          <cell r="BG500"/>
          <cell r="BH500"/>
          <cell r="BI500"/>
          <cell r="BJ500">
            <v>56</v>
          </cell>
          <cell r="BK500"/>
          <cell r="BL500"/>
          <cell r="BM500"/>
          <cell r="BN500">
            <v>50</v>
          </cell>
          <cell r="BO500"/>
          <cell r="BP500">
            <v>50</v>
          </cell>
          <cell r="BQ500"/>
          <cell r="BR500"/>
          <cell r="BS500"/>
          <cell r="BT500"/>
          <cell r="BU500"/>
          <cell r="BV500"/>
          <cell r="BW500">
            <v>56</v>
          </cell>
          <cell r="BX500"/>
          <cell r="BY500"/>
          <cell r="BZ500"/>
          <cell r="CA500">
            <v>56</v>
          </cell>
          <cell r="CB500"/>
          <cell r="CC500">
            <v>0</v>
          </cell>
          <cell r="CD500">
            <v>14</v>
          </cell>
          <cell r="CE500">
            <v>56</v>
          </cell>
          <cell r="CF500"/>
          <cell r="CG500"/>
          <cell r="CH500">
            <v>42</v>
          </cell>
          <cell r="CI500"/>
          <cell r="CJ500"/>
          <cell r="CK500"/>
          <cell r="CL500">
            <v>56</v>
          </cell>
          <cell r="CM500"/>
          <cell r="CN500">
            <v>56</v>
          </cell>
          <cell r="CO500"/>
          <cell r="CP500"/>
          <cell r="CQ500"/>
          <cell r="CR500">
            <v>56</v>
          </cell>
          <cell r="CS500"/>
          <cell r="CT500"/>
          <cell r="CU500"/>
          <cell r="CV500"/>
          <cell r="CW500">
            <v>56</v>
          </cell>
          <cell r="CX500"/>
          <cell r="CY500"/>
          <cell r="CZ500">
            <v>56</v>
          </cell>
          <cell r="DA500"/>
          <cell r="DB500"/>
          <cell r="DC500"/>
          <cell r="DD500">
            <v>56</v>
          </cell>
          <cell r="DE500"/>
          <cell r="DF500"/>
          <cell r="DG500"/>
          <cell r="DH500">
            <v>56</v>
          </cell>
          <cell r="DI500"/>
          <cell r="DJ500"/>
          <cell r="DK500"/>
          <cell r="DL500"/>
          <cell r="DM500">
            <v>42</v>
          </cell>
          <cell r="DN500">
            <v>28</v>
          </cell>
          <cell r="DO500">
            <v>56</v>
          </cell>
          <cell r="DP500"/>
          <cell r="DQ500"/>
          <cell r="DR500">
            <v>56</v>
          </cell>
          <cell r="DS500"/>
          <cell r="DT500"/>
          <cell r="DU500"/>
          <cell r="DV500"/>
          <cell r="DW500">
            <v>56</v>
          </cell>
          <cell r="DX500">
            <v>14</v>
          </cell>
          <cell r="DY500">
            <v>70</v>
          </cell>
          <cell r="DZ500">
            <v>42</v>
          </cell>
          <cell r="EA500"/>
          <cell r="EB500"/>
          <cell r="EC500">
            <v>56</v>
          </cell>
          <cell r="ED500"/>
          <cell r="EE500"/>
          <cell r="EF500"/>
          <cell r="EG500"/>
          <cell r="EH500">
            <v>70</v>
          </cell>
          <cell r="EI500"/>
          <cell r="EJ500" t="str">
            <v>ACTIVO</v>
          </cell>
          <cell r="EK500" t="str">
            <v/>
          </cell>
          <cell r="EL500" t="str">
            <v/>
          </cell>
          <cell r="EM500">
            <v>46.666666666666664</v>
          </cell>
          <cell r="EN500">
            <v>7.7777777777777777</v>
          </cell>
          <cell r="EO500">
            <v>16.747139059154751</v>
          </cell>
          <cell r="EP500">
            <v>0</v>
          </cell>
          <cell r="EQ500">
            <v>0</v>
          </cell>
          <cell r="ER500">
            <v>0</v>
          </cell>
          <cell r="ES500">
            <v>0</v>
          </cell>
        </row>
        <row r="501">
          <cell r="F501" t="str">
            <v>403355</v>
          </cell>
          <cell r="G501" t="str">
            <v>COGÑAC TRES PALOS DE 1LT</v>
          </cell>
          <cell r="H501">
            <v>10</v>
          </cell>
          <cell r="I501">
            <v>20</v>
          </cell>
          <cell r="J501">
            <v>13</v>
          </cell>
          <cell r="K501">
            <v>25</v>
          </cell>
          <cell r="L501">
            <v>15</v>
          </cell>
          <cell r="M501">
            <v>19</v>
          </cell>
          <cell r="N501">
            <v>22</v>
          </cell>
          <cell r="O501">
            <v>27</v>
          </cell>
          <cell r="P501">
            <v>14</v>
          </cell>
          <cell r="Q501">
            <v>21</v>
          </cell>
          <cell r="R501">
            <v>29</v>
          </cell>
          <cell r="S501">
            <v>8</v>
          </cell>
          <cell r="T501">
            <v>14</v>
          </cell>
          <cell r="U501">
            <v>15</v>
          </cell>
          <cell r="V501">
            <v>29</v>
          </cell>
          <cell r="W501">
            <v>12</v>
          </cell>
          <cell r="X501">
            <v>21</v>
          </cell>
          <cell r="Y501">
            <v>11</v>
          </cell>
          <cell r="Z501">
            <v>6</v>
          </cell>
          <cell r="AA501">
            <v>19</v>
          </cell>
          <cell r="AB501">
            <v>19</v>
          </cell>
          <cell r="AC501">
            <v>18</v>
          </cell>
          <cell r="AD501">
            <v>25</v>
          </cell>
          <cell r="AE501">
            <v>17</v>
          </cell>
          <cell r="AF501">
            <v>14</v>
          </cell>
          <cell r="AG501">
            <v>20</v>
          </cell>
          <cell r="AH501">
            <v>18</v>
          </cell>
          <cell r="AI501">
            <v>26</v>
          </cell>
          <cell r="AJ501">
            <v>5</v>
          </cell>
          <cell r="AK501">
            <v>31</v>
          </cell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>
            <v>33</v>
          </cell>
          <cell r="BP501">
            <v>15</v>
          </cell>
          <cell r="BQ501">
            <v>9</v>
          </cell>
          <cell r="BR501">
            <v>2</v>
          </cell>
          <cell r="BS501"/>
          <cell r="BT501"/>
          <cell r="BU501">
            <v>5</v>
          </cell>
          <cell r="BV501">
            <v>3</v>
          </cell>
          <cell r="BW501">
            <v>18</v>
          </cell>
          <cell r="BX501">
            <v>16</v>
          </cell>
          <cell r="BY501">
            <v>10</v>
          </cell>
          <cell r="BZ501">
            <v>11</v>
          </cell>
          <cell r="CA501">
            <v>21</v>
          </cell>
          <cell r="CB501"/>
          <cell r="CC501">
            <v>6</v>
          </cell>
          <cell r="CD501">
            <v>17</v>
          </cell>
          <cell r="CE501"/>
          <cell r="CF501">
            <v>24</v>
          </cell>
          <cell r="CG501"/>
          <cell r="CH501">
            <v>16</v>
          </cell>
          <cell r="CI501"/>
          <cell r="CJ501"/>
          <cell r="CK501">
            <v>6</v>
          </cell>
          <cell r="CL501"/>
          <cell r="CM501">
            <v>17</v>
          </cell>
          <cell r="CN501">
            <v>6</v>
          </cell>
          <cell r="CO501">
            <v>15</v>
          </cell>
          <cell r="CP501"/>
          <cell r="CQ501">
            <v>29</v>
          </cell>
          <cell r="CR501"/>
          <cell r="CS501">
            <v>12</v>
          </cell>
          <cell r="CT501">
            <v>16</v>
          </cell>
          <cell r="CU501">
            <v>12</v>
          </cell>
          <cell r="CV501"/>
          <cell r="CW501">
            <v>10</v>
          </cell>
          <cell r="CX501">
            <v>15</v>
          </cell>
          <cell r="CY501">
            <v>10</v>
          </cell>
          <cell r="CZ501"/>
          <cell r="DA501"/>
          <cell r="DB501">
            <v>22</v>
          </cell>
          <cell r="DC501"/>
          <cell r="DD501"/>
          <cell r="DE501"/>
          <cell r="DF501">
            <v>10</v>
          </cell>
          <cell r="DG501"/>
          <cell r="DH501"/>
          <cell r="DI501"/>
          <cell r="DJ501"/>
          <cell r="DK501">
            <v>8</v>
          </cell>
          <cell r="DL501"/>
          <cell r="DM501">
            <v>15</v>
          </cell>
          <cell r="DN501">
            <v>6</v>
          </cell>
          <cell r="DO501">
            <v>12</v>
          </cell>
          <cell r="DP501">
            <v>4</v>
          </cell>
          <cell r="DQ501"/>
          <cell r="DR501">
            <v>12</v>
          </cell>
          <cell r="DS501">
            <v>10</v>
          </cell>
          <cell r="DT501">
            <v>16</v>
          </cell>
          <cell r="DU501">
            <v>6</v>
          </cell>
          <cell r="DV501">
            <v>5</v>
          </cell>
          <cell r="DW501">
            <v>6</v>
          </cell>
          <cell r="DX501">
            <v>24</v>
          </cell>
          <cell r="DY501">
            <v>19</v>
          </cell>
          <cell r="DZ501">
            <v>7</v>
          </cell>
          <cell r="EA501">
            <v>8</v>
          </cell>
          <cell r="EB501">
            <v>25</v>
          </cell>
          <cell r="EC501">
            <v>5</v>
          </cell>
          <cell r="ED501">
            <v>12</v>
          </cell>
          <cell r="EE501">
            <v>11</v>
          </cell>
          <cell r="EF501">
            <v>28</v>
          </cell>
          <cell r="EG501">
            <v>40</v>
          </cell>
          <cell r="EH501">
            <v>8</v>
          </cell>
          <cell r="EI501">
            <v>5</v>
          </cell>
          <cell r="EJ501" t="str">
            <v>ACTIVO</v>
          </cell>
          <cell r="EK501" t="str">
            <v>C</v>
          </cell>
          <cell r="EL501" t="str">
            <v/>
          </cell>
          <cell r="EM501">
            <v>13.285714285714286</v>
          </cell>
          <cell r="EN501">
            <v>2.2142857142857144</v>
          </cell>
          <cell r="EO501">
            <v>7.4304535670199972</v>
          </cell>
          <cell r="EP501">
            <v>61.9</v>
          </cell>
          <cell r="EQ501">
            <v>122311.30499999999</v>
          </cell>
          <cell r="ER501">
            <v>4.6591397849462366</v>
          </cell>
          <cell r="ES501">
            <v>0</v>
          </cell>
        </row>
        <row r="502">
          <cell r="F502">
            <v>107239</v>
          </cell>
          <cell r="G502" t="str">
            <v>COGÑAC TILICURA</v>
          </cell>
          <cell r="H502">
            <v>2</v>
          </cell>
          <cell r="I502"/>
          <cell r="J502"/>
          <cell r="K502"/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>
            <v>12</v>
          </cell>
          <cell r="AK502"/>
          <cell r="AL502">
            <v>20</v>
          </cell>
          <cell r="AM502">
            <v>15</v>
          </cell>
          <cell r="AN502">
            <v>16</v>
          </cell>
          <cell r="AO502">
            <v>22</v>
          </cell>
          <cell r="AP502">
            <v>15</v>
          </cell>
          <cell r="AQ502">
            <v>23</v>
          </cell>
          <cell r="AR502">
            <v>19</v>
          </cell>
          <cell r="AS502">
            <v>2</v>
          </cell>
          <cell r="AT502">
            <v>17</v>
          </cell>
          <cell r="AU502">
            <v>16</v>
          </cell>
          <cell r="AV502">
            <v>15</v>
          </cell>
          <cell r="AW502">
            <v>43</v>
          </cell>
          <cell r="AX502">
            <v>11</v>
          </cell>
          <cell r="AY502">
            <v>10</v>
          </cell>
          <cell r="AZ502">
            <v>24</v>
          </cell>
          <cell r="BA502">
            <v>17</v>
          </cell>
          <cell r="BB502">
            <v>26</v>
          </cell>
          <cell r="BC502">
            <v>10</v>
          </cell>
          <cell r="BD502">
            <v>28</v>
          </cell>
          <cell r="BE502">
            <v>22</v>
          </cell>
          <cell r="BF502">
            <v>17.369999999999997</v>
          </cell>
          <cell r="BG502">
            <v>26</v>
          </cell>
          <cell r="BH502">
            <v>5</v>
          </cell>
          <cell r="BI502">
            <v>11</v>
          </cell>
          <cell r="BJ502">
            <v>12</v>
          </cell>
          <cell r="BK502">
            <v>25</v>
          </cell>
          <cell r="BL502">
            <v>16</v>
          </cell>
          <cell r="BM502">
            <v>25</v>
          </cell>
          <cell r="BN502">
            <v>12</v>
          </cell>
          <cell r="BO502"/>
          <cell r="BP502"/>
          <cell r="BQ502"/>
          <cell r="BR502">
            <v>12</v>
          </cell>
          <cell r="BS502">
            <v>26</v>
          </cell>
          <cell r="BT502"/>
          <cell r="BU502">
            <v>11</v>
          </cell>
          <cell r="BV502">
            <v>15</v>
          </cell>
          <cell r="BW502"/>
          <cell r="BX502"/>
          <cell r="BY502"/>
          <cell r="BZ502"/>
          <cell r="CA502"/>
          <cell r="CB502"/>
          <cell r="CC502"/>
          <cell r="CD502">
            <v>3</v>
          </cell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K502"/>
          <cell r="DL502"/>
          <cell r="DM502"/>
          <cell r="DN502"/>
          <cell r="DO502"/>
          <cell r="DP502"/>
          <cell r="DQ502"/>
          <cell r="DR502"/>
          <cell r="DS502"/>
          <cell r="DT502"/>
          <cell r="DU502"/>
          <cell r="DV502"/>
          <cell r="DW502"/>
          <cell r="DX502"/>
          <cell r="DY502"/>
          <cell r="DZ502"/>
          <cell r="EA502"/>
          <cell r="EB502"/>
          <cell r="EC502"/>
          <cell r="ED502"/>
          <cell r="EE502"/>
          <cell r="EF502"/>
          <cell r="EG502"/>
          <cell r="EH502"/>
          <cell r="EI502"/>
          <cell r="EJ502" t="str">
            <v>ACTIVO</v>
          </cell>
          <cell r="EK502" t="str">
            <v>C</v>
          </cell>
          <cell r="EL502">
            <v>72</v>
          </cell>
          <cell r="EM502">
            <v>0</v>
          </cell>
          <cell r="EN502">
            <v>0</v>
          </cell>
          <cell r="EO502">
            <v>7.5131198377884054</v>
          </cell>
          <cell r="EP502">
            <v>0</v>
          </cell>
          <cell r="EQ502">
            <v>0</v>
          </cell>
          <cell r="ER502">
            <v>0</v>
          </cell>
          <cell r="ES502">
            <v>0</v>
          </cell>
        </row>
        <row r="503">
          <cell r="F503">
            <v>107176</v>
          </cell>
          <cell r="G503" t="str">
            <v>RON TILICURA</v>
          </cell>
          <cell r="H503"/>
          <cell r="I503"/>
          <cell r="J503"/>
          <cell r="K503"/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>
            <v>36</v>
          </cell>
          <cell r="BC503"/>
          <cell r="BD503"/>
          <cell r="BE503"/>
          <cell r="BF503">
            <v>18</v>
          </cell>
          <cell r="BG503"/>
          <cell r="BH503"/>
          <cell r="BI503"/>
          <cell r="BJ503"/>
          <cell r="BK503"/>
          <cell r="BL503">
            <v>12</v>
          </cell>
          <cell r="BM503">
            <v>12</v>
          </cell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K503"/>
          <cell r="DL503"/>
          <cell r="DM503"/>
          <cell r="DN503"/>
          <cell r="DO503"/>
          <cell r="DP503"/>
          <cell r="DQ503"/>
          <cell r="DR503"/>
          <cell r="DS503"/>
          <cell r="DT503"/>
          <cell r="DU503"/>
          <cell r="DV503"/>
          <cell r="DW503"/>
          <cell r="DX503"/>
          <cell r="DY503"/>
          <cell r="DZ503"/>
          <cell r="EA503"/>
          <cell r="EB503"/>
          <cell r="EC503"/>
          <cell r="ED503"/>
          <cell r="EE503"/>
          <cell r="EF503"/>
          <cell r="EG503"/>
          <cell r="EH503"/>
          <cell r="EI503"/>
          <cell r="EJ503" t="str">
            <v>SIN USO</v>
          </cell>
          <cell r="EK503" t="str">
            <v>C</v>
          </cell>
          <cell r="EL503" t="str">
            <v/>
          </cell>
          <cell r="EM503">
            <v>0</v>
          </cell>
          <cell r="EN503">
            <v>0</v>
          </cell>
          <cell r="EO503">
            <v>0</v>
          </cell>
          <cell r="EP503">
            <v>0</v>
          </cell>
          <cell r="EQ503">
            <v>0</v>
          </cell>
          <cell r="ER503">
            <v>0</v>
          </cell>
          <cell r="ES503">
            <v>0</v>
          </cell>
        </row>
        <row r="504">
          <cell r="F504">
            <v>170174</v>
          </cell>
          <cell r="G504" t="str">
            <v>RON DORADO</v>
          </cell>
          <cell r="H504"/>
          <cell r="I504"/>
          <cell r="J504"/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>
            <v>24</v>
          </cell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K504"/>
          <cell r="DL504"/>
          <cell r="DM504"/>
          <cell r="DN504"/>
          <cell r="DO504"/>
          <cell r="DP504"/>
          <cell r="DQ504"/>
          <cell r="DR504"/>
          <cell r="DS504"/>
          <cell r="DT504"/>
          <cell r="DU504"/>
          <cell r="DV504"/>
          <cell r="DW504"/>
          <cell r="DX504"/>
          <cell r="DY504"/>
          <cell r="DZ504"/>
          <cell r="EA504"/>
          <cell r="EB504"/>
          <cell r="EC504"/>
          <cell r="ED504"/>
          <cell r="EE504"/>
          <cell r="EF504"/>
          <cell r="EG504"/>
          <cell r="EH504"/>
          <cell r="EI504"/>
          <cell r="EJ504" t="str">
            <v>SIN USO</v>
          </cell>
          <cell r="EK504" t="str">
            <v>C</v>
          </cell>
          <cell r="EL504" t="str">
            <v/>
          </cell>
          <cell r="EM504">
            <v>0</v>
          </cell>
          <cell r="EN504">
            <v>0</v>
          </cell>
          <cell r="EO504">
            <v>0</v>
          </cell>
          <cell r="EP504">
            <v>0</v>
          </cell>
          <cell r="EQ504">
            <v>0</v>
          </cell>
          <cell r="ER504">
            <v>0</v>
          </cell>
          <cell r="ES504">
            <v>0</v>
          </cell>
        </row>
        <row r="505">
          <cell r="F505"/>
          <cell r="G505"/>
          <cell r="H505">
            <v>12</v>
          </cell>
          <cell r="I505">
            <v>20</v>
          </cell>
          <cell r="J505">
            <v>13</v>
          </cell>
          <cell r="K505">
            <v>25</v>
          </cell>
          <cell r="L505">
            <v>15</v>
          </cell>
          <cell r="M505">
            <v>19</v>
          </cell>
          <cell r="N505">
            <v>22</v>
          </cell>
          <cell r="O505">
            <v>27</v>
          </cell>
          <cell r="P505">
            <v>14</v>
          </cell>
          <cell r="Q505">
            <v>21</v>
          </cell>
          <cell r="R505">
            <v>29</v>
          </cell>
          <cell r="S505">
            <v>8</v>
          </cell>
          <cell r="T505">
            <v>14</v>
          </cell>
          <cell r="U505">
            <v>15</v>
          </cell>
          <cell r="V505">
            <v>29</v>
          </cell>
          <cell r="W505">
            <v>12</v>
          </cell>
          <cell r="X505">
            <v>21</v>
          </cell>
          <cell r="Y505">
            <v>11</v>
          </cell>
          <cell r="Z505">
            <v>6</v>
          </cell>
          <cell r="AA505">
            <v>19</v>
          </cell>
          <cell r="AB505">
            <v>19</v>
          </cell>
          <cell r="AC505">
            <v>18</v>
          </cell>
          <cell r="AD505">
            <v>25</v>
          </cell>
          <cell r="AE505">
            <v>17</v>
          </cell>
          <cell r="AF505">
            <v>14</v>
          </cell>
          <cell r="AG505">
            <v>20</v>
          </cell>
          <cell r="AH505">
            <v>18</v>
          </cell>
          <cell r="AI505">
            <v>26</v>
          </cell>
          <cell r="AJ505">
            <v>17</v>
          </cell>
          <cell r="AK505">
            <v>31</v>
          </cell>
          <cell r="AL505">
            <v>20</v>
          </cell>
          <cell r="AM505">
            <v>15</v>
          </cell>
          <cell r="AN505">
            <v>16</v>
          </cell>
          <cell r="AO505">
            <v>22</v>
          </cell>
          <cell r="AP505">
            <v>15</v>
          </cell>
          <cell r="AQ505">
            <v>23</v>
          </cell>
          <cell r="AR505">
            <v>19</v>
          </cell>
          <cell r="AS505">
            <v>2</v>
          </cell>
          <cell r="AT505">
            <v>17</v>
          </cell>
          <cell r="AU505">
            <v>16</v>
          </cell>
          <cell r="AV505">
            <v>15</v>
          </cell>
          <cell r="AW505">
            <v>43</v>
          </cell>
          <cell r="AX505">
            <v>11</v>
          </cell>
          <cell r="AY505">
            <v>10</v>
          </cell>
          <cell r="AZ505">
            <v>24</v>
          </cell>
          <cell r="BA505">
            <v>17</v>
          </cell>
          <cell r="BB505">
            <v>62</v>
          </cell>
          <cell r="BC505">
            <v>10</v>
          </cell>
          <cell r="BD505">
            <v>28</v>
          </cell>
          <cell r="BE505">
            <v>22</v>
          </cell>
          <cell r="BF505">
            <v>35.369999999999997</v>
          </cell>
          <cell r="BG505">
            <v>26</v>
          </cell>
          <cell r="BH505">
            <v>5</v>
          </cell>
          <cell r="BI505">
            <v>11</v>
          </cell>
          <cell r="BJ505">
            <v>12</v>
          </cell>
          <cell r="BK505">
            <v>25</v>
          </cell>
          <cell r="BL505">
            <v>28</v>
          </cell>
          <cell r="BM505">
            <v>37</v>
          </cell>
          <cell r="BN505">
            <v>12</v>
          </cell>
          <cell r="BO505">
            <v>33</v>
          </cell>
          <cell r="BP505">
            <v>15</v>
          </cell>
          <cell r="BQ505">
            <v>9</v>
          </cell>
          <cell r="BR505">
            <v>14</v>
          </cell>
          <cell r="BS505">
            <v>26</v>
          </cell>
          <cell r="BT505"/>
          <cell r="BU505">
            <v>16</v>
          </cell>
          <cell r="BV505">
            <v>18</v>
          </cell>
          <cell r="BW505">
            <v>18</v>
          </cell>
          <cell r="BX505">
            <v>40</v>
          </cell>
          <cell r="BY505">
            <v>10</v>
          </cell>
          <cell r="BZ505">
            <v>11</v>
          </cell>
          <cell r="CA505">
            <v>21</v>
          </cell>
          <cell r="CB505"/>
          <cell r="CC505">
            <v>6</v>
          </cell>
          <cell r="CD505">
            <v>20</v>
          </cell>
          <cell r="CE505"/>
          <cell r="CF505">
            <v>24</v>
          </cell>
          <cell r="CG505"/>
          <cell r="CH505">
            <v>16</v>
          </cell>
          <cell r="CI505"/>
          <cell r="CJ505"/>
          <cell r="CK505">
            <v>6</v>
          </cell>
          <cell r="CL505"/>
          <cell r="CM505">
            <v>17</v>
          </cell>
          <cell r="CN505">
            <v>6</v>
          </cell>
          <cell r="CO505">
            <v>15</v>
          </cell>
          <cell r="CP505"/>
          <cell r="CQ505">
            <v>29</v>
          </cell>
          <cell r="CR505"/>
          <cell r="CS505">
            <v>12</v>
          </cell>
          <cell r="CT505">
            <v>16</v>
          </cell>
          <cell r="CU505">
            <v>12</v>
          </cell>
          <cell r="CV505"/>
          <cell r="CW505">
            <v>10</v>
          </cell>
          <cell r="CX505">
            <v>15</v>
          </cell>
          <cell r="CY505">
            <v>10</v>
          </cell>
          <cell r="CZ505"/>
          <cell r="DA505"/>
          <cell r="DB505">
            <v>22</v>
          </cell>
          <cell r="DC505"/>
          <cell r="DD505"/>
          <cell r="DE505"/>
          <cell r="DF505">
            <v>10</v>
          </cell>
          <cell r="DG505"/>
          <cell r="DH505"/>
          <cell r="DI505"/>
          <cell r="DJ505"/>
          <cell r="DK505">
            <v>8</v>
          </cell>
          <cell r="DL505"/>
          <cell r="DM505">
            <v>15</v>
          </cell>
          <cell r="DN505">
            <v>6</v>
          </cell>
          <cell r="DO505">
            <v>12</v>
          </cell>
          <cell r="DP505">
            <v>4</v>
          </cell>
          <cell r="DQ505"/>
          <cell r="DR505">
            <v>12</v>
          </cell>
          <cell r="DS505">
            <v>10</v>
          </cell>
          <cell r="DT505">
            <v>16</v>
          </cell>
          <cell r="DU505">
            <v>6</v>
          </cell>
          <cell r="DV505">
            <v>5</v>
          </cell>
          <cell r="DW505">
            <v>6</v>
          </cell>
          <cell r="DX505">
            <v>24</v>
          </cell>
          <cell r="DY505">
            <v>19</v>
          </cell>
          <cell r="DZ505">
            <v>7</v>
          </cell>
          <cell r="EA505">
            <v>8</v>
          </cell>
          <cell r="EB505">
            <v>25</v>
          </cell>
          <cell r="EC505">
            <v>5</v>
          </cell>
          <cell r="ED505">
            <v>12</v>
          </cell>
          <cell r="EE505">
            <v>11</v>
          </cell>
          <cell r="EF505">
            <v>28</v>
          </cell>
          <cell r="EG505">
            <v>40</v>
          </cell>
          <cell r="EH505">
            <v>8</v>
          </cell>
          <cell r="EI505">
            <v>5</v>
          </cell>
          <cell r="EJ505" t="str">
            <v>ACTIVO</v>
          </cell>
          <cell r="EK505" t="str">
            <v/>
          </cell>
          <cell r="EL505" t="str">
            <v/>
          </cell>
          <cell r="EM505">
            <v>13.285714285714286</v>
          </cell>
          <cell r="EN505">
            <v>2.2142857142857144</v>
          </cell>
          <cell r="EO505">
            <v>8.7150207860674254</v>
          </cell>
          <cell r="EP505">
            <v>0</v>
          </cell>
          <cell r="EQ505">
            <v>0</v>
          </cell>
          <cell r="ER505">
            <v>0</v>
          </cell>
          <cell r="ES505">
            <v>0</v>
          </cell>
        </row>
        <row r="506">
          <cell r="F506">
            <v>405407</v>
          </cell>
          <cell r="G506" t="str">
            <v>CARAT NUXEL HAZELNUT</v>
          </cell>
          <cell r="H506"/>
          <cell r="I506"/>
          <cell r="J506"/>
          <cell r="K506"/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>
            <v>100</v>
          </cell>
          <cell r="BE506"/>
          <cell r="BF506"/>
          <cell r="BG506"/>
          <cell r="BH506"/>
          <cell r="BI506"/>
          <cell r="BJ506">
            <v>40</v>
          </cell>
          <cell r="BK506"/>
          <cell r="BL506"/>
          <cell r="BM506"/>
          <cell r="BN506"/>
          <cell r="BO506">
            <v>15</v>
          </cell>
          <cell r="BP506"/>
          <cell r="BQ506">
            <v>25</v>
          </cell>
          <cell r="BR506"/>
          <cell r="BS506"/>
          <cell r="BT506">
            <v>15</v>
          </cell>
          <cell r="BU506">
            <v>15</v>
          </cell>
          <cell r="BV506"/>
          <cell r="BW506">
            <v>35</v>
          </cell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K506"/>
          <cell r="DL506"/>
          <cell r="DM506"/>
          <cell r="DN506"/>
          <cell r="DO506"/>
          <cell r="DP506"/>
          <cell r="DQ506"/>
          <cell r="DR506"/>
          <cell r="DS506"/>
          <cell r="DT506"/>
          <cell r="DU506"/>
          <cell r="DV506"/>
          <cell r="DW506"/>
          <cell r="DX506"/>
          <cell r="DY506"/>
          <cell r="DZ506"/>
          <cell r="EA506"/>
          <cell r="EB506"/>
          <cell r="EC506"/>
          <cell r="ED506"/>
          <cell r="EE506"/>
          <cell r="EF506"/>
          <cell r="EG506"/>
          <cell r="EH506"/>
          <cell r="EI506"/>
          <cell r="EJ506" t="str">
            <v>SIN USO</v>
          </cell>
          <cell r="EK506" t="str">
            <v>C</v>
          </cell>
          <cell r="EL506" t="str">
            <v/>
          </cell>
          <cell r="EM506">
            <v>0</v>
          </cell>
          <cell r="EN506">
            <v>0</v>
          </cell>
          <cell r="EO506">
            <v>11.143009766964521</v>
          </cell>
          <cell r="EP506">
            <v>0</v>
          </cell>
          <cell r="EQ506">
            <v>0</v>
          </cell>
          <cell r="ER506">
            <v>0</v>
          </cell>
          <cell r="ES506">
            <v>0</v>
          </cell>
        </row>
        <row r="507">
          <cell r="F507">
            <v>405406</v>
          </cell>
          <cell r="G507" t="str">
            <v>PRALINE ALM-AVELL 50% PURATOS</v>
          </cell>
          <cell r="H507">
            <v>45</v>
          </cell>
          <cell r="I507"/>
          <cell r="J507"/>
          <cell r="K507"/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>
            <v>130</v>
          </cell>
          <cell r="BA507"/>
          <cell r="BB507"/>
          <cell r="BC507"/>
          <cell r="BD507"/>
          <cell r="BE507"/>
          <cell r="BF507">
            <v>50</v>
          </cell>
          <cell r="BG507"/>
          <cell r="BH507"/>
          <cell r="BI507"/>
          <cell r="BJ507">
            <v>45</v>
          </cell>
          <cell r="BK507"/>
          <cell r="BL507"/>
          <cell r="BM507"/>
          <cell r="BN507">
            <v>130</v>
          </cell>
          <cell r="BO507">
            <v>30</v>
          </cell>
          <cell r="BP507"/>
          <cell r="BQ507"/>
          <cell r="BR507"/>
          <cell r="BS507"/>
          <cell r="BT507"/>
          <cell r="BU507">
            <v>50</v>
          </cell>
          <cell r="BV507">
            <v>40</v>
          </cell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K507"/>
          <cell r="DL507"/>
          <cell r="DM507"/>
          <cell r="DN507"/>
          <cell r="DO507"/>
          <cell r="DP507"/>
          <cell r="DQ507"/>
          <cell r="DR507"/>
          <cell r="DS507"/>
          <cell r="DT507"/>
          <cell r="DU507"/>
          <cell r="DV507"/>
          <cell r="DW507"/>
          <cell r="DX507"/>
          <cell r="DY507"/>
          <cell r="DZ507"/>
          <cell r="EA507"/>
          <cell r="EB507"/>
          <cell r="EC507"/>
          <cell r="ED507"/>
          <cell r="EE507"/>
          <cell r="EF507"/>
          <cell r="EG507"/>
          <cell r="EH507"/>
          <cell r="EI507"/>
          <cell r="EJ507" t="str">
            <v>SIN USO</v>
          </cell>
          <cell r="EK507" t="str">
            <v>C</v>
          </cell>
          <cell r="EL507">
            <v>0</v>
          </cell>
          <cell r="EM507">
            <v>0</v>
          </cell>
          <cell r="EN507">
            <v>0</v>
          </cell>
          <cell r="EO507">
            <v>40.373258476372698</v>
          </cell>
          <cell r="EP507">
            <v>0</v>
          </cell>
          <cell r="EQ507">
            <v>0</v>
          </cell>
          <cell r="ER507">
            <v>0</v>
          </cell>
          <cell r="ES507">
            <v>0</v>
          </cell>
        </row>
        <row r="508">
          <cell r="F508">
            <v>405405</v>
          </cell>
          <cell r="G508" t="str">
            <v>PF PRALICRAC CARAM. PURATOS</v>
          </cell>
          <cell r="H508"/>
          <cell r="I508"/>
          <cell r="J508"/>
          <cell r="K508"/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>
            <v>99</v>
          </cell>
          <cell r="BE508"/>
          <cell r="BF508"/>
          <cell r="BG508"/>
          <cell r="BH508"/>
          <cell r="BI508"/>
          <cell r="BJ508">
            <v>36</v>
          </cell>
          <cell r="BK508"/>
          <cell r="BL508"/>
          <cell r="BM508"/>
          <cell r="BN508"/>
          <cell r="BO508">
            <v>27</v>
          </cell>
          <cell r="BP508"/>
          <cell r="BQ508"/>
          <cell r="BR508"/>
          <cell r="BS508"/>
          <cell r="BT508">
            <v>13.5</v>
          </cell>
          <cell r="BU508"/>
          <cell r="BV508"/>
          <cell r="BW508">
            <v>31.5</v>
          </cell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K508"/>
          <cell r="DL508"/>
          <cell r="DM508"/>
          <cell r="DN508"/>
          <cell r="DO508"/>
          <cell r="DP508"/>
          <cell r="DQ508"/>
          <cell r="DR508"/>
          <cell r="DS508"/>
          <cell r="DT508"/>
          <cell r="DU508"/>
          <cell r="DV508"/>
          <cell r="DW508"/>
          <cell r="DX508"/>
          <cell r="DY508"/>
          <cell r="DZ508"/>
          <cell r="EA508"/>
          <cell r="EB508"/>
          <cell r="EC508"/>
          <cell r="ED508"/>
          <cell r="EE508"/>
          <cell r="EF508"/>
          <cell r="EG508"/>
          <cell r="EH508"/>
          <cell r="EI508"/>
          <cell r="EJ508" t="str">
            <v>SIN USO</v>
          </cell>
          <cell r="EK508" t="str">
            <v>C</v>
          </cell>
          <cell r="EL508" t="str">
            <v/>
          </cell>
          <cell r="EM508">
            <v>0</v>
          </cell>
          <cell r="EN508">
            <v>0</v>
          </cell>
          <cell r="EO508">
            <v>9.7211110476117906</v>
          </cell>
          <cell r="EP508">
            <v>0</v>
          </cell>
          <cell r="EQ508">
            <v>0</v>
          </cell>
          <cell r="ER508">
            <v>0</v>
          </cell>
          <cell r="ES508">
            <v>0</v>
          </cell>
        </row>
        <row r="509">
          <cell r="F509"/>
          <cell r="G509"/>
          <cell r="H509">
            <v>45</v>
          </cell>
          <cell r="I509"/>
          <cell r="J509"/>
          <cell r="K509"/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>
            <v>130</v>
          </cell>
          <cell r="BA509"/>
          <cell r="BB509"/>
          <cell r="BC509"/>
          <cell r="BD509">
            <v>199</v>
          </cell>
          <cell r="BE509"/>
          <cell r="BF509">
            <v>50</v>
          </cell>
          <cell r="BG509"/>
          <cell r="BH509"/>
          <cell r="BI509"/>
          <cell r="BJ509">
            <v>121</v>
          </cell>
          <cell r="BK509"/>
          <cell r="BL509"/>
          <cell r="BM509"/>
          <cell r="BN509">
            <v>130</v>
          </cell>
          <cell r="BO509">
            <v>72</v>
          </cell>
          <cell r="BP509"/>
          <cell r="BQ509">
            <v>25</v>
          </cell>
          <cell r="BR509"/>
          <cell r="BS509"/>
          <cell r="BT509">
            <v>28.5</v>
          </cell>
          <cell r="BU509">
            <v>65</v>
          </cell>
          <cell r="BV509">
            <v>40</v>
          </cell>
          <cell r="BW509">
            <v>66.5</v>
          </cell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K509"/>
          <cell r="DL509"/>
          <cell r="DM509"/>
          <cell r="DN509"/>
          <cell r="DO509"/>
          <cell r="DP509"/>
          <cell r="DQ509"/>
          <cell r="DR509"/>
          <cell r="DS509"/>
          <cell r="DT509"/>
          <cell r="DU509"/>
          <cell r="DV509"/>
          <cell r="DW509"/>
          <cell r="DX509"/>
          <cell r="DY509"/>
          <cell r="DZ509"/>
          <cell r="EA509"/>
          <cell r="EB509"/>
          <cell r="EC509"/>
          <cell r="ED509"/>
          <cell r="EE509"/>
          <cell r="EF509"/>
          <cell r="EG509"/>
          <cell r="EH509"/>
          <cell r="EI509"/>
          <cell r="EJ509" t="str">
            <v>ACTIVO</v>
          </cell>
          <cell r="EK509" t="str">
            <v/>
          </cell>
          <cell r="EL509" t="str">
            <v/>
          </cell>
          <cell r="EM509">
            <v>0</v>
          </cell>
          <cell r="EN509">
            <v>0</v>
          </cell>
          <cell r="EO509">
            <v>39.409027247211121</v>
          </cell>
          <cell r="EP509">
            <v>0</v>
          </cell>
          <cell r="EQ509">
            <v>0</v>
          </cell>
          <cell r="ER509">
            <v>0</v>
          </cell>
          <cell r="ES509">
            <v>0</v>
          </cell>
        </row>
        <row r="510">
          <cell r="F510">
            <v>402122</v>
          </cell>
          <cell r="G510" t="str">
            <v>COLORANTE FRAMBUESA QU-867 FLORAMATIC</v>
          </cell>
          <cell r="H510"/>
          <cell r="I510"/>
          <cell r="J510"/>
          <cell r="K510"/>
          <cell r="L510"/>
          <cell r="M510"/>
          <cell r="N510"/>
          <cell r="O510">
            <v>10</v>
          </cell>
          <cell r="P510"/>
          <cell r="Q510"/>
          <cell r="R510"/>
          <cell r="S510"/>
          <cell r="T510"/>
          <cell r="U510"/>
          <cell r="V510">
            <v>20</v>
          </cell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K510"/>
          <cell r="DL510"/>
          <cell r="DM510"/>
          <cell r="DN510"/>
          <cell r="DO510"/>
          <cell r="DP510"/>
          <cell r="DQ510"/>
          <cell r="DR510"/>
          <cell r="DS510"/>
          <cell r="DT510"/>
          <cell r="DU510"/>
          <cell r="DV510"/>
          <cell r="DW510"/>
          <cell r="DX510"/>
          <cell r="DY510"/>
          <cell r="DZ510"/>
          <cell r="EA510"/>
          <cell r="EB510"/>
          <cell r="EC510"/>
          <cell r="ED510"/>
          <cell r="EE510"/>
          <cell r="EF510"/>
          <cell r="EG510"/>
          <cell r="EH510"/>
          <cell r="EI510"/>
          <cell r="EJ510" t="str">
            <v>SIN USO</v>
          </cell>
          <cell r="EK510" t="str">
            <v>C</v>
          </cell>
          <cell r="EL510">
            <v>300</v>
          </cell>
          <cell r="EM510">
            <v>0</v>
          </cell>
          <cell r="EN510">
            <v>0</v>
          </cell>
          <cell r="EO510">
            <v>0</v>
          </cell>
          <cell r="EP510">
            <v>0</v>
          </cell>
          <cell r="EQ510">
            <v>0</v>
          </cell>
          <cell r="ER510">
            <v>0</v>
          </cell>
          <cell r="ES510">
            <v>0</v>
          </cell>
        </row>
        <row r="511">
          <cell r="F511">
            <v>405427</v>
          </cell>
          <cell r="G511" t="str">
            <v>COLORANTE ARTIFICIAL AMARILLO DUAS RODAS</v>
          </cell>
          <cell r="H511"/>
          <cell r="I511"/>
          <cell r="J511"/>
          <cell r="K511"/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>
            <v>5</v>
          </cell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>
            <v>5</v>
          </cell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K511"/>
          <cell r="DL511"/>
          <cell r="DM511"/>
          <cell r="DN511"/>
          <cell r="DO511"/>
          <cell r="DP511"/>
          <cell r="DQ511"/>
          <cell r="DR511"/>
          <cell r="DS511"/>
          <cell r="DT511"/>
          <cell r="DU511"/>
          <cell r="DV511"/>
          <cell r="DW511"/>
          <cell r="DX511"/>
          <cell r="DY511"/>
          <cell r="DZ511"/>
          <cell r="EA511"/>
          <cell r="EB511"/>
          <cell r="EC511"/>
          <cell r="ED511"/>
          <cell r="EE511"/>
          <cell r="EF511"/>
          <cell r="EG511"/>
          <cell r="EH511"/>
          <cell r="EI511"/>
          <cell r="EJ511" t="str">
            <v>SIN USO</v>
          </cell>
          <cell r="EK511" t="str">
            <v>C</v>
          </cell>
          <cell r="EL511" t="str">
            <v/>
          </cell>
          <cell r="EM511">
            <v>0</v>
          </cell>
          <cell r="EN511">
            <v>0</v>
          </cell>
          <cell r="EO511">
            <v>0</v>
          </cell>
          <cell r="EP511">
            <v>5</v>
          </cell>
          <cell r="EQ511">
            <v>44489</v>
          </cell>
          <cell r="ER511">
            <v>0</v>
          </cell>
          <cell r="ES511">
            <v>0</v>
          </cell>
        </row>
        <row r="512">
          <cell r="F512"/>
          <cell r="G512"/>
          <cell r="H512"/>
          <cell r="I512"/>
          <cell r="J512"/>
          <cell r="K512"/>
          <cell r="L512"/>
          <cell r="M512"/>
          <cell r="N512"/>
          <cell r="O512">
            <v>10</v>
          </cell>
          <cell r="P512"/>
          <cell r="Q512"/>
          <cell r="R512"/>
          <cell r="S512"/>
          <cell r="T512"/>
          <cell r="U512"/>
          <cell r="V512">
            <v>20</v>
          </cell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>
            <v>5</v>
          </cell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>
            <v>5</v>
          </cell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K512"/>
          <cell r="DL512"/>
          <cell r="DM512"/>
          <cell r="DN512"/>
          <cell r="DO512"/>
          <cell r="DP512"/>
          <cell r="DQ512"/>
          <cell r="DR512"/>
          <cell r="DS512"/>
          <cell r="DT512"/>
          <cell r="DU512"/>
          <cell r="DV512"/>
          <cell r="DW512"/>
          <cell r="DX512"/>
          <cell r="DY512"/>
          <cell r="DZ512"/>
          <cell r="EA512"/>
          <cell r="EB512"/>
          <cell r="EC512"/>
          <cell r="ED512"/>
          <cell r="EE512"/>
          <cell r="EF512"/>
          <cell r="EG512"/>
          <cell r="EH512"/>
          <cell r="EI512"/>
        </row>
        <row r="513">
          <cell r="F513">
            <v>405812</v>
          </cell>
          <cell r="G513" t="str">
            <v>DISCO DE PAPEL KRAFT 100GR 28 CM PAPELERA</v>
          </cell>
          <cell r="H513"/>
          <cell r="I513"/>
          <cell r="J513"/>
          <cell r="K513"/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K513"/>
          <cell r="DL513"/>
          <cell r="DM513"/>
          <cell r="DN513"/>
          <cell r="DO513"/>
          <cell r="DP513"/>
          <cell r="DQ513"/>
          <cell r="DR513"/>
          <cell r="DS513"/>
          <cell r="DT513"/>
          <cell r="DU513"/>
          <cell r="DV513"/>
          <cell r="DW513"/>
          <cell r="DX513"/>
          <cell r="DY513"/>
          <cell r="DZ513"/>
          <cell r="EA513"/>
          <cell r="EB513"/>
          <cell r="EC513"/>
          <cell r="ED513"/>
          <cell r="EE513"/>
          <cell r="EF513"/>
          <cell r="EG513"/>
          <cell r="EH513"/>
          <cell r="EI513">
            <v>10000</v>
          </cell>
        </row>
        <row r="514">
          <cell r="F514"/>
          <cell r="G514"/>
          <cell r="H514"/>
          <cell r="I514"/>
          <cell r="J514"/>
          <cell r="K514"/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K514"/>
          <cell r="DL514"/>
          <cell r="DM514"/>
          <cell r="DN514"/>
          <cell r="DO514"/>
          <cell r="DP514"/>
          <cell r="DQ514"/>
          <cell r="DR514"/>
          <cell r="DS514"/>
          <cell r="DT514"/>
          <cell r="DU514"/>
          <cell r="DV514"/>
          <cell r="DW514"/>
          <cell r="DX514"/>
          <cell r="DY514"/>
          <cell r="DZ514"/>
          <cell r="EA514"/>
          <cell r="EB514"/>
          <cell r="EC514"/>
          <cell r="ED514"/>
          <cell r="EE514"/>
          <cell r="EF514"/>
          <cell r="EG514"/>
          <cell r="EH514"/>
          <cell r="EI514">
            <v>10000</v>
          </cell>
        </row>
        <row r="515">
          <cell r="F515"/>
          <cell r="G515"/>
          <cell r="H515"/>
          <cell r="I515"/>
          <cell r="J515"/>
          <cell r="K515"/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K515"/>
          <cell r="DL515"/>
          <cell r="DM515"/>
          <cell r="DN515"/>
          <cell r="DO515"/>
          <cell r="DP515"/>
          <cell r="DQ515"/>
          <cell r="DR515"/>
          <cell r="DS515"/>
          <cell r="DT515"/>
          <cell r="DU515"/>
          <cell r="DV515"/>
          <cell r="DW515"/>
          <cell r="DX515"/>
          <cell r="DY515"/>
          <cell r="DZ515"/>
          <cell r="EA515"/>
          <cell r="EB515"/>
          <cell r="EC515"/>
          <cell r="ED515"/>
          <cell r="EE515"/>
          <cell r="EF515"/>
          <cell r="EG515"/>
          <cell r="EH515"/>
          <cell r="EI515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umo SEMANAL PV "/>
      <sheetName val="RECETAS"/>
      <sheetName val="PEDIR"/>
      <sheetName val="CONSUMO DIA PV"/>
      <sheetName val="Stock Bodegas"/>
      <sheetName val="Base Transferencia"/>
      <sheetName val="CONSUMO $"/>
      <sheetName val="Base Stock"/>
      <sheetName val="Calendario"/>
      <sheetName val="Base Categoria"/>
      <sheetName val="lef time"/>
      <sheetName val="NO ACTIVOS "/>
      <sheetName val="PROVEEDOR"/>
      <sheetName val="DN PEDIDOS"/>
      <sheetName val="DN LLEGO"/>
      <sheetName val="POR LLEGAR"/>
      <sheetName val="PEDIDOS"/>
      <sheetName val="DN CONSUMOS"/>
      <sheetName val="CONSUMOS"/>
      <sheetName val="Hoja1"/>
      <sheetName val="Hoja2"/>
    </sheetNames>
    <sheetDataSet>
      <sheetData sheetId="0">
        <row r="1">
          <cell r="B1" t="str">
            <v>PUERTO VESPUCIO</v>
          </cell>
          <cell r="C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I1"/>
          <cell r="BJ1"/>
          <cell r="BK1"/>
          <cell r="BL1"/>
          <cell r="BM1"/>
          <cell r="BN1"/>
          <cell r="BO1"/>
          <cell r="BP1"/>
          <cell r="BQ1"/>
          <cell r="BR1"/>
          <cell r="BS1"/>
          <cell r="BT1"/>
          <cell r="BU1"/>
          <cell r="BV1"/>
          <cell r="BW1"/>
          <cell r="BX1"/>
          <cell r="BY1"/>
          <cell r="BZ1"/>
          <cell r="CA1"/>
          <cell r="CB1"/>
          <cell r="CC1"/>
          <cell r="CD1"/>
          <cell r="CE1"/>
          <cell r="CF1"/>
          <cell r="CG1"/>
          <cell r="CH1"/>
          <cell r="CI1"/>
          <cell r="CJ1"/>
          <cell r="CK1"/>
          <cell r="CL1"/>
          <cell r="CM1"/>
          <cell r="CN1"/>
          <cell r="CO1"/>
          <cell r="CP1"/>
          <cell r="CQ1"/>
          <cell r="CR1"/>
          <cell r="CS1"/>
          <cell r="CT1"/>
          <cell r="CU1"/>
          <cell r="CV1"/>
          <cell r="CW1"/>
          <cell r="CX1"/>
          <cell r="CY1"/>
          <cell r="CZ1"/>
          <cell r="DA1"/>
          <cell r="DB1"/>
          <cell r="DC1"/>
          <cell r="DD1"/>
          <cell r="DE1"/>
          <cell r="DF1"/>
          <cell r="DG1"/>
          <cell r="DH1"/>
          <cell r="DM1"/>
          <cell r="DN1"/>
        </row>
        <row r="2">
          <cell r="B2" t="str">
            <v>(Todas)</v>
          </cell>
          <cell r="DN2"/>
          <cell r="DO2" t="str">
            <v xml:space="preserve"> </v>
          </cell>
        </row>
        <row r="3">
          <cell r="B3" t="str">
            <v>(Todas)</v>
          </cell>
          <cell r="DN3"/>
        </row>
        <row r="4">
          <cell r="B4" t="str">
            <v>(Todas)</v>
          </cell>
          <cell r="DN4"/>
          <cell r="DO4"/>
        </row>
        <row r="5">
          <cell r="B5" t="str">
            <v>(Todas)</v>
          </cell>
          <cell r="DN5"/>
        </row>
        <row r="6">
          <cell r="B6" t="str">
            <v>(Todas)</v>
          </cell>
          <cell r="DN6"/>
        </row>
        <row r="7">
          <cell r="B7" t="str">
            <v>(Todas)</v>
          </cell>
          <cell r="C7"/>
          <cell r="DN7"/>
        </row>
        <row r="8">
          <cell r="B8"/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DN8"/>
        </row>
        <row r="9">
          <cell r="B9"/>
          <cell r="C9"/>
          <cell r="D9" t="str">
            <v>año</v>
          </cell>
          <cell r="E9" t="str">
            <v>Semana</v>
          </cell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R9"/>
          <cell r="AS9"/>
          <cell r="AT9"/>
          <cell r="AU9"/>
          <cell r="AV9"/>
          <cell r="AW9"/>
          <cell r="AX9"/>
          <cell r="AY9"/>
          <cell r="AZ9"/>
          <cell r="BA9"/>
          <cell r="BB9"/>
          <cell r="BC9"/>
          <cell r="BD9"/>
          <cell r="BE9"/>
          <cell r="BF9"/>
          <cell r="BG9"/>
          <cell r="BH9"/>
          <cell r="BI9"/>
          <cell r="BJ9"/>
          <cell r="BK9"/>
          <cell r="BL9"/>
          <cell r="BM9"/>
          <cell r="BN9"/>
          <cell r="BO9"/>
          <cell r="BP9"/>
          <cell r="BQ9"/>
          <cell r="BR9"/>
          <cell r="BS9"/>
          <cell r="BT9"/>
          <cell r="BU9"/>
          <cell r="BV9"/>
          <cell r="BW9"/>
          <cell r="BX9"/>
          <cell r="BY9"/>
          <cell r="BZ9"/>
          <cell r="CA9"/>
          <cell r="CB9"/>
          <cell r="CC9"/>
          <cell r="CD9"/>
          <cell r="CE9"/>
          <cell r="CF9"/>
          <cell r="CG9"/>
          <cell r="CH9"/>
          <cell r="CI9"/>
          <cell r="CJ9"/>
          <cell r="CK9"/>
          <cell r="CL9"/>
          <cell r="CM9"/>
          <cell r="CN9"/>
          <cell r="CO9"/>
          <cell r="CP9"/>
          <cell r="CQ9"/>
          <cell r="CR9"/>
          <cell r="CS9"/>
          <cell r="CT9"/>
          <cell r="CU9"/>
          <cell r="CV9"/>
          <cell r="CW9"/>
          <cell r="CX9"/>
          <cell r="CY9"/>
          <cell r="CZ9"/>
          <cell r="DA9"/>
          <cell r="DB9"/>
          <cell r="DC9"/>
          <cell r="DD9"/>
          <cell r="DE9"/>
          <cell r="DF9"/>
          <cell r="DG9"/>
          <cell r="DH9"/>
          <cell r="DI9"/>
          <cell r="DJ9"/>
          <cell r="DK9"/>
          <cell r="DL9"/>
          <cell r="DM9"/>
          <cell r="DN9"/>
          <cell r="DO9"/>
          <cell r="DQ9"/>
        </row>
        <row r="10">
          <cell r="B10"/>
          <cell r="C10"/>
          <cell r="D10" t="str">
            <v>2024</v>
          </cell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 t="str">
            <v>2025</v>
          </cell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/>
          <cell r="BI10"/>
          <cell r="BJ10"/>
          <cell r="BK10"/>
          <cell r="BL10"/>
          <cell r="BM10"/>
          <cell r="BN10"/>
          <cell r="BO10"/>
          <cell r="BP10"/>
          <cell r="BQ10"/>
          <cell r="BR10"/>
          <cell r="BS10"/>
          <cell r="BT10"/>
          <cell r="BU10"/>
          <cell r="BV10"/>
          <cell r="BW10"/>
          <cell r="BX10"/>
          <cell r="BY10"/>
          <cell r="BZ10"/>
          <cell r="CA10"/>
          <cell r="CB10"/>
          <cell r="CC10"/>
          <cell r="CD10"/>
          <cell r="CE10"/>
          <cell r="CF10" t="str">
            <v>2026</v>
          </cell>
          <cell r="CG10"/>
          <cell r="CH10"/>
          <cell r="CI10"/>
          <cell r="CJ10"/>
          <cell r="CK10"/>
          <cell r="CL10"/>
          <cell r="CM10"/>
          <cell r="CN10"/>
          <cell r="CO10"/>
          <cell r="CP10"/>
          <cell r="CQ10"/>
          <cell r="CR10"/>
          <cell r="CS10"/>
          <cell r="CT10"/>
          <cell r="CU10"/>
          <cell r="CV10"/>
          <cell r="CW10"/>
          <cell r="CX10"/>
          <cell r="CY10"/>
          <cell r="CZ10"/>
          <cell r="DA10"/>
          <cell r="DB10"/>
          <cell r="DC10"/>
          <cell r="DD10"/>
          <cell r="DE10"/>
          <cell r="DF10"/>
          <cell r="DG10"/>
          <cell r="DH10"/>
          <cell r="DI10"/>
          <cell r="DJ10"/>
          <cell r="DK10"/>
          <cell r="DL10"/>
          <cell r="DM10"/>
          <cell r="DP10"/>
        </row>
        <row r="11">
          <cell r="B11" t="str">
            <v xml:space="preserve">artículo  </v>
          </cell>
          <cell r="C11" t="str">
            <v>Descripción artículo/serv.</v>
          </cell>
          <cell r="D11">
            <v>27</v>
          </cell>
          <cell r="E11">
            <v>28</v>
          </cell>
          <cell r="F11">
            <v>29</v>
          </cell>
          <cell r="G11">
            <v>30</v>
          </cell>
          <cell r="H11">
            <v>31</v>
          </cell>
          <cell r="I11">
            <v>32</v>
          </cell>
          <cell r="J11">
            <v>33</v>
          </cell>
          <cell r="K11">
            <v>34</v>
          </cell>
          <cell r="L11">
            <v>35</v>
          </cell>
          <cell r="M11">
            <v>36</v>
          </cell>
          <cell r="N11">
            <v>37</v>
          </cell>
          <cell r="O11">
            <v>38</v>
          </cell>
          <cell r="P11">
            <v>39</v>
          </cell>
          <cell r="Q11">
            <v>40</v>
          </cell>
          <cell r="R11">
            <v>41</v>
          </cell>
          <cell r="S11">
            <v>42</v>
          </cell>
          <cell r="T11">
            <v>43</v>
          </cell>
          <cell r="U11">
            <v>44</v>
          </cell>
          <cell r="V11">
            <v>45</v>
          </cell>
          <cell r="W11">
            <v>46</v>
          </cell>
          <cell r="X11">
            <v>47</v>
          </cell>
          <cell r="Y11">
            <v>48</v>
          </cell>
          <cell r="Z11">
            <v>49</v>
          </cell>
          <cell r="AA11">
            <v>50</v>
          </cell>
          <cell r="AB11">
            <v>51</v>
          </cell>
          <cell r="AC11">
            <v>52</v>
          </cell>
          <cell r="AD11">
            <v>53</v>
          </cell>
          <cell r="AE11">
            <v>1</v>
          </cell>
          <cell r="AF11">
            <v>2</v>
          </cell>
          <cell r="AG11">
            <v>3</v>
          </cell>
          <cell r="AH11">
            <v>4</v>
          </cell>
          <cell r="AI11">
            <v>5</v>
          </cell>
          <cell r="AJ11">
            <v>6</v>
          </cell>
          <cell r="AK11">
            <v>7</v>
          </cell>
          <cell r="AL11">
            <v>8</v>
          </cell>
          <cell r="AM11">
            <v>9</v>
          </cell>
          <cell r="AN11">
            <v>10</v>
          </cell>
          <cell r="AO11">
            <v>11</v>
          </cell>
          <cell r="AP11">
            <v>12</v>
          </cell>
          <cell r="AQ11">
            <v>13</v>
          </cell>
          <cell r="AR11">
            <v>14</v>
          </cell>
          <cell r="AS11">
            <v>15</v>
          </cell>
          <cell r="AT11">
            <v>16</v>
          </cell>
          <cell r="AU11">
            <v>17</v>
          </cell>
          <cell r="AV11">
            <v>18</v>
          </cell>
          <cell r="AW11">
            <v>19</v>
          </cell>
          <cell r="AX11">
            <v>20</v>
          </cell>
          <cell r="AY11">
            <v>21</v>
          </cell>
          <cell r="AZ11">
            <v>22</v>
          </cell>
          <cell r="BA11">
            <v>23</v>
          </cell>
          <cell r="BB11">
            <v>24</v>
          </cell>
          <cell r="BC11">
            <v>25</v>
          </cell>
          <cell r="BD11">
            <v>26</v>
          </cell>
          <cell r="BE11">
            <v>27</v>
          </cell>
          <cell r="BF11">
            <v>28</v>
          </cell>
          <cell r="BG11">
            <v>29</v>
          </cell>
          <cell r="BH11">
            <v>30</v>
          </cell>
          <cell r="BI11">
            <v>31</v>
          </cell>
          <cell r="BJ11">
            <v>32</v>
          </cell>
          <cell r="BK11">
            <v>33</v>
          </cell>
          <cell r="BL11">
            <v>34</v>
          </cell>
          <cell r="BM11">
            <v>35</v>
          </cell>
          <cell r="BN11">
            <v>36</v>
          </cell>
          <cell r="BO11">
            <v>37</v>
          </cell>
          <cell r="BP11">
            <v>38</v>
          </cell>
          <cell r="BQ11">
            <v>39</v>
          </cell>
          <cell r="BR11">
            <v>40</v>
          </cell>
          <cell r="BS11">
            <v>41</v>
          </cell>
          <cell r="BT11">
            <v>42</v>
          </cell>
          <cell r="BU11">
            <v>43</v>
          </cell>
          <cell r="BV11">
            <v>44</v>
          </cell>
          <cell r="BW11">
            <v>45</v>
          </cell>
          <cell r="BX11">
            <v>46</v>
          </cell>
          <cell r="BY11">
            <v>47</v>
          </cell>
          <cell r="BZ11">
            <v>48</v>
          </cell>
          <cell r="CA11">
            <v>49</v>
          </cell>
          <cell r="CB11">
            <v>50</v>
          </cell>
          <cell r="CC11">
            <v>51</v>
          </cell>
          <cell r="CD11">
            <v>52</v>
          </cell>
          <cell r="CE11">
            <v>53</v>
          </cell>
          <cell r="CF11">
            <v>1</v>
          </cell>
          <cell r="CG11">
            <v>2</v>
          </cell>
          <cell r="CH11">
            <v>3</v>
          </cell>
          <cell r="CI11">
            <v>4</v>
          </cell>
          <cell r="CJ11">
            <v>5</v>
          </cell>
          <cell r="CK11">
            <v>6</v>
          </cell>
          <cell r="CL11">
            <v>7</v>
          </cell>
          <cell r="CM11">
            <v>8</v>
          </cell>
          <cell r="CN11">
            <v>9</v>
          </cell>
          <cell r="CO11">
            <v>10</v>
          </cell>
          <cell r="CP11">
            <v>11</v>
          </cell>
          <cell r="CQ11">
            <v>12</v>
          </cell>
          <cell r="CR11">
            <v>13</v>
          </cell>
          <cell r="CS11">
            <v>14</v>
          </cell>
          <cell r="CT11">
            <v>15</v>
          </cell>
          <cell r="CU11">
            <v>16</v>
          </cell>
          <cell r="CV11">
            <v>17</v>
          </cell>
          <cell r="CW11">
            <v>18</v>
          </cell>
          <cell r="CX11">
            <v>19</v>
          </cell>
          <cell r="CY11">
            <v>20</v>
          </cell>
          <cell r="CZ11">
            <v>21</v>
          </cell>
          <cell r="DA11">
            <v>22</v>
          </cell>
          <cell r="DB11">
            <v>23</v>
          </cell>
          <cell r="DC11">
            <v>24</v>
          </cell>
          <cell r="DD11">
            <v>25</v>
          </cell>
          <cell r="DE11">
            <v>26</v>
          </cell>
          <cell r="DF11">
            <v>27</v>
          </cell>
          <cell r="DG11" t="str">
            <v xml:space="preserve">status </v>
          </cell>
          <cell r="DH11" t="str">
            <v>ABC</v>
          </cell>
          <cell r="DI11"/>
          <cell r="DJ11" t="str">
            <v>PROMEDIO</v>
          </cell>
          <cell r="DK11" t="str">
            <v>S/DIA</v>
          </cell>
          <cell r="DL11" t="str">
            <v>DESV</v>
          </cell>
          <cell r="DM11" t="str">
            <v>STOCK</v>
          </cell>
          <cell r="DN11" t="str">
            <v>STOCK $</v>
          </cell>
          <cell r="DO11" t="str">
            <v>D/Stock</v>
          </cell>
          <cell r="DP11" t="str">
            <v>STATUS</v>
          </cell>
          <cell r="DQ11" t="str">
            <v>P REORDEN</v>
          </cell>
        </row>
        <row r="12">
          <cell r="B12">
            <v>402254</v>
          </cell>
          <cell r="C12" t="str">
            <v>BOLSA PREPICADA BANDEJA 100X90</v>
          </cell>
          <cell r="D12">
            <v>315</v>
          </cell>
          <cell r="E12">
            <v>329</v>
          </cell>
          <cell r="F12">
            <v>419.8</v>
          </cell>
          <cell r="G12">
            <v>289.2</v>
          </cell>
          <cell r="H12">
            <v>545</v>
          </cell>
          <cell r="I12">
            <v>360</v>
          </cell>
          <cell r="J12">
            <v>113</v>
          </cell>
          <cell r="K12">
            <v>185</v>
          </cell>
          <cell r="L12">
            <v>405</v>
          </cell>
          <cell r="M12">
            <v>430</v>
          </cell>
          <cell r="N12">
            <v>380</v>
          </cell>
          <cell r="O12">
            <v>210</v>
          </cell>
          <cell r="P12">
            <v>450</v>
          </cell>
          <cell r="Q12">
            <v>153.1</v>
          </cell>
          <cell r="R12">
            <v>300</v>
          </cell>
          <cell r="S12">
            <v>256</v>
          </cell>
          <cell r="T12">
            <v>335.1</v>
          </cell>
          <cell r="U12"/>
          <cell r="V12">
            <v>270</v>
          </cell>
          <cell r="W12">
            <v>268.47000000000003</v>
          </cell>
          <cell r="X12">
            <v>477.2</v>
          </cell>
          <cell r="Y12">
            <v>390</v>
          </cell>
          <cell r="Z12">
            <v>270</v>
          </cell>
          <cell r="AA12">
            <v>270</v>
          </cell>
          <cell r="AB12">
            <v>540</v>
          </cell>
          <cell r="AC12">
            <v>225</v>
          </cell>
          <cell r="AD12">
            <v>90</v>
          </cell>
          <cell r="AE12">
            <v>60</v>
          </cell>
          <cell r="AF12">
            <v>285</v>
          </cell>
          <cell r="AG12">
            <v>210</v>
          </cell>
          <cell r="AH12">
            <v>156.4</v>
          </cell>
          <cell r="AI12">
            <v>45</v>
          </cell>
          <cell r="AJ12">
            <v>210</v>
          </cell>
          <cell r="AK12">
            <v>390</v>
          </cell>
          <cell r="AL12">
            <v>300</v>
          </cell>
          <cell r="AM12">
            <v>240</v>
          </cell>
          <cell r="AN12">
            <v>375</v>
          </cell>
          <cell r="AO12">
            <v>255</v>
          </cell>
          <cell r="AP12">
            <v>360</v>
          </cell>
          <cell r="AQ12">
            <v>244.2</v>
          </cell>
          <cell r="AR12"/>
          <cell r="AS12"/>
          <cell r="AT12">
            <v>800</v>
          </cell>
          <cell r="AU12">
            <v>108.2</v>
          </cell>
          <cell r="AV12">
            <v>345</v>
          </cell>
          <cell r="AW12">
            <v>154.6</v>
          </cell>
          <cell r="AX12">
            <v>120</v>
          </cell>
          <cell r="AY12">
            <v>345</v>
          </cell>
          <cell r="AZ12">
            <v>330</v>
          </cell>
          <cell r="BA12">
            <v>555</v>
          </cell>
          <cell r="BB12">
            <v>184.1</v>
          </cell>
          <cell r="BC12"/>
          <cell r="BD12">
            <v>262.60000000000002</v>
          </cell>
          <cell r="BE12">
            <v>405</v>
          </cell>
          <cell r="BF12">
            <v>151.69999999999999</v>
          </cell>
          <cell r="BG12">
            <v>180</v>
          </cell>
          <cell r="BH12">
            <v>450</v>
          </cell>
          <cell r="BI12">
            <v>315</v>
          </cell>
          <cell r="BJ12">
            <v>510</v>
          </cell>
          <cell r="BK12">
            <v>165</v>
          </cell>
          <cell r="BL12"/>
          <cell r="BM12">
            <v>360</v>
          </cell>
          <cell r="BN12">
            <v>390</v>
          </cell>
          <cell r="BO12">
            <v>375</v>
          </cell>
          <cell r="BP12">
            <v>135</v>
          </cell>
          <cell r="BQ12">
            <v>241</v>
          </cell>
          <cell r="BR12">
            <v>240</v>
          </cell>
          <cell r="BS12">
            <v>150</v>
          </cell>
          <cell r="BT12">
            <v>15</v>
          </cell>
          <cell r="BU12">
            <v>675</v>
          </cell>
          <cell r="BV12">
            <v>255</v>
          </cell>
          <cell r="BW12">
            <v>195</v>
          </cell>
          <cell r="BX12">
            <v>120</v>
          </cell>
          <cell r="BY12">
            <v>210</v>
          </cell>
          <cell r="BZ12">
            <v>178.5</v>
          </cell>
          <cell r="CA12">
            <v>208.50000000000003</v>
          </cell>
          <cell r="CB12">
            <v>264.10000000000008</v>
          </cell>
          <cell r="CC12">
            <v>285</v>
          </cell>
          <cell r="CD12">
            <v>267.60000000000002</v>
          </cell>
          <cell r="CE12">
            <v>191.8</v>
          </cell>
          <cell r="CF12"/>
          <cell r="CG12">
            <v>200</v>
          </cell>
          <cell r="CH12">
            <v>206.2</v>
          </cell>
          <cell r="CI12">
            <v>37.299999999999997</v>
          </cell>
          <cell r="CJ12"/>
          <cell r="CK12">
            <v>30</v>
          </cell>
          <cell r="CL12">
            <v>405</v>
          </cell>
          <cell r="CM12">
            <v>9.6999999999999993</v>
          </cell>
          <cell r="CN12">
            <v>15</v>
          </cell>
          <cell r="CO12"/>
          <cell r="CP12">
            <v>60</v>
          </cell>
          <cell r="CQ12">
            <v>390</v>
          </cell>
          <cell r="CR12">
            <v>184.1</v>
          </cell>
          <cell r="CS12"/>
          <cell r="CT12">
            <v>60</v>
          </cell>
          <cell r="CU12">
            <v>360</v>
          </cell>
          <cell r="CV12">
            <v>343.7</v>
          </cell>
          <cell r="CW12">
            <v>300</v>
          </cell>
          <cell r="CX12">
            <v>192</v>
          </cell>
          <cell r="CY12"/>
          <cell r="CZ12"/>
          <cell r="DA12"/>
          <cell r="DB12"/>
          <cell r="DC12"/>
          <cell r="DD12"/>
          <cell r="DE12"/>
          <cell r="DF12"/>
          <cell r="DG12" t="str">
            <v>ACTIVO</v>
          </cell>
          <cell r="DH12" t="str">
            <v>B</v>
          </cell>
          <cell r="DI12"/>
          <cell r="DJ12">
            <v>186.2</v>
          </cell>
          <cell r="DK12">
            <v>31.033333333333331</v>
          </cell>
          <cell r="DL12">
            <v>150.58509730584984</v>
          </cell>
          <cell r="DM12">
            <v>0</v>
          </cell>
          <cell r="DN12" t="str">
            <v>0</v>
          </cell>
          <cell r="DO12">
            <v>0</v>
          </cell>
          <cell r="DP12" t="str">
            <v>COMPRAR</v>
          </cell>
          <cell r="DQ12">
            <v>465.5</v>
          </cell>
        </row>
        <row r="13">
          <cell r="B13">
            <v>501114</v>
          </cell>
          <cell r="C13" t="str">
            <v>BOLSA COLOR AZUL 100 X 120 X 0,035 SIGNO</v>
          </cell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/>
          <cell r="AZ13"/>
          <cell r="BA13"/>
          <cell r="BB13"/>
          <cell r="BC13"/>
          <cell r="BD13"/>
          <cell r="BE13"/>
          <cell r="BF13"/>
          <cell r="BG13"/>
          <cell r="BH13"/>
          <cell r="BI13"/>
          <cell r="BJ13"/>
          <cell r="BK13"/>
          <cell r="BL13"/>
          <cell r="BM13"/>
          <cell r="BN13"/>
          <cell r="BO13"/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BZ13"/>
          <cell r="CA13"/>
          <cell r="CB13"/>
          <cell r="CC13"/>
          <cell r="CD13"/>
          <cell r="CE13"/>
          <cell r="CF13"/>
          <cell r="CG13"/>
          <cell r="CH13"/>
          <cell r="CI13"/>
          <cell r="CJ13"/>
          <cell r="CK13"/>
          <cell r="CL13"/>
          <cell r="CM13"/>
          <cell r="CN13"/>
          <cell r="CO13"/>
          <cell r="CP13"/>
          <cell r="CQ13"/>
          <cell r="CR13"/>
          <cell r="CS13"/>
          <cell r="CT13"/>
          <cell r="CU13"/>
          <cell r="CV13"/>
          <cell r="CW13"/>
          <cell r="CX13"/>
          <cell r="CY13"/>
          <cell r="CZ13"/>
          <cell r="DA13"/>
          <cell r="DB13"/>
          <cell r="DC13"/>
          <cell r="DD13">
            <v>1000</v>
          </cell>
          <cell r="DE13"/>
          <cell r="DF13"/>
          <cell r="DG13" t="str">
            <v>ACTIVO</v>
          </cell>
          <cell r="DH13" t="str">
            <v/>
          </cell>
          <cell r="DI13"/>
          <cell r="DJ13">
            <v>1000</v>
          </cell>
          <cell r="DK13">
            <v>166.66666666666666</v>
          </cell>
          <cell r="DL13">
            <v>0</v>
          </cell>
          <cell r="DM13">
            <v>0</v>
          </cell>
          <cell r="DN13" t="str">
            <v>0</v>
          </cell>
          <cell r="DO13">
            <v>0</v>
          </cell>
          <cell r="DP13" t="str">
            <v>COMPRAR</v>
          </cell>
          <cell r="DQ13">
            <v>1166.6666666666665</v>
          </cell>
        </row>
        <row r="14">
          <cell r="B14">
            <v>402263</v>
          </cell>
          <cell r="C14" t="str">
            <v>BOLSA PREPICADA BANDEJA  100*90 COLOR AZUL ASTRA</v>
          </cell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>
            <v>45</v>
          </cell>
          <cell r="AA14"/>
          <cell r="AB14">
            <v>30</v>
          </cell>
          <cell r="AC14">
            <v>15</v>
          </cell>
          <cell r="AD14"/>
          <cell r="AE14"/>
          <cell r="AF14">
            <v>15</v>
          </cell>
          <cell r="AG14">
            <v>45</v>
          </cell>
          <cell r="AH14">
            <v>60</v>
          </cell>
          <cell r="AI14">
            <v>15</v>
          </cell>
          <cell r="AJ14"/>
          <cell r="AK14">
            <v>30</v>
          </cell>
          <cell r="AL14">
            <v>30</v>
          </cell>
          <cell r="AM14">
            <v>30</v>
          </cell>
          <cell r="AN14">
            <v>15</v>
          </cell>
          <cell r="AO14">
            <v>135</v>
          </cell>
          <cell r="AP14">
            <v>30</v>
          </cell>
          <cell r="AQ14">
            <v>30</v>
          </cell>
          <cell r="AR14">
            <v>60</v>
          </cell>
          <cell r="AS14">
            <v>30</v>
          </cell>
          <cell r="AT14">
            <v>15</v>
          </cell>
          <cell r="AU14">
            <v>60</v>
          </cell>
          <cell r="AV14">
            <v>15</v>
          </cell>
          <cell r="AW14">
            <v>105</v>
          </cell>
          <cell r="AX14">
            <v>30</v>
          </cell>
          <cell r="AY14">
            <v>15</v>
          </cell>
          <cell r="AZ14">
            <v>15</v>
          </cell>
          <cell r="BA14"/>
          <cell r="BB14">
            <v>75</v>
          </cell>
          <cell r="BC14">
            <v>90</v>
          </cell>
          <cell r="BD14">
            <v>75</v>
          </cell>
          <cell r="BE14">
            <v>75</v>
          </cell>
          <cell r="BF14">
            <v>15</v>
          </cell>
          <cell r="BG14">
            <v>15</v>
          </cell>
          <cell r="BH14">
            <v>60</v>
          </cell>
          <cell r="BI14">
            <v>45</v>
          </cell>
          <cell r="BJ14">
            <v>30</v>
          </cell>
          <cell r="BK14">
            <v>30</v>
          </cell>
          <cell r="BL14">
            <v>15</v>
          </cell>
          <cell r="BM14">
            <v>45</v>
          </cell>
          <cell r="BN14">
            <v>15</v>
          </cell>
          <cell r="BO14">
            <v>15</v>
          </cell>
          <cell r="BP14"/>
          <cell r="BQ14">
            <v>15</v>
          </cell>
          <cell r="BR14">
            <v>15</v>
          </cell>
          <cell r="BS14">
            <v>45</v>
          </cell>
          <cell r="BT14">
            <v>30</v>
          </cell>
          <cell r="BU14">
            <v>60</v>
          </cell>
          <cell r="BV14">
            <v>45</v>
          </cell>
          <cell r="BW14"/>
          <cell r="BX14">
            <v>15</v>
          </cell>
          <cell r="BY14"/>
          <cell r="BZ14">
            <v>28</v>
          </cell>
          <cell r="CA14">
            <v>27.8</v>
          </cell>
          <cell r="CB14">
            <v>27.8</v>
          </cell>
          <cell r="CC14">
            <v>15</v>
          </cell>
          <cell r="CD14">
            <v>15</v>
          </cell>
          <cell r="CE14">
            <v>30</v>
          </cell>
          <cell r="CF14"/>
          <cell r="CG14">
            <v>15</v>
          </cell>
          <cell r="CH14">
            <v>60</v>
          </cell>
          <cell r="CI14">
            <v>45</v>
          </cell>
          <cell r="CJ14">
            <v>60</v>
          </cell>
          <cell r="CK14">
            <v>45</v>
          </cell>
          <cell r="CL14">
            <v>15</v>
          </cell>
          <cell r="CM14">
            <v>45</v>
          </cell>
          <cell r="CN14">
            <v>30</v>
          </cell>
          <cell r="CO14">
            <v>45</v>
          </cell>
          <cell r="CP14">
            <v>30</v>
          </cell>
          <cell r="CQ14">
            <v>30</v>
          </cell>
          <cell r="CR14">
            <v>45</v>
          </cell>
          <cell r="CS14">
            <v>45</v>
          </cell>
          <cell r="CT14">
            <v>30</v>
          </cell>
          <cell r="CU14">
            <v>15</v>
          </cell>
          <cell r="CV14">
            <v>15</v>
          </cell>
          <cell r="CW14">
            <v>15</v>
          </cell>
          <cell r="CX14">
            <v>60</v>
          </cell>
          <cell r="CY14">
            <v>30</v>
          </cell>
          <cell r="CZ14">
            <v>60</v>
          </cell>
          <cell r="DA14">
            <v>45</v>
          </cell>
          <cell r="DB14">
            <v>45</v>
          </cell>
          <cell r="DC14">
            <v>45</v>
          </cell>
          <cell r="DD14">
            <v>16.2</v>
          </cell>
          <cell r="DE14"/>
          <cell r="DF14"/>
          <cell r="DG14" t="str">
            <v>ACTIVO</v>
          </cell>
          <cell r="DH14" t="str">
            <v>C</v>
          </cell>
          <cell r="DI14"/>
          <cell r="DJ14">
            <v>36.925000000000004</v>
          </cell>
          <cell r="DK14">
            <v>6.1541666666666677</v>
          </cell>
          <cell r="DL14">
            <v>26.925549184555489</v>
          </cell>
          <cell r="DM14">
            <v>0</v>
          </cell>
          <cell r="DN14" t="str">
            <v>0</v>
          </cell>
          <cell r="DO14">
            <v>0</v>
          </cell>
          <cell r="DP14" t="str">
            <v>COMPRAR</v>
          </cell>
          <cell r="DQ14">
            <v>92.312500000000014</v>
          </cell>
        </row>
        <row r="15">
          <cell r="B15">
            <v>400101</v>
          </cell>
          <cell r="C15" t="str">
            <v>BOLSA 30X32 CM 35 MICRAS</v>
          </cell>
          <cell r="D15">
            <v>4000</v>
          </cell>
          <cell r="E15">
            <v>8000</v>
          </cell>
          <cell r="F15">
            <v>4000</v>
          </cell>
          <cell r="G15">
            <v>4000</v>
          </cell>
          <cell r="H15">
            <v>8000</v>
          </cell>
          <cell r="I15">
            <v>8000</v>
          </cell>
          <cell r="J15">
            <v>4000</v>
          </cell>
          <cell r="K15">
            <v>4000</v>
          </cell>
          <cell r="L15">
            <v>8000</v>
          </cell>
          <cell r="M15">
            <v>4000</v>
          </cell>
          <cell r="N15">
            <v>8000</v>
          </cell>
          <cell r="O15"/>
          <cell r="P15">
            <v>8000</v>
          </cell>
          <cell r="Q15">
            <v>8000</v>
          </cell>
          <cell r="R15">
            <v>8000</v>
          </cell>
          <cell r="S15"/>
          <cell r="T15">
            <v>7500</v>
          </cell>
          <cell r="U15">
            <v>8000</v>
          </cell>
          <cell r="V15">
            <v>8000</v>
          </cell>
          <cell r="W15">
            <v>7500</v>
          </cell>
          <cell r="X15">
            <v>7500</v>
          </cell>
          <cell r="Y15">
            <v>8000</v>
          </cell>
          <cell r="Z15">
            <v>4000</v>
          </cell>
          <cell r="AA15">
            <v>4000</v>
          </cell>
          <cell r="AB15">
            <v>12000</v>
          </cell>
          <cell r="AC15">
            <v>6500</v>
          </cell>
          <cell r="AD15"/>
          <cell r="AE15"/>
          <cell r="AF15">
            <v>6000</v>
          </cell>
          <cell r="AG15">
            <v>16000</v>
          </cell>
          <cell r="AH15">
            <v>4000</v>
          </cell>
          <cell r="AI15">
            <v>8000</v>
          </cell>
          <cell r="AJ15">
            <v>4000</v>
          </cell>
          <cell r="AK15">
            <v>8000</v>
          </cell>
          <cell r="AL15">
            <v>8000</v>
          </cell>
          <cell r="AM15">
            <v>4000</v>
          </cell>
          <cell r="AN15">
            <v>8000</v>
          </cell>
          <cell r="AO15">
            <v>8000</v>
          </cell>
          <cell r="AP15"/>
          <cell r="AQ15">
            <v>8000</v>
          </cell>
          <cell r="AR15">
            <v>8000</v>
          </cell>
          <cell r="AS15">
            <v>2000</v>
          </cell>
          <cell r="AT15">
            <v>4000</v>
          </cell>
          <cell r="AU15">
            <v>6000</v>
          </cell>
          <cell r="AV15"/>
          <cell r="AW15">
            <v>12000</v>
          </cell>
          <cell r="AX15">
            <v>6000</v>
          </cell>
          <cell r="AY15">
            <v>8000</v>
          </cell>
          <cell r="AZ15">
            <v>4000</v>
          </cell>
          <cell r="BA15">
            <v>8000</v>
          </cell>
          <cell r="BB15">
            <v>8000</v>
          </cell>
          <cell r="BC15">
            <v>4000</v>
          </cell>
          <cell r="BD15">
            <v>4000</v>
          </cell>
          <cell r="BE15">
            <v>4015</v>
          </cell>
          <cell r="BF15">
            <v>3985</v>
          </cell>
          <cell r="BG15">
            <v>10000</v>
          </cell>
          <cell r="BH15">
            <v>8000</v>
          </cell>
          <cell r="BI15">
            <v>4000</v>
          </cell>
          <cell r="BJ15">
            <v>4000</v>
          </cell>
          <cell r="BK15">
            <v>8000</v>
          </cell>
          <cell r="BL15">
            <v>8000</v>
          </cell>
          <cell r="BM15">
            <v>8000</v>
          </cell>
          <cell r="BN15">
            <v>4000</v>
          </cell>
          <cell r="BO15">
            <v>8000</v>
          </cell>
          <cell r="BP15"/>
          <cell r="BQ15">
            <v>12000</v>
          </cell>
          <cell r="BR15">
            <v>8000</v>
          </cell>
          <cell r="BS15">
            <v>8000</v>
          </cell>
          <cell r="BT15"/>
          <cell r="BU15">
            <v>4000</v>
          </cell>
          <cell r="BV15">
            <v>8000</v>
          </cell>
          <cell r="BW15"/>
          <cell r="BX15">
            <v>4000</v>
          </cell>
          <cell r="BY15">
            <v>4000</v>
          </cell>
          <cell r="BZ15">
            <v>12000</v>
          </cell>
          <cell r="CA15">
            <v>8000</v>
          </cell>
          <cell r="CB15">
            <v>8000</v>
          </cell>
          <cell r="CC15">
            <v>2000</v>
          </cell>
          <cell r="CD15">
            <v>8000</v>
          </cell>
          <cell r="CE15">
            <v>4000</v>
          </cell>
          <cell r="CF15"/>
          <cell r="CG15">
            <v>4000</v>
          </cell>
          <cell r="CH15">
            <v>6000</v>
          </cell>
          <cell r="CI15">
            <v>14000</v>
          </cell>
          <cell r="CJ15">
            <v>4000</v>
          </cell>
          <cell r="CK15">
            <v>8000</v>
          </cell>
          <cell r="CL15">
            <v>6000</v>
          </cell>
          <cell r="CM15">
            <v>8000</v>
          </cell>
          <cell r="CN15">
            <v>4000</v>
          </cell>
          <cell r="CO15">
            <v>8000</v>
          </cell>
          <cell r="CP15">
            <v>4000</v>
          </cell>
          <cell r="CQ15">
            <v>2000</v>
          </cell>
          <cell r="CR15">
            <v>4000</v>
          </cell>
          <cell r="CS15">
            <v>2000</v>
          </cell>
          <cell r="CT15">
            <v>8000</v>
          </cell>
          <cell r="CU15">
            <v>6000</v>
          </cell>
          <cell r="CV15">
            <v>4000</v>
          </cell>
          <cell r="CW15">
            <v>8000</v>
          </cell>
          <cell r="CX15">
            <v>8000</v>
          </cell>
          <cell r="CY15">
            <v>8000</v>
          </cell>
          <cell r="CZ15">
            <v>2900</v>
          </cell>
          <cell r="DA15">
            <v>4000</v>
          </cell>
          <cell r="DB15"/>
          <cell r="DC15"/>
          <cell r="DD15">
            <v>4000</v>
          </cell>
          <cell r="DE15">
            <v>15</v>
          </cell>
          <cell r="DF15"/>
          <cell r="DG15" t="str">
            <v>ACTIVO</v>
          </cell>
          <cell r="DH15" t="str">
            <v>C</v>
          </cell>
          <cell r="DI15"/>
          <cell r="DJ15">
            <v>5768.181818181818</v>
          </cell>
          <cell r="DK15">
            <v>961.36363636363637</v>
          </cell>
          <cell r="DL15">
            <v>2871.920677265171</v>
          </cell>
          <cell r="DM15">
            <v>78000</v>
          </cell>
          <cell r="DN15">
            <v>1755000</v>
          </cell>
          <cell r="DO15">
            <v>13.522458628841608</v>
          </cell>
          <cell r="DP15" t="str">
            <v>OK</v>
          </cell>
          <cell r="DQ15">
            <v>4806.818181818182</v>
          </cell>
        </row>
        <row r="16">
          <cell r="B16">
            <v>400202</v>
          </cell>
          <cell r="C16" t="str">
            <v>BOLSA PREPICADA 50x75</v>
          </cell>
          <cell r="D16"/>
          <cell r="E16"/>
          <cell r="F16"/>
          <cell r="G16">
            <v>30</v>
          </cell>
          <cell r="H16"/>
          <cell r="I16"/>
          <cell r="J16"/>
          <cell r="K16">
            <v>10</v>
          </cell>
          <cell r="L16"/>
          <cell r="M16">
            <v>20</v>
          </cell>
          <cell r="N16"/>
          <cell r="O16"/>
          <cell r="P16">
            <v>40</v>
          </cell>
          <cell r="Q16"/>
          <cell r="R16">
            <v>15</v>
          </cell>
          <cell r="S16"/>
          <cell r="T16"/>
          <cell r="U16"/>
          <cell r="V16"/>
          <cell r="W16"/>
          <cell r="X16">
            <v>30</v>
          </cell>
          <cell r="Y16">
            <v>15</v>
          </cell>
          <cell r="Z16"/>
          <cell r="AA16"/>
          <cell r="AB16">
            <v>30</v>
          </cell>
          <cell r="AC16"/>
          <cell r="AD16"/>
          <cell r="AE16"/>
          <cell r="AF16"/>
          <cell r="AG16"/>
          <cell r="AH16"/>
          <cell r="AI16">
            <v>20</v>
          </cell>
          <cell r="AJ16"/>
          <cell r="AK16">
            <v>15</v>
          </cell>
          <cell r="AL16">
            <v>10</v>
          </cell>
          <cell r="AM16">
            <v>10</v>
          </cell>
          <cell r="AN16">
            <v>10</v>
          </cell>
          <cell r="AO16">
            <v>10</v>
          </cell>
          <cell r="AP16"/>
          <cell r="AQ16">
            <v>30</v>
          </cell>
          <cell r="AR16"/>
          <cell r="AS16">
            <v>15</v>
          </cell>
          <cell r="AT16"/>
          <cell r="AU16"/>
          <cell r="AV16"/>
          <cell r="AW16"/>
          <cell r="AX16">
            <v>15</v>
          </cell>
          <cell r="AY16"/>
          <cell r="AZ16">
            <v>15</v>
          </cell>
          <cell r="BA16"/>
          <cell r="BB16">
            <v>15</v>
          </cell>
          <cell r="BC16"/>
          <cell r="BD16">
            <v>40</v>
          </cell>
          <cell r="BE16"/>
          <cell r="BF16"/>
          <cell r="BG16">
            <v>15</v>
          </cell>
          <cell r="BH16"/>
          <cell r="BI16">
            <v>30</v>
          </cell>
          <cell r="BJ16"/>
          <cell r="BK16"/>
          <cell r="BL16">
            <v>15</v>
          </cell>
          <cell r="BM16">
            <v>30</v>
          </cell>
          <cell r="BN16">
            <v>15</v>
          </cell>
          <cell r="BO16"/>
          <cell r="BP16"/>
          <cell r="BQ16">
            <v>30</v>
          </cell>
          <cell r="BR16">
            <v>10</v>
          </cell>
          <cell r="BS16"/>
          <cell r="BT16"/>
          <cell r="BU16"/>
          <cell r="BV16">
            <v>25</v>
          </cell>
          <cell r="BW16"/>
          <cell r="BX16"/>
          <cell r="BY16"/>
          <cell r="BZ16">
            <v>15</v>
          </cell>
          <cell r="CA16"/>
          <cell r="CB16"/>
          <cell r="CC16">
            <v>15</v>
          </cell>
          <cell r="CD16">
            <v>15</v>
          </cell>
          <cell r="CE16">
            <v>15</v>
          </cell>
          <cell r="CF16"/>
          <cell r="CG16"/>
          <cell r="CH16"/>
          <cell r="CI16">
            <v>15</v>
          </cell>
          <cell r="CJ16">
            <v>15</v>
          </cell>
          <cell r="CK16">
            <v>15</v>
          </cell>
          <cell r="CL16"/>
          <cell r="CM16"/>
          <cell r="CN16">
            <v>30</v>
          </cell>
          <cell r="CO16"/>
          <cell r="CP16"/>
          <cell r="CQ16"/>
          <cell r="CR16">
            <v>15</v>
          </cell>
          <cell r="CS16"/>
          <cell r="CT16"/>
          <cell r="CU16"/>
          <cell r="CV16">
            <v>30</v>
          </cell>
          <cell r="CW16"/>
          <cell r="CX16"/>
          <cell r="CY16"/>
          <cell r="CZ16"/>
          <cell r="DA16">
            <v>10</v>
          </cell>
          <cell r="DB16"/>
          <cell r="DC16"/>
          <cell r="DD16"/>
          <cell r="DE16">
            <v>15</v>
          </cell>
          <cell r="DF16"/>
          <cell r="DG16" t="str">
            <v>ACTIVO</v>
          </cell>
          <cell r="DH16" t="str">
            <v>C</v>
          </cell>
          <cell r="DI16"/>
          <cell r="DJ16">
            <v>18.571428571428573</v>
          </cell>
          <cell r="DK16">
            <v>3.0952380952380953</v>
          </cell>
          <cell r="DL16">
            <v>8.1843567647173039</v>
          </cell>
          <cell r="DM16">
            <v>260</v>
          </cell>
          <cell r="DN16">
            <v>687375</v>
          </cell>
          <cell r="DO16">
            <v>13.999999999999998</v>
          </cell>
          <cell r="DP16" t="str">
            <v>OK</v>
          </cell>
          <cell r="DQ16">
            <v>15.476190476190476</v>
          </cell>
        </row>
        <row r="17">
          <cell r="B17">
            <v>400203</v>
          </cell>
          <cell r="C17" t="str">
            <v>BOLSA PREPICADA BANDEJA (22+60+22)104x90</v>
          </cell>
          <cell r="D17"/>
          <cell r="E17"/>
          <cell r="F17"/>
          <cell r="G17"/>
          <cell r="H17"/>
          <cell r="I17"/>
          <cell r="J17">
            <v>200</v>
          </cell>
          <cell r="K17">
            <v>250</v>
          </cell>
          <cell r="L17"/>
          <cell r="M17">
            <v>50</v>
          </cell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>
            <v>345</v>
          </cell>
          <cell r="AJ17">
            <v>157.19999999999999</v>
          </cell>
          <cell r="AK17"/>
          <cell r="AL17"/>
          <cell r="AM17"/>
          <cell r="AN17"/>
          <cell r="AO17"/>
          <cell r="AP17"/>
          <cell r="AQ17"/>
          <cell r="AR17">
            <v>345</v>
          </cell>
          <cell r="AS17">
            <v>390</v>
          </cell>
          <cell r="AT17">
            <v>77.7</v>
          </cell>
          <cell r="AU17"/>
          <cell r="AV17"/>
          <cell r="AW17"/>
          <cell r="AX17">
            <v>315</v>
          </cell>
          <cell r="AY17">
            <v>90</v>
          </cell>
          <cell r="AZ17">
            <v>90</v>
          </cell>
          <cell r="BA17"/>
          <cell r="BB17">
            <v>5</v>
          </cell>
          <cell r="BC17"/>
          <cell r="BD17"/>
          <cell r="BE17"/>
          <cell r="BF17"/>
          <cell r="BG17"/>
          <cell r="BH17"/>
          <cell r="BI17"/>
          <cell r="BJ17"/>
          <cell r="BK17">
            <v>10</v>
          </cell>
          <cell r="BL17">
            <v>60</v>
          </cell>
          <cell r="BM17"/>
          <cell r="BN17"/>
          <cell r="BO17"/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>
            <v>292.7</v>
          </cell>
          <cell r="CJ17">
            <v>225</v>
          </cell>
          <cell r="CK17">
            <v>315</v>
          </cell>
          <cell r="CL17"/>
          <cell r="CM17"/>
          <cell r="CN17">
            <v>270</v>
          </cell>
          <cell r="CO17">
            <v>195</v>
          </cell>
          <cell r="CP17">
            <v>35</v>
          </cell>
          <cell r="CQ17"/>
          <cell r="CR17">
            <v>45</v>
          </cell>
          <cell r="CS17">
            <v>270</v>
          </cell>
          <cell r="CT17">
            <v>255</v>
          </cell>
          <cell r="CU17"/>
          <cell r="CV17"/>
          <cell r="CW17"/>
          <cell r="CX17"/>
          <cell r="CY17">
            <v>139</v>
          </cell>
          <cell r="CZ17">
            <v>69.5</v>
          </cell>
          <cell r="DA17">
            <v>305</v>
          </cell>
          <cell r="DB17">
            <v>200</v>
          </cell>
          <cell r="DC17">
            <v>75</v>
          </cell>
          <cell r="DD17">
            <v>26.3</v>
          </cell>
          <cell r="DE17">
            <v>184.20000000000002</v>
          </cell>
          <cell r="DF17"/>
          <cell r="DG17" t="str">
            <v>ACTIVO</v>
          </cell>
          <cell r="DH17" t="str">
            <v>C</v>
          </cell>
          <cell r="DI17"/>
          <cell r="DJ17">
            <v>181.16666666666666</v>
          </cell>
          <cell r="DK17">
            <v>30.194444444444443</v>
          </cell>
          <cell r="DL17">
            <v>147.33056277389534</v>
          </cell>
          <cell r="DM17">
            <v>470</v>
          </cell>
          <cell r="DN17">
            <v>1205103.5</v>
          </cell>
          <cell r="DO17">
            <v>2.5942962281508741</v>
          </cell>
          <cell r="DP17" t="str">
            <v>OK</v>
          </cell>
          <cell r="DQ17">
            <v>150.97222222222223</v>
          </cell>
        </row>
        <row r="18">
          <cell r="B18">
            <v>400205</v>
          </cell>
          <cell r="C18" t="str">
            <v>BOLSA PEBD 40x42 CM x35 MICRAS</v>
          </cell>
          <cell r="D18"/>
          <cell r="E18"/>
          <cell r="F18"/>
          <cell r="G18"/>
          <cell r="H18">
            <v>2500</v>
          </cell>
          <cell r="I18"/>
          <cell r="J18"/>
          <cell r="K18"/>
          <cell r="L18"/>
          <cell r="M18">
            <v>10500</v>
          </cell>
          <cell r="N18"/>
          <cell r="O18"/>
          <cell r="P18"/>
          <cell r="Q18">
            <v>4000</v>
          </cell>
          <cell r="R18">
            <v>4000</v>
          </cell>
          <cell r="S18"/>
          <cell r="T18">
            <v>2000</v>
          </cell>
          <cell r="U18"/>
          <cell r="V18"/>
          <cell r="W18"/>
          <cell r="X18"/>
          <cell r="Y18">
            <v>4000</v>
          </cell>
          <cell r="Z18"/>
          <cell r="AA18">
            <v>5500</v>
          </cell>
          <cell r="AB18"/>
          <cell r="AC18"/>
          <cell r="AD18"/>
          <cell r="AE18"/>
          <cell r="AF18"/>
          <cell r="AG18"/>
          <cell r="AH18"/>
          <cell r="AI18"/>
          <cell r="AJ18">
            <v>2000</v>
          </cell>
          <cell r="AK18">
            <v>4000</v>
          </cell>
          <cell r="AL18"/>
          <cell r="AM18"/>
          <cell r="AN18"/>
          <cell r="AO18"/>
          <cell r="AP18">
            <v>1000</v>
          </cell>
          <cell r="AQ18"/>
          <cell r="AR18"/>
          <cell r="AS18"/>
          <cell r="AT18"/>
          <cell r="AU18">
            <v>14000</v>
          </cell>
          <cell r="AV18">
            <v>12000</v>
          </cell>
          <cell r="AW18">
            <v>2000</v>
          </cell>
          <cell r="AX18"/>
          <cell r="AY18"/>
          <cell r="AZ18">
            <v>2000</v>
          </cell>
          <cell r="BA18">
            <v>6000</v>
          </cell>
          <cell r="BB18"/>
          <cell r="BC18">
            <v>4000</v>
          </cell>
          <cell r="BD18"/>
          <cell r="BE18"/>
          <cell r="BF18"/>
          <cell r="BG18"/>
          <cell r="BH18"/>
          <cell r="BI18"/>
          <cell r="BJ18"/>
          <cell r="BK18">
            <v>8000</v>
          </cell>
          <cell r="BL18">
            <v>4000</v>
          </cell>
          <cell r="BM18"/>
          <cell r="BN18">
            <v>4000</v>
          </cell>
          <cell r="BO18"/>
          <cell r="BP18">
            <v>4000</v>
          </cell>
          <cell r="BQ18">
            <v>2000</v>
          </cell>
          <cell r="BR18">
            <v>2000</v>
          </cell>
          <cell r="BS18">
            <v>2000</v>
          </cell>
          <cell r="BT18"/>
          <cell r="BU18">
            <v>2500</v>
          </cell>
          <cell r="BV18">
            <v>8000</v>
          </cell>
          <cell r="BW18">
            <v>4000</v>
          </cell>
          <cell r="BX18"/>
          <cell r="BY18"/>
          <cell r="BZ18">
            <v>2000</v>
          </cell>
          <cell r="CA18"/>
          <cell r="CB18">
            <v>2000</v>
          </cell>
          <cell r="CC18"/>
          <cell r="CD18"/>
          <cell r="CE18"/>
          <cell r="CF18">
            <v>2000</v>
          </cell>
          <cell r="CG18"/>
          <cell r="CH18"/>
          <cell r="CI18">
            <v>2000</v>
          </cell>
          <cell r="CJ18"/>
          <cell r="CK18">
            <v>4000</v>
          </cell>
          <cell r="CL18">
            <v>4000</v>
          </cell>
          <cell r="CM18"/>
          <cell r="CN18"/>
          <cell r="CO18"/>
          <cell r="CP18"/>
          <cell r="CQ18">
            <v>12000</v>
          </cell>
          <cell r="CR18"/>
          <cell r="CS18"/>
          <cell r="CT18"/>
          <cell r="CU18">
            <v>2000</v>
          </cell>
          <cell r="CV18"/>
          <cell r="CW18"/>
          <cell r="CX18">
            <v>4000</v>
          </cell>
          <cell r="CY18"/>
          <cell r="CZ18"/>
          <cell r="DA18">
            <v>12000</v>
          </cell>
          <cell r="DB18">
            <v>4000</v>
          </cell>
          <cell r="DC18">
            <v>12000</v>
          </cell>
          <cell r="DD18"/>
          <cell r="DE18"/>
          <cell r="DF18">
            <v>4000</v>
          </cell>
          <cell r="DG18" t="str">
            <v>ACTIVO</v>
          </cell>
          <cell r="DH18" t="str">
            <v>C</v>
          </cell>
          <cell r="DI18"/>
          <cell r="DJ18">
            <v>5800</v>
          </cell>
          <cell r="DK18">
            <v>966.66666666666663</v>
          </cell>
          <cell r="DL18">
            <v>3468.2230938293787</v>
          </cell>
          <cell r="DM18">
            <v>18000</v>
          </cell>
          <cell r="DN18">
            <v>707220</v>
          </cell>
          <cell r="DO18">
            <v>3.103448275862069</v>
          </cell>
          <cell r="DP18" t="str">
            <v>OK</v>
          </cell>
          <cell r="DQ18">
            <v>4833.333333333333</v>
          </cell>
        </row>
        <row r="19">
          <cell r="B19">
            <v>400210</v>
          </cell>
          <cell r="C19" t="str">
            <v>BOLSA PREPICADA BANDEJA  100*90 COLOR AZUL</v>
          </cell>
          <cell r="D19">
            <v>45</v>
          </cell>
          <cell r="E19">
            <v>15</v>
          </cell>
          <cell r="F19"/>
          <cell r="G19">
            <v>60</v>
          </cell>
          <cell r="H19"/>
          <cell r="I19">
            <v>30</v>
          </cell>
          <cell r="J19">
            <v>15</v>
          </cell>
          <cell r="K19">
            <v>15</v>
          </cell>
          <cell r="L19">
            <v>15</v>
          </cell>
          <cell r="M19">
            <v>15</v>
          </cell>
          <cell r="N19">
            <v>15</v>
          </cell>
          <cell r="O19">
            <v>30</v>
          </cell>
          <cell r="P19">
            <v>15</v>
          </cell>
          <cell r="Q19">
            <v>15</v>
          </cell>
          <cell r="R19">
            <v>15</v>
          </cell>
          <cell r="S19">
            <v>45</v>
          </cell>
          <cell r="T19">
            <v>15</v>
          </cell>
          <cell r="U19">
            <v>30</v>
          </cell>
          <cell r="V19">
            <v>30</v>
          </cell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 t="str">
            <v>SIN USO</v>
          </cell>
          <cell r="DH19" t="str">
            <v/>
          </cell>
          <cell r="DI19"/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 t="str">
            <v>0</v>
          </cell>
          <cell r="DO19">
            <v>0</v>
          </cell>
          <cell r="DP19" t="str">
            <v>INACTIVO</v>
          </cell>
          <cell r="DQ19">
            <v>0</v>
          </cell>
        </row>
        <row r="20">
          <cell r="B20"/>
          <cell r="C20"/>
          <cell r="D20">
            <v>4360</v>
          </cell>
          <cell r="E20">
            <v>8344</v>
          </cell>
          <cell r="F20">
            <v>4419.8</v>
          </cell>
          <cell r="G20">
            <v>4379.2</v>
          </cell>
          <cell r="H20">
            <v>11045</v>
          </cell>
          <cell r="I20">
            <v>8390</v>
          </cell>
          <cell r="J20">
            <v>4328</v>
          </cell>
          <cell r="K20">
            <v>4460</v>
          </cell>
          <cell r="L20">
            <v>8420</v>
          </cell>
          <cell r="M20">
            <v>15015</v>
          </cell>
          <cell r="N20">
            <v>8395</v>
          </cell>
          <cell r="O20">
            <v>240</v>
          </cell>
          <cell r="P20">
            <v>8505</v>
          </cell>
          <cell r="Q20">
            <v>12168.1</v>
          </cell>
          <cell r="R20">
            <v>12330</v>
          </cell>
          <cell r="S20">
            <v>301</v>
          </cell>
          <cell r="T20">
            <v>9850.1</v>
          </cell>
          <cell r="U20">
            <v>8030</v>
          </cell>
          <cell r="V20">
            <v>8300</v>
          </cell>
          <cell r="W20">
            <v>7768.47</v>
          </cell>
          <cell r="X20">
            <v>8007.2</v>
          </cell>
          <cell r="Y20">
            <v>12405</v>
          </cell>
          <cell r="Z20">
            <v>4315</v>
          </cell>
          <cell r="AA20">
            <v>9770</v>
          </cell>
          <cell r="AB20">
            <v>12600</v>
          </cell>
          <cell r="AC20">
            <v>6740</v>
          </cell>
          <cell r="AD20">
            <v>90</v>
          </cell>
          <cell r="AE20">
            <v>60</v>
          </cell>
          <cell r="AF20">
            <v>6300</v>
          </cell>
          <cell r="AG20">
            <v>16255</v>
          </cell>
          <cell r="AH20">
            <v>4216.3999999999996</v>
          </cell>
          <cell r="AI20">
            <v>8425</v>
          </cell>
          <cell r="AJ20">
            <v>6367.2</v>
          </cell>
          <cell r="AK20">
            <v>12435</v>
          </cell>
          <cell r="AL20">
            <v>8340</v>
          </cell>
          <cell r="AM20">
            <v>4280</v>
          </cell>
          <cell r="AN20">
            <v>8400</v>
          </cell>
          <cell r="AO20">
            <v>8400</v>
          </cell>
          <cell r="AP20">
            <v>1390</v>
          </cell>
          <cell r="AQ20">
            <v>8304.2000000000007</v>
          </cell>
          <cell r="AR20">
            <v>8405</v>
          </cell>
          <cell r="AS20">
            <v>2435</v>
          </cell>
          <cell r="AT20">
            <v>4892.7</v>
          </cell>
          <cell r="AU20">
            <v>20168.2</v>
          </cell>
          <cell r="AV20">
            <v>12360</v>
          </cell>
          <cell r="AW20">
            <v>14259.6</v>
          </cell>
          <cell r="AX20">
            <v>6480</v>
          </cell>
          <cell r="AY20">
            <v>8450</v>
          </cell>
          <cell r="AZ20">
            <v>6450</v>
          </cell>
          <cell r="BA20">
            <v>14555</v>
          </cell>
          <cell r="BB20">
            <v>8279.1</v>
          </cell>
          <cell r="BC20">
            <v>8090</v>
          </cell>
          <cell r="BD20">
            <v>4377.6000000000004</v>
          </cell>
          <cell r="BE20">
            <v>4495</v>
          </cell>
          <cell r="BF20">
            <v>4151.7</v>
          </cell>
          <cell r="BG20">
            <v>10210</v>
          </cell>
          <cell r="BH20">
            <v>8510</v>
          </cell>
          <cell r="BI20">
            <v>4390</v>
          </cell>
          <cell r="BJ20">
            <v>4540</v>
          </cell>
          <cell r="BK20">
            <v>16205</v>
          </cell>
          <cell r="BL20">
            <v>12090</v>
          </cell>
          <cell r="BM20">
            <v>8435</v>
          </cell>
          <cell r="BN20">
            <v>8420</v>
          </cell>
          <cell r="BO20">
            <v>8390</v>
          </cell>
          <cell r="BP20">
            <v>4135</v>
          </cell>
          <cell r="BQ20">
            <v>14286</v>
          </cell>
          <cell r="BR20">
            <v>10265</v>
          </cell>
          <cell r="BS20">
            <v>10195</v>
          </cell>
          <cell r="BT20">
            <v>45</v>
          </cell>
          <cell r="BU20">
            <v>7235</v>
          </cell>
          <cell r="BV20">
            <v>16325</v>
          </cell>
          <cell r="BW20">
            <v>4195</v>
          </cell>
          <cell r="BX20">
            <v>4135</v>
          </cell>
          <cell r="BY20">
            <v>4210</v>
          </cell>
          <cell r="BZ20">
            <v>14221.5</v>
          </cell>
          <cell r="CA20">
            <v>8236.2999999999993</v>
          </cell>
          <cell r="CB20">
            <v>10291.9</v>
          </cell>
          <cell r="CC20">
            <v>2315</v>
          </cell>
          <cell r="CD20">
            <v>8297.6</v>
          </cell>
          <cell r="CE20">
            <v>4236.8</v>
          </cell>
          <cell r="CF20">
            <v>2000</v>
          </cell>
          <cell r="CG20">
            <v>4215</v>
          </cell>
          <cell r="CH20">
            <v>6266.2</v>
          </cell>
          <cell r="CI20">
            <v>16390</v>
          </cell>
          <cell r="CJ20">
            <v>4300</v>
          </cell>
          <cell r="CK20">
            <v>12405</v>
          </cell>
          <cell r="CL20">
            <v>10420</v>
          </cell>
          <cell r="CM20">
            <v>8054.7</v>
          </cell>
          <cell r="CN20">
            <v>4345</v>
          </cell>
          <cell r="CO20">
            <v>8240</v>
          </cell>
          <cell r="CP20">
            <v>4125</v>
          </cell>
          <cell r="CQ20">
            <v>14420</v>
          </cell>
          <cell r="CR20">
            <v>4289.1000000000004</v>
          </cell>
          <cell r="CS20">
            <v>2315</v>
          </cell>
          <cell r="CT20">
            <v>8345</v>
          </cell>
          <cell r="CU20">
            <v>8375</v>
          </cell>
          <cell r="CV20">
            <v>4388.7</v>
          </cell>
          <cell r="CW20">
            <v>8315</v>
          </cell>
          <cell r="CX20">
            <v>12252</v>
          </cell>
          <cell r="CY20">
            <v>8169</v>
          </cell>
          <cell r="CZ20">
            <v>3029.5</v>
          </cell>
          <cell r="DA20">
            <v>16360</v>
          </cell>
          <cell r="DB20">
            <v>4245</v>
          </cell>
          <cell r="DC20">
            <v>12120</v>
          </cell>
          <cell r="DD20">
            <v>5042.5</v>
          </cell>
          <cell r="DE20">
            <v>214.20000000000002</v>
          </cell>
          <cell r="DF20">
            <v>4000</v>
          </cell>
          <cell r="DG20" t="str">
            <v>ACTIVO</v>
          </cell>
          <cell r="DH20" t="str">
            <v/>
          </cell>
          <cell r="DI20"/>
          <cell r="DJ20">
            <v>7697.0680000000002</v>
          </cell>
          <cell r="DK20">
            <v>1282.8446666666666</v>
          </cell>
          <cell r="DL20">
            <v>4408.9975098419409</v>
          </cell>
          <cell r="DM20">
            <v>0</v>
          </cell>
          <cell r="DN20" t="str">
            <v>0</v>
          </cell>
          <cell r="DO20">
            <v>0</v>
          </cell>
          <cell r="DP20" t="str">
            <v>INACTIVO</v>
          </cell>
          <cell r="DQ20">
            <v>0</v>
          </cell>
        </row>
        <row r="21">
          <cell r="B21">
            <v>403393</v>
          </cell>
          <cell r="C21" t="str">
            <v>CAJA PTG 15PP SISA PROSERVAR</v>
          </cell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>
            <v>500</v>
          </cell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>
            <v>500</v>
          </cell>
          <cell r="CJ21"/>
          <cell r="CK21"/>
          <cell r="CL21">
            <v>500</v>
          </cell>
          <cell r="CM21"/>
          <cell r="CN21"/>
          <cell r="CO21"/>
          <cell r="CP21"/>
          <cell r="CQ21"/>
          <cell r="CR21"/>
          <cell r="CS21"/>
          <cell r="CT21">
            <v>500</v>
          </cell>
          <cell r="CU21"/>
          <cell r="CV21">
            <v>500</v>
          </cell>
          <cell r="CW21"/>
          <cell r="CX21"/>
          <cell r="CY21"/>
          <cell r="CZ21"/>
          <cell r="DA21"/>
          <cell r="DB21"/>
          <cell r="DC21">
            <v>450</v>
          </cell>
          <cell r="DD21"/>
          <cell r="DE21">
            <v>550</v>
          </cell>
          <cell r="DF21"/>
          <cell r="DG21" t="str">
            <v>ACTIVO</v>
          </cell>
          <cell r="DH21" t="str">
            <v/>
          </cell>
          <cell r="DI21"/>
          <cell r="DJ21">
            <v>490</v>
          </cell>
          <cell r="DK21">
            <v>81.666666666666671</v>
          </cell>
          <cell r="DL21">
            <v>0</v>
          </cell>
          <cell r="DM21">
            <v>0</v>
          </cell>
          <cell r="DN21" t="str">
            <v>0</v>
          </cell>
          <cell r="DO21">
            <v>0</v>
          </cell>
          <cell r="DP21" t="str">
            <v>COMPRAR</v>
          </cell>
          <cell r="DQ21">
            <v>1225</v>
          </cell>
        </row>
        <row r="22">
          <cell r="B22">
            <v>107363</v>
          </cell>
          <cell r="C22" t="str">
            <v>CAJA PTG 15PP SISA SYCOR</v>
          </cell>
          <cell r="D22"/>
          <cell r="E22">
            <v>1600</v>
          </cell>
          <cell r="F22">
            <v>650</v>
          </cell>
          <cell r="G22">
            <v>1700</v>
          </cell>
          <cell r="H22">
            <v>1250</v>
          </cell>
          <cell r="I22">
            <v>900</v>
          </cell>
          <cell r="J22">
            <v>500</v>
          </cell>
          <cell r="K22">
            <v>450</v>
          </cell>
          <cell r="L22"/>
          <cell r="M22">
            <v>2250</v>
          </cell>
          <cell r="N22"/>
          <cell r="O22"/>
          <cell r="P22">
            <v>2350</v>
          </cell>
          <cell r="Q22">
            <v>2000</v>
          </cell>
          <cell r="R22">
            <v>500</v>
          </cell>
          <cell r="S22"/>
          <cell r="T22">
            <v>1500</v>
          </cell>
          <cell r="U22"/>
          <cell r="V22">
            <v>1000</v>
          </cell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>
            <v>1500</v>
          </cell>
          <cell r="AM22">
            <v>1000</v>
          </cell>
          <cell r="AN22"/>
          <cell r="AO22"/>
          <cell r="AP22"/>
          <cell r="AQ22"/>
          <cell r="AR22"/>
          <cell r="AS22"/>
          <cell r="AT22"/>
          <cell r="AU22"/>
          <cell r="AV22"/>
          <cell r="AW22">
            <v>550</v>
          </cell>
          <cell r="AX22"/>
          <cell r="AY22"/>
          <cell r="AZ22"/>
          <cell r="BA22"/>
          <cell r="BB22">
            <v>500</v>
          </cell>
          <cell r="BC22"/>
          <cell r="BD22"/>
          <cell r="BE22">
            <v>600</v>
          </cell>
          <cell r="BF22"/>
          <cell r="BG22"/>
          <cell r="BH22">
            <v>600</v>
          </cell>
          <cell r="BI22"/>
          <cell r="BJ22"/>
          <cell r="BK22">
            <v>600</v>
          </cell>
          <cell r="BL22"/>
          <cell r="BM22"/>
          <cell r="BN22"/>
          <cell r="BO22"/>
          <cell r="BP22"/>
          <cell r="BQ22"/>
          <cell r="BR22">
            <v>600</v>
          </cell>
          <cell r="BS22"/>
          <cell r="BT22">
            <v>400</v>
          </cell>
          <cell r="BU22"/>
          <cell r="BV22">
            <v>500</v>
          </cell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>
            <v>500</v>
          </cell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 t="str">
            <v>ACTIVO</v>
          </cell>
          <cell r="DH22" t="str">
            <v>C</v>
          </cell>
          <cell r="DI22"/>
          <cell r="DJ22">
            <v>500</v>
          </cell>
          <cell r="DK22">
            <v>83.333333333333329</v>
          </cell>
          <cell r="DL22">
            <v>326.64115546642989</v>
          </cell>
          <cell r="DM22">
            <v>0</v>
          </cell>
          <cell r="DN22" t="str">
            <v>0</v>
          </cell>
          <cell r="DO22">
            <v>0</v>
          </cell>
          <cell r="DP22" t="str">
            <v>COMPRAR</v>
          </cell>
          <cell r="DQ22">
            <v>1250</v>
          </cell>
        </row>
        <row r="23">
          <cell r="B23">
            <v>402252</v>
          </cell>
          <cell r="C23" t="str">
            <v>CAJA PTG 15PP SISA VTM SUR</v>
          </cell>
          <cell r="D23">
            <v>1000</v>
          </cell>
          <cell r="E23">
            <v>445</v>
          </cell>
          <cell r="F23"/>
          <cell r="G23"/>
          <cell r="H23">
            <v>900</v>
          </cell>
          <cell r="I23"/>
          <cell r="J23">
            <v>900</v>
          </cell>
          <cell r="K23"/>
          <cell r="L23">
            <v>1800</v>
          </cell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>
            <v>900</v>
          </cell>
          <cell r="AB23"/>
          <cell r="AC23"/>
          <cell r="AD23"/>
          <cell r="AE23"/>
          <cell r="AF23">
            <v>550</v>
          </cell>
          <cell r="AG23">
            <v>400</v>
          </cell>
          <cell r="AH23"/>
          <cell r="AI23"/>
          <cell r="AJ23"/>
          <cell r="AK23"/>
          <cell r="AL23"/>
          <cell r="AM23">
            <v>500</v>
          </cell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>
            <v>500</v>
          </cell>
          <cell r="CQ23">
            <v>1000</v>
          </cell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 t="str">
            <v>ACTIVO</v>
          </cell>
          <cell r="DH23" t="str">
            <v>C</v>
          </cell>
          <cell r="DI23"/>
          <cell r="DJ23">
            <v>750</v>
          </cell>
          <cell r="DK23">
            <v>125</v>
          </cell>
          <cell r="DL23">
            <v>76.376261582597209</v>
          </cell>
          <cell r="DM23">
            <v>0</v>
          </cell>
          <cell r="DN23" t="str">
            <v>0</v>
          </cell>
          <cell r="DO23">
            <v>0</v>
          </cell>
          <cell r="DP23" t="str">
            <v>COMPRAR</v>
          </cell>
          <cell r="DQ23">
            <v>1875</v>
          </cell>
        </row>
        <row r="24">
          <cell r="B24">
            <v>403394</v>
          </cell>
          <cell r="C24" t="str">
            <v>CAJA PTG 15PP JUMBO PROSERVAR</v>
          </cell>
          <cell r="D24">
            <v>608</v>
          </cell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>
            <v>500</v>
          </cell>
          <cell r="W24">
            <v>500</v>
          </cell>
          <cell r="X24">
            <v>500</v>
          </cell>
          <cell r="Y24">
            <v>500</v>
          </cell>
          <cell r="Z24"/>
          <cell r="AA24"/>
          <cell r="AB24">
            <v>500</v>
          </cell>
          <cell r="AC24"/>
          <cell r="AD24"/>
          <cell r="AE24"/>
          <cell r="AF24"/>
          <cell r="AG24"/>
          <cell r="AH24"/>
          <cell r="AI24"/>
          <cell r="AJ24">
            <v>1000</v>
          </cell>
          <cell r="AK24">
            <v>450</v>
          </cell>
          <cell r="AL24"/>
          <cell r="AM24">
            <v>500</v>
          </cell>
          <cell r="AN24">
            <v>500</v>
          </cell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>
            <v>500</v>
          </cell>
          <cell r="BA24">
            <v>500</v>
          </cell>
          <cell r="BB24">
            <v>1000</v>
          </cell>
          <cell r="BC24"/>
          <cell r="BD24">
            <v>500</v>
          </cell>
          <cell r="BE24">
            <v>500</v>
          </cell>
          <cell r="BF24">
            <v>500</v>
          </cell>
          <cell r="BG24">
            <v>500</v>
          </cell>
          <cell r="BH24">
            <v>500</v>
          </cell>
          <cell r="BI24"/>
          <cell r="BJ24"/>
          <cell r="BK24"/>
          <cell r="BL24"/>
          <cell r="BM24"/>
          <cell r="BN24"/>
          <cell r="BO24"/>
          <cell r="BP24"/>
          <cell r="BQ24">
            <v>500</v>
          </cell>
          <cell r="BR24"/>
          <cell r="BS24"/>
          <cell r="BT24"/>
          <cell r="BU24"/>
          <cell r="BV24"/>
          <cell r="BW24"/>
          <cell r="BX24"/>
          <cell r="BY24"/>
          <cell r="BZ24">
            <v>500</v>
          </cell>
          <cell r="CA24">
            <v>500</v>
          </cell>
          <cell r="CB24"/>
          <cell r="CC24">
            <v>500</v>
          </cell>
          <cell r="CD24">
            <v>500</v>
          </cell>
          <cell r="CE24"/>
          <cell r="CF24"/>
          <cell r="CG24">
            <v>500</v>
          </cell>
          <cell r="CH24">
            <v>500</v>
          </cell>
          <cell r="CI24">
            <v>500</v>
          </cell>
          <cell r="CJ24">
            <v>500</v>
          </cell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>
            <v>500</v>
          </cell>
          <cell r="CY24"/>
          <cell r="CZ24"/>
          <cell r="DA24"/>
          <cell r="DB24"/>
          <cell r="DC24"/>
          <cell r="DD24"/>
          <cell r="DE24"/>
          <cell r="DF24"/>
          <cell r="DG24" t="str">
            <v>ACTIVO</v>
          </cell>
          <cell r="DH24" t="str">
            <v>C</v>
          </cell>
          <cell r="DI24"/>
          <cell r="DJ24">
            <v>500</v>
          </cell>
          <cell r="DK24">
            <v>83.333333333333329</v>
          </cell>
          <cell r="DL24">
            <v>167.59545129303973</v>
          </cell>
          <cell r="DM24">
            <v>0</v>
          </cell>
          <cell r="DN24" t="str">
            <v>0</v>
          </cell>
          <cell r="DO24">
            <v>0</v>
          </cell>
          <cell r="DP24" t="str">
            <v>COMPRAR</v>
          </cell>
          <cell r="DQ24">
            <v>1250</v>
          </cell>
        </row>
        <row r="25">
          <cell r="B25">
            <v>107362</v>
          </cell>
          <cell r="C25" t="str">
            <v>CAJA PTG 15PP JUMBO SYCOR</v>
          </cell>
          <cell r="D25"/>
          <cell r="E25"/>
          <cell r="F25"/>
          <cell r="G25">
            <v>800</v>
          </cell>
          <cell r="H25"/>
          <cell r="I25">
            <v>400</v>
          </cell>
          <cell r="J25"/>
          <cell r="K25"/>
          <cell r="L25">
            <v>450</v>
          </cell>
          <cell r="M25">
            <v>450</v>
          </cell>
          <cell r="N25">
            <v>950</v>
          </cell>
          <cell r="O25"/>
          <cell r="P25">
            <v>500</v>
          </cell>
          <cell r="Q25"/>
          <cell r="R25">
            <v>500</v>
          </cell>
          <cell r="S25">
            <v>500</v>
          </cell>
          <cell r="T25"/>
          <cell r="U25"/>
          <cell r="V25"/>
          <cell r="W25"/>
          <cell r="X25"/>
          <cell r="Y25"/>
          <cell r="Z25"/>
          <cell r="AA25">
            <v>500</v>
          </cell>
          <cell r="AB25"/>
          <cell r="AC25"/>
          <cell r="AD25"/>
          <cell r="AE25"/>
          <cell r="AF25"/>
          <cell r="AG25"/>
          <cell r="AH25">
            <v>1000</v>
          </cell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>
            <v>500</v>
          </cell>
          <cell r="AT25">
            <v>500</v>
          </cell>
          <cell r="AU25"/>
          <cell r="AV25">
            <v>1000</v>
          </cell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>
            <v>500</v>
          </cell>
          <cell r="BJ25"/>
          <cell r="BK25">
            <v>500</v>
          </cell>
          <cell r="BL25">
            <v>500</v>
          </cell>
          <cell r="BM25">
            <v>500</v>
          </cell>
          <cell r="BN25">
            <v>500</v>
          </cell>
          <cell r="BO25">
            <v>500</v>
          </cell>
          <cell r="BP25"/>
          <cell r="BQ25">
            <v>500</v>
          </cell>
          <cell r="BR25">
            <v>500</v>
          </cell>
          <cell r="BS25">
            <v>500</v>
          </cell>
          <cell r="BT25">
            <v>759</v>
          </cell>
          <cell r="BU25">
            <v>500</v>
          </cell>
          <cell r="BV25"/>
          <cell r="BW25"/>
          <cell r="BX25"/>
          <cell r="BY25">
            <v>1000</v>
          </cell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>
            <v>500</v>
          </cell>
          <cell r="DA25"/>
          <cell r="DB25"/>
          <cell r="DC25"/>
          <cell r="DD25"/>
          <cell r="DE25"/>
          <cell r="DF25"/>
          <cell r="DG25" t="str">
            <v>ACTIVO</v>
          </cell>
          <cell r="DH25" t="str">
            <v>C</v>
          </cell>
          <cell r="DI25"/>
          <cell r="DJ25">
            <v>500</v>
          </cell>
          <cell r="DK25">
            <v>83.333333333333329</v>
          </cell>
          <cell r="DL25">
            <v>203.91189886811412</v>
          </cell>
          <cell r="DM25">
            <v>0</v>
          </cell>
          <cell r="DN25" t="str">
            <v>0</v>
          </cell>
          <cell r="DO25">
            <v>0</v>
          </cell>
          <cell r="DP25" t="str">
            <v>COMPRAR</v>
          </cell>
          <cell r="DQ25">
            <v>1250</v>
          </cell>
        </row>
        <row r="26">
          <cell r="B26">
            <v>402251</v>
          </cell>
          <cell r="C26" t="str">
            <v>CAJA PTG 15PP JUMBO VTM SUR</v>
          </cell>
          <cell r="D26"/>
          <cell r="E26"/>
          <cell r="F26"/>
          <cell r="G26"/>
          <cell r="H26"/>
          <cell r="I26"/>
          <cell r="J26"/>
          <cell r="K26">
            <v>450</v>
          </cell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>
            <v>450</v>
          </cell>
          <cell r="AF26"/>
          <cell r="AG26"/>
          <cell r="AH26"/>
          <cell r="AI26"/>
          <cell r="AJ26"/>
          <cell r="AK26"/>
          <cell r="AL26">
            <v>500</v>
          </cell>
          <cell r="AM26"/>
          <cell r="AN26">
            <v>600</v>
          </cell>
          <cell r="AO26"/>
          <cell r="AP26"/>
          <cell r="AQ26">
            <v>1300</v>
          </cell>
          <cell r="AR26">
            <v>550</v>
          </cell>
          <cell r="AS26"/>
          <cell r="AT26"/>
          <cell r="AU26"/>
          <cell r="AV26"/>
          <cell r="AW26">
            <v>500</v>
          </cell>
          <cell r="AX26">
            <v>500</v>
          </cell>
          <cell r="AY26"/>
          <cell r="AZ26"/>
          <cell r="BA26"/>
          <cell r="BB26"/>
          <cell r="BC26"/>
          <cell r="BD26">
            <v>500</v>
          </cell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>
            <v>500</v>
          </cell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>
            <v>500</v>
          </cell>
          <cell r="CN26"/>
          <cell r="CO26"/>
          <cell r="CP26">
            <v>500</v>
          </cell>
          <cell r="CQ26">
            <v>500</v>
          </cell>
          <cell r="CR26">
            <v>500</v>
          </cell>
          <cell r="CS26">
            <v>500</v>
          </cell>
          <cell r="CT26">
            <v>500</v>
          </cell>
          <cell r="CU26"/>
          <cell r="CV26">
            <v>1000</v>
          </cell>
          <cell r="CW26"/>
          <cell r="CX26"/>
          <cell r="CY26"/>
          <cell r="CZ26"/>
          <cell r="DA26">
            <v>500</v>
          </cell>
          <cell r="DB26">
            <v>500</v>
          </cell>
          <cell r="DC26">
            <v>500</v>
          </cell>
          <cell r="DD26">
            <v>400</v>
          </cell>
          <cell r="DE26"/>
          <cell r="DF26"/>
          <cell r="DG26" t="str">
            <v>ACTIVO</v>
          </cell>
          <cell r="DH26" t="str">
            <v>C</v>
          </cell>
          <cell r="DI26"/>
          <cell r="DJ26">
            <v>536.36363636363637</v>
          </cell>
          <cell r="DK26">
            <v>89.393939393939391</v>
          </cell>
          <cell r="DL26">
            <v>265.75364531836624</v>
          </cell>
          <cell r="DM26">
            <v>500</v>
          </cell>
          <cell r="DN26">
            <v>283130</v>
          </cell>
          <cell r="DO26">
            <v>0.93220338983050843</v>
          </cell>
          <cell r="DP26" t="str">
            <v>COMPRAR</v>
          </cell>
          <cell r="DQ26">
            <v>1340.9090909090908</v>
          </cell>
        </row>
        <row r="27">
          <cell r="B27">
            <v>405790</v>
          </cell>
          <cell r="C27" t="str">
            <v>CAJA PTG 15PP JUMBO FULL CARTON</v>
          </cell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>
            <v>1000</v>
          </cell>
          <cell r="DF27"/>
          <cell r="DG27" t="str">
            <v>ACTIVO</v>
          </cell>
          <cell r="DH27" t="str">
            <v/>
          </cell>
          <cell r="DI27"/>
          <cell r="DJ27">
            <v>0</v>
          </cell>
          <cell r="DK27">
            <v>0</v>
          </cell>
          <cell r="DL27">
            <v>0</v>
          </cell>
          <cell r="DM27">
            <v>500</v>
          </cell>
          <cell r="DN27">
            <v>281300</v>
          </cell>
          <cell r="DO27">
            <v>0</v>
          </cell>
          <cell r="DP27" t="str">
            <v>OK</v>
          </cell>
          <cell r="DQ27">
            <v>0</v>
          </cell>
        </row>
        <row r="28">
          <cell r="B28">
            <v>107276</v>
          </cell>
          <cell r="C28" t="str">
            <v>CAJA TORTA MEDIANA PROSERVAR</v>
          </cell>
          <cell r="D28"/>
          <cell r="E28"/>
          <cell r="F28"/>
          <cell r="G28">
            <v>1600</v>
          </cell>
          <cell r="H28"/>
          <cell r="I28">
            <v>1600</v>
          </cell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>
            <v>500</v>
          </cell>
          <cell r="BA28"/>
          <cell r="BB28">
            <v>500</v>
          </cell>
          <cell r="BC28">
            <v>600</v>
          </cell>
          <cell r="BD28"/>
          <cell r="BE28"/>
          <cell r="BF28"/>
          <cell r="BG28"/>
          <cell r="BH28">
            <v>550</v>
          </cell>
          <cell r="BI28">
            <v>500</v>
          </cell>
          <cell r="BJ28"/>
          <cell r="BK28">
            <v>500</v>
          </cell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>
            <v>500</v>
          </cell>
          <cell r="CY28"/>
          <cell r="CZ28">
            <v>200</v>
          </cell>
          <cell r="DA28"/>
          <cell r="DB28"/>
          <cell r="DC28"/>
          <cell r="DD28"/>
          <cell r="DE28"/>
          <cell r="DF28"/>
          <cell r="DG28" t="str">
            <v>ACTIVO</v>
          </cell>
          <cell r="DH28" t="str">
            <v>C</v>
          </cell>
          <cell r="DI28"/>
          <cell r="DJ28">
            <v>350</v>
          </cell>
          <cell r="DK28">
            <v>58.333333333333336</v>
          </cell>
          <cell r="DL28">
            <v>41.83300132670378</v>
          </cell>
          <cell r="DM28">
            <v>0</v>
          </cell>
          <cell r="DN28" t="str">
            <v>0</v>
          </cell>
          <cell r="DO28">
            <v>0</v>
          </cell>
          <cell r="DP28" t="str">
            <v>COMPRAR</v>
          </cell>
          <cell r="DQ28">
            <v>875</v>
          </cell>
        </row>
        <row r="29">
          <cell r="B29">
            <v>402253</v>
          </cell>
          <cell r="C29" t="str">
            <v>CAJA TORTA MEDIANA VTM SUR</v>
          </cell>
          <cell r="D29">
            <v>2400</v>
          </cell>
          <cell r="E29"/>
          <cell r="F29"/>
          <cell r="G29">
            <v>629.58199999999999</v>
          </cell>
          <cell r="H29"/>
          <cell r="I29"/>
          <cell r="J29">
            <v>1200</v>
          </cell>
          <cell r="K29">
            <v>1700</v>
          </cell>
          <cell r="L29">
            <v>2100</v>
          </cell>
          <cell r="M29">
            <v>500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>
            <v>2400</v>
          </cell>
          <cell r="X29"/>
          <cell r="Y29">
            <v>1000</v>
          </cell>
          <cell r="Z29"/>
          <cell r="AA29"/>
          <cell r="AB29"/>
          <cell r="AC29"/>
          <cell r="AD29"/>
          <cell r="AE29">
            <v>1600</v>
          </cell>
          <cell r="AF29"/>
          <cell r="AG29">
            <v>1300</v>
          </cell>
          <cell r="AH29"/>
          <cell r="AI29"/>
          <cell r="AJ29"/>
          <cell r="AK29"/>
          <cell r="AL29">
            <v>1300</v>
          </cell>
          <cell r="AM29"/>
          <cell r="AN29"/>
          <cell r="AO29"/>
          <cell r="AP29">
            <v>400</v>
          </cell>
          <cell r="AQ29">
            <v>882</v>
          </cell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>
            <v>500</v>
          </cell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>
            <v>600</v>
          </cell>
          <cell r="CC29"/>
          <cell r="CD29"/>
          <cell r="CE29"/>
          <cell r="CF29"/>
          <cell r="CG29"/>
          <cell r="CH29"/>
          <cell r="CI29"/>
          <cell r="CJ29"/>
          <cell r="CK29"/>
          <cell r="CL29">
            <v>700</v>
          </cell>
          <cell r="CM29"/>
          <cell r="CN29"/>
          <cell r="CO29"/>
          <cell r="CP29">
            <v>500</v>
          </cell>
          <cell r="CQ29"/>
          <cell r="CR29">
            <v>600</v>
          </cell>
          <cell r="CS29"/>
          <cell r="CT29"/>
          <cell r="CU29"/>
          <cell r="CV29"/>
          <cell r="CW29"/>
          <cell r="CX29"/>
          <cell r="CY29"/>
          <cell r="CZ29">
            <v>200</v>
          </cell>
          <cell r="DA29"/>
          <cell r="DB29">
            <v>500</v>
          </cell>
          <cell r="DC29">
            <v>500</v>
          </cell>
          <cell r="DD29"/>
          <cell r="DE29">
            <v>500</v>
          </cell>
          <cell r="DF29"/>
          <cell r="DG29" t="str">
            <v>ACTIVO</v>
          </cell>
          <cell r="DH29" t="str">
            <v>C</v>
          </cell>
          <cell r="DI29"/>
          <cell r="DJ29">
            <v>500</v>
          </cell>
          <cell r="DK29">
            <v>83.333333333333329</v>
          </cell>
          <cell r="DL29">
            <v>465.28905506352146</v>
          </cell>
          <cell r="DM29">
            <v>0</v>
          </cell>
          <cell r="DN29" t="str">
            <v>0</v>
          </cell>
          <cell r="DO29">
            <v>0</v>
          </cell>
          <cell r="DP29" t="str">
            <v>COMPRAR</v>
          </cell>
          <cell r="DQ29">
            <v>1250</v>
          </cell>
        </row>
        <row r="30">
          <cell r="B30">
            <v>107364</v>
          </cell>
          <cell r="C30" t="str">
            <v>CAJA TORTA MEDIANA SYCOR</v>
          </cell>
          <cell r="D30"/>
          <cell r="E30"/>
          <cell r="F30">
            <v>1800</v>
          </cell>
          <cell r="G30">
            <v>720.41800000000001</v>
          </cell>
          <cell r="H30"/>
          <cell r="I30"/>
          <cell r="J30"/>
          <cell r="K30"/>
          <cell r="L30">
            <v>800</v>
          </cell>
          <cell r="M30">
            <v>1300</v>
          </cell>
          <cell r="N30">
            <v>1500</v>
          </cell>
          <cell r="O30">
            <v>500</v>
          </cell>
          <cell r="P30">
            <v>1000</v>
          </cell>
          <cell r="Q30">
            <v>2300</v>
          </cell>
          <cell r="R30"/>
          <cell r="S30"/>
          <cell r="T30"/>
          <cell r="U30">
            <v>1000</v>
          </cell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>
            <v>600</v>
          </cell>
          <cell r="AK30"/>
          <cell r="AL30">
            <v>650</v>
          </cell>
          <cell r="AM30"/>
          <cell r="AN30">
            <v>750</v>
          </cell>
          <cell r="AO30"/>
          <cell r="AP30"/>
          <cell r="AQ30"/>
          <cell r="AR30"/>
          <cell r="AS30"/>
          <cell r="AT30"/>
          <cell r="AU30">
            <v>500</v>
          </cell>
          <cell r="AV30">
            <v>500</v>
          </cell>
          <cell r="AW30"/>
          <cell r="AX30"/>
          <cell r="AY30">
            <v>500</v>
          </cell>
          <cell r="AZ30"/>
          <cell r="BA30">
            <v>500</v>
          </cell>
          <cell r="BB30">
            <v>500</v>
          </cell>
          <cell r="BC30"/>
          <cell r="BD30"/>
          <cell r="BE30"/>
          <cell r="BF30"/>
          <cell r="BG30"/>
          <cell r="BH30"/>
          <cell r="BI30"/>
          <cell r="BJ30"/>
          <cell r="BK30">
            <v>1000</v>
          </cell>
          <cell r="BL30">
            <v>500</v>
          </cell>
          <cell r="BM30">
            <v>500</v>
          </cell>
          <cell r="BN30">
            <v>500</v>
          </cell>
          <cell r="BO30"/>
          <cell r="BP30"/>
          <cell r="BQ30">
            <v>500</v>
          </cell>
          <cell r="BR30"/>
          <cell r="BS30">
            <v>500</v>
          </cell>
          <cell r="BT30">
            <v>3000</v>
          </cell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>
            <v>1000</v>
          </cell>
          <cell r="CJ30"/>
          <cell r="CK30">
            <v>500</v>
          </cell>
          <cell r="CL30"/>
          <cell r="CM30"/>
          <cell r="CN30"/>
          <cell r="CO30"/>
          <cell r="CP30"/>
          <cell r="CQ30">
            <v>500</v>
          </cell>
          <cell r="CR30"/>
          <cell r="CS30"/>
          <cell r="CT30"/>
          <cell r="CU30">
            <v>500</v>
          </cell>
          <cell r="CV30"/>
          <cell r="CW30">
            <v>500</v>
          </cell>
          <cell r="CX30"/>
          <cell r="CY30"/>
          <cell r="CZ30"/>
          <cell r="DA30"/>
          <cell r="DB30"/>
          <cell r="DC30"/>
          <cell r="DD30"/>
          <cell r="DE30"/>
          <cell r="DF30"/>
          <cell r="DG30" t="str">
            <v>ACTIVO</v>
          </cell>
          <cell r="DH30" t="str">
            <v>C</v>
          </cell>
          <cell r="DI30"/>
          <cell r="DJ30">
            <v>600</v>
          </cell>
          <cell r="DK30">
            <v>100</v>
          </cell>
          <cell r="DL30">
            <v>642.44695908541371</v>
          </cell>
          <cell r="DM30">
            <v>0</v>
          </cell>
          <cell r="DN30" t="str">
            <v>0</v>
          </cell>
          <cell r="DO30">
            <v>0</v>
          </cell>
          <cell r="DP30" t="str">
            <v>COMPRAR</v>
          </cell>
          <cell r="DQ30">
            <v>1500</v>
          </cell>
        </row>
        <row r="31">
          <cell r="B31">
            <v>107361</v>
          </cell>
          <cell r="C31" t="str">
            <v>CAJA  PTG AZUL 15PP ALTA SYCOR</v>
          </cell>
          <cell r="D31"/>
          <cell r="E31"/>
          <cell r="F31"/>
          <cell r="G31">
            <v>399</v>
          </cell>
          <cell r="H31"/>
          <cell r="I31"/>
          <cell r="J31"/>
          <cell r="K31"/>
          <cell r="L31"/>
          <cell r="M31"/>
          <cell r="N31">
            <v>1000</v>
          </cell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>
            <v>500</v>
          </cell>
          <cell r="AT31"/>
          <cell r="AU31"/>
          <cell r="AV31"/>
          <cell r="AW31">
            <v>500</v>
          </cell>
          <cell r="AX31"/>
          <cell r="AY31"/>
          <cell r="AZ31">
            <v>500</v>
          </cell>
          <cell r="BA31">
            <v>500</v>
          </cell>
          <cell r="BB31"/>
          <cell r="BC31">
            <v>500</v>
          </cell>
          <cell r="BD31"/>
          <cell r="BE31">
            <v>500</v>
          </cell>
          <cell r="BF31"/>
          <cell r="BG31"/>
          <cell r="BH31"/>
          <cell r="BI31"/>
          <cell r="BJ31"/>
          <cell r="BK31">
            <v>500</v>
          </cell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>
            <v>500</v>
          </cell>
          <cell r="BZ31"/>
          <cell r="CA31"/>
          <cell r="CB31"/>
          <cell r="CC31">
            <v>400</v>
          </cell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>
            <v>500</v>
          </cell>
          <cell r="CO31">
            <v>500</v>
          </cell>
          <cell r="CP31"/>
          <cell r="CQ31"/>
          <cell r="CR31">
            <v>500</v>
          </cell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>
            <v>500</v>
          </cell>
          <cell r="DF31"/>
          <cell r="DG31" t="str">
            <v>ACTIVO</v>
          </cell>
          <cell r="DH31" t="str">
            <v>C</v>
          </cell>
          <cell r="DI31"/>
          <cell r="DJ31">
            <v>500</v>
          </cell>
          <cell r="DK31">
            <v>83.333333333333329</v>
          </cell>
          <cell r="DL31">
            <v>33.333333333333336</v>
          </cell>
          <cell r="DM31">
            <v>0</v>
          </cell>
          <cell r="DN31" t="str">
            <v>0</v>
          </cell>
          <cell r="DO31">
            <v>0</v>
          </cell>
          <cell r="DP31" t="str">
            <v>COMPRAR</v>
          </cell>
          <cell r="DQ31">
            <v>1250</v>
          </cell>
        </row>
        <row r="32">
          <cell r="B32">
            <v>403310</v>
          </cell>
          <cell r="C32" t="str">
            <v>CAJA  PTG AZUL 15PP ALTA</v>
          </cell>
          <cell r="D32">
            <v>400</v>
          </cell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>
            <v>500</v>
          </cell>
          <cell r="Q32"/>
          <cell r="R32"/>
          <cell r="S32"/>
          <cell r="T32">
            <v>400</v>
          </cell>
          <cell r="U32"/>
          <cell r="V32"/>
          <cell r="W32"/>
          <cell r="X32"/>
          <cell r="Y32"/>
          <cell r="Z32"/>
          <cell r="AA32">
            <v>500</v>
          </cell>
          <cell r="AB32">
            <v>300</v>
          </cell>
          <cell r="AC32"/>
          <cell r="AD32"/>
          <cell r="AE32"/>
          <cell r="AF32"/>
          <cell r="AG32"/>
          <cell r="AH32"/>
          <cell r="AI32">
            <v>500</v>
          </cell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 t="str">
            <v>ACTIVO</v>
          </cell>
          <cell r="DH32" t="str">
            <v>C</v>
          </cell>
          <cell r="DI32"/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 t="str">
            <v>0</v>
          </cell>
          <cell r="DO32">
            <v>0</v>
          </cell>
          <cell r="DP32" t="str">
            <v>COMPRAR</v>
          </cell>
          <cell r="DQ32">
            <v>0</v>
          </cell>
        </row>
        <row r="33">
          <cell r="B33">
            <v>405696</v>
          </cell>
          <cell r="C33" t="str">
            <v>CAJA PASTELES 600X325X120 ASTRA</v>
          </cell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>
            <v>500</v>
          </cell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>
            <v>400</v>
          </cell>
          <cell r="DF33"/>
          <cell r="DG33" t="str">
            <v>ACTIVO</v>
          </cell>
          <cell r="DH33" t="str">
            <v/>
          </cell>
          <cell r="DI33"/>
          <cell r="DJ33">
            <v>500</v>
          </cell>
          <cell r="DK33">
            <v>83.333333333333329</v>
          </cell>
          <cell r="DL33">
            <v>0</v>
          </cell>
          <cell r="DM33">
            <v>100</v>
          </cell>
          <cell r="DN33">
            <v>60000</v>
          </cell>
          <cell r="DO33">
            <v>0.2</v>
          </cell>
          <cell r="DP33" t="str">
            <v>COMPRAR</v>
          </cell>
          <cell r="DQ33">
            <v>1250</v>
          </cell>
        </row>
        <row r="34">
          <cell r="B34">
            <v>405503</v>
          </cell>
          <cell r="C34" t="str">
            <v>CAJA PASTELES ASTRA</v>
          </cell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>
            <v>500</v>
          </cell>
          <cell r="AO34"/>
          <cell r="AP34">
            <v>870</v>
          </cell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>
            <v>600</v>
          </cell>
          <cell r="BF34"/>
          <cell r="BG34"/>
          <cell r="BH34">
            <v>600</v>
          </cell>
          <cell r="BI34"/>
          <cell r="BJ34"/>
          <cell r="BK34"/>
          <cell r="BL34">
            <v>858</v>
          </cell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>
            <v>1250</v>
          </cell>
          <cell r="BZ34"/>
          <cell r="CA34"/>
          <cell r="CB34"/>
          <cell r="CC34"/>
          <cell r="CD34"/>
          <cell r="CE34"/>
          <cell r="CF34"/>
          <cell r="CG34">
            <v>1700</v>
          </cell>
          <cell r="CH34"/>
          <cell r="CI34"/>
          <cell r="CJ34"/>
          <cell r="CK34"/>
          <cell r="CL34"/>
          <cell r="CM34"/>
          <cell r="CN34"/>
          <cell r="CO34">
            <v>550</v>
          </cell>
          <cell r="CP34"/>
          <cell r="CQ34"/>
          <cell r="CR34"/>
          <cell r="CS34"/>
          <cell r="CT34"/>
          <cell r="CU34"/>
          <cell r="CV34">
            <v>950</v>
          </cell>
          <cell r="CW34"/>
          <cell r="CX34"/>
          <cell r="CY34"/>
          <cell r="CZ34">
            <v>362</v>
          </cell>
          <cell r="DA34"/>
          <cell r="DB34"/>
          <cell r="DC34"/>
          <cell r="DD34"/>
          <cell r="DE34"/>
          <cell r="DF34"/>
          <cell r="DG34" t="str">
            <v>ACTIVO</v>
          </cell>
          <cell r="DH34" t="str">
            <v>C</v>
          </cell>
          <cell r="DI34"/>
          <cell r="DJ34">
            <v>890.5</v>
          </cell>
          <cell r="DK34">
            <v>148.41666666666666</v>
          </cell>
          <cell r="DL34">
            <v>275.05756973162312</v>
          </cell>
          <cell r="DM34">
            <v>500</v>
          </cell>
          <cell r="DN34">
            <v>203500</v>
          </cell>
          <cell r="DO34">
            <v>0.56148231330713083</v>
          </cell>
          <cell r="DP34" t="str">
            <v>COMPRAR</v>
          </cell>
          <cell r="DQ34">
            <v>2226.25</v>
          </cell>
        </row>
        <row r="35">
          <cell r="B35">
            <v>403315</v>
          </cell>
          <cell r="C35" t="str">
            <v>CAJA DE PASTELES PAIMASA</v>
          </cell>
          <cell r="D35"/>
          <cell r="E35"/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>
            <v>50</v>
          </cell>
          <cell r="Q35"/>
          <cell r="R35">
            <v>500</v>
          </cell>
          <cell r="S35"/>
          <cell r="T35">
            <v>700</v>
          </cell>
          <cell r="U35"/>
          <cell r="V35"/>
          <cell r="W35"/>
          <cell r="X35"/>
          <cell r="Y35"/>
          <cell r="Z35"/>
          <cell r="AA35"/>
          <cell r="AB35">
            <v>1250</v>
          </cell>
          <cell r="AC35"/>
          <cell r="AD35"/>
          <cell r="AE35"/>
          <cell r="AF35"/>
          <cell r="AG35"/>
          <cell r="AH35">
            <v>1500</v>
          </cell>
          <cell r="AI35"/>
          <cell r="AJ35"/>
          <cell r="AK35"/>
          <cell r="AL35"/>
          <cell r="AM35"/>
          <cell r="AN35"/>
          <cell r="AO35"/>
          <cell r="AP35"/>
          <cell r="AQ35"/>
          <cell r="AR35"/>
          <cell r="AS35"/>
          <cell r="AT35"/>
          <cell r="AU35"/>
          <cell r="AV35"/>
          <cell r="AW35"/>
          <cell r="AX35"/>
          <cell r="AY35"/>
          <cell r="AZ35"/>
          <cell r="BA35"/>
          <cell r="BB35"/>
          <cell r="BC35"/>
          <cell r="BD35"/>
          <cell r="BE35"/>
          <cell r="BF35"/>
          <cell r="BG35"/>
          <cell r="BH35"/>
          <cell r="BI35"/>
          <cell r="BJ35"/>
          <cell r="BK35"/>
          <cell r="BL35"/>
          <cell r="BM35"/>
          <cell r="BN35"/>
          <cell r="BO35"/>
          <cell r="BP35"/>
          <cell r="BQ35"/>
          <cell r="BR35"/>
          <cell r="BS35"/>
          <cell r="BT35"/>
          <cell r="BU35"/>
          <cell r="BV35"/>
          <cell r="BW35"/>
          <cell r="BX35"/>
          <cell r="BY35"/>
          <cell r="BZ35"/>
          <cell r="CA35"/>
          <cell r="CB35"/>
          <cell r="CC35"/>
          <cell r="CD35"/>
          <cell r="CE35"/>
          <cell r="CF35"/>
          <cell r="CG35"/>
          <cell r="CH35"/>
          <cell r="CI35"/>
          <cell r="CJ35"/>
          <cell r="CK35"/>
          <cell r="CL35"/>
          <cell r="CM35"/>
          <cell r="CN35"/>
          <cell r="CO35"/>
          <cell r="CP35"/>
          <cell r="CQ35"/>
          <cell r="CR35"/>
          <cell r="CS35"/>
          <cell r="CT35"/>
          <cell r="CU35"/>
          <cell r="CV35"/>
          <cell r="CW35"/>
          <cell r="CX35"/>
          <cell r="CY35"/>
          <cell r="CZ35"/>
          <cell r="DA35"/>
          <cell r="DB35"/>
          <cell r="DC35"/>
          <cell r="DD35"/>
          <cell r="DE35"/>
          <cell r="DF35"/>
          <cell r="DG35" t="str">
            <v>ACTIVO</v>
          </cell>
          <cell r="DH35" t="str">
            <v>C</v>
          </cell>
          <cell r="DI35"/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 t="str">
            <v>0</v>
          </cell>
          <cell r="DO35">
            <v>0</v>
          </cell>
          <cell r="DP35" t="str">
            <v>COMPRAR</v>
          </cell>
          <cell r="DQ35">
            <v>0</v>
          </cell>
        </row>
        <row r="36">
          <cell r="B36">
            <v>107365</v>
          </cell>
          <cell r="C36" t="str">
            <v>CAJA PRODUCTO SECO (PS) SYCOR</v>
          </cell>
          <cell r="D36"/>
          <cell r="E36"/>
          <cell r="F36">
            <v>450</v>
          </cell>
          <cell r="G36">
            <v>300</v>
          </cell>
          <cell r="H36"/>
          <cell r="I36">
            <v>500</v>
          </cell>
          <cell r="J36"/>
          <cell r="K36">
            <v>500</v>
          </cell>
          <cell r="L36"/>
          <cell r="M36"/>
          <cell r="N36">
            <v>500</v>
          </cell>
          <cell r="O36">
            <v>1000</v>
          </cell>
          <cell r="P36">
            <v>1050</v>
          </cell>
          <cell r="Q36">
            <v>400</v>
          </cell>
          <cell r="R36">
            <v>50</v>
          </cell>
          <cell r="S36"/>
          <cell r="T36"/>
          <cell r="U36"/>
          <cell r="V36">
            <v>500</v>
          </cell>
          <cell r="W36">
            <v>500</v>
          </cell>
          <cell r="X36">
            <v>500</v>
          </cell>
          <cell r="Y36">
            <v>500</v>
          </cell>
          <cell r="Z36"/>
          <cell r="AA36"/>
          <cell r="AB36">
            <v>500</v>
          </cell>
          <cell r="AC36">
            <v>1000</v>
          </cell>
          <cell r="AD36"/>
          <cell r="AE36"/>
          <cell r="AF36"/>
          <cell r="AG36"/>
          <cell r="AH36">
            <v>1100</v>
          </cell>
          <cell r="AI36">
            <v>600</v>
          </cell>
          <cell r="AJ36">
            <v>400</v>
          </cell>
          <cell r="AK36"/>
          <cell r="AL36"/>
          <cell r="AM36">
            <v>500</v>
          </cell>
          <cell r="AN36"/>
          <cell r="AO36"/>
          <cell r="AP36"/>
          <cell r="AQ36">
            <v>650</v>
          </cell>
          <cell r="AR36"/>
          <cell r="AS36">
            <v>1120</v>
          </cell>
          <cell r="AT36"/>
          <cell r="AU36"/>
          <cell r="AV36">
            <v>1000</v>
          </cell>
          <cell r="AW36">
            <v>576</v>
          </cell>
          <cell r="AX36"/>
          <cell r="AY36"/>
          <cell r="AZ36">
            <v>500</v>
          </cell>
          <cell r="BA36"/>
          <cell r="BB36">
            <v>1000</v>
          </cell>
          <cell r="BC36"/>
          <cell r="BD36">
            <v>500</v>
          </cell>
          <cell r="BE36">
            <v>500</v>
          </cell>
          <cell r="BF36">
            <v>475</v>
          </cell>
          <cell r="BG36"/>
          <cell r="BH36">
            <v>1000</v>
          </cell>
          <cell r="BI36"/>
          <cell r="BJ36"/>
          <cell r="BK36">
            <v>500</v>
          </cell>
          <cell r="BL36"/>
          <cell r="BM36"/>
          <cell r="BN36">
            <v>500</v>
          </cell>
          <cell r="BO36">
            <v>500</v>
          </cell>
          <cell r="BP36"/>
          <cell r="BQ36">
            <v>500</v>
          </cell>
          <cell r="BR36"/>
          <cell r="BS36"/>
          <cell r="BT36"/>
          <cell r="BU36">
            <v>500</v>
          </cell>
          <cell r="BV36">
            <v>500</v>
          </cell>
          <cell r="BW36"/>
          <cell r="BX36"/>
          <cell r="BY36">
            <v>500</v>
          </cell>
          <cell r="BZ36"/>
          <cell r="CA36">
            <v>600</v>
          </cell>
          <cell r="CB36">
            <v>500</v>
          </cell>
          <cell r="CC36"/>
          <cell r="CD36">
            <v>500</v>
          </cell>
          <cell r="CE36">
            <v>144</v>
          </cell>
          <cell r="CF36"/>
          <cell r="CG36">
            <v>500</v>
          </cell>
          <cell r="CH36"/>
          <cell r="CI36"/>
          <cell r="CJ36"/>
          <cell r="CK36">
            <v>500</v>
          </cell>
          <cell r="CL36">
            <v>500</v>
          </cell>
          <cell r="CM36"/>
          <cell r="CN36">
            <v>500</v>
          </cell>
          <cell r="CO36"/>
          <cell r="CP36">
            <v>500</v>
          </cell>
          <cell r="CQ36">
            <v>500</v>
          </cell>
          <cell r="CR36"/>
          <cell r="CS36">
            <v>1000</v>
          </cell>
          <cell r="CT36"/>
          <cell r="CU36"/>
          <cell r="CV36">
            <v>500</v>
          </cell>
          <cell r="CW36"/>
          <cell r="CX36">
            <v>500</v>
          </cell>
          <cell r="CY36"/>
          <cell r="CZ36"/>
          <cell r="DA36">
            <v>500</v>
          </cell>
          <cell r="DB36"/>
          <cell r="DC36">
            <v>589</v>
          </cell>
          <cell r="DD36">
            <v>500</v>
          </cell>
          <cell r="DE36">
            <v>2000</v>
          </cell>
          <cell r="DF36"/>
          <cell r="DG36" t="str">
            <v>ACTIVO</v>
          </cell>
          <cell r="DH36" t="str">
            <v>C</v>
          </cell>
          <cell r="DI36"/>
          <cell r="DJ36">
            <v>549.08333333333337</v>
          </cell>
          <cell r="DK36">
            <v>91.5138888888889</v>
          </cell>
          <cell r="DL36">
            <v>241.17317429598177</v>
          </cell>
          <cell r="DM36">
            <v>2501</v>
          </cell>
          <cell r="DN36">
            <v>1232993</v>
          </cell>
          <cell r="DO36">
            <v>4.5548641675519805</v>
          </cell>
          <cell r="DP36" t="str">
            <v>OK</v>
          </cell>
          <cell r="DQ36">
            <v>1372.7083333333335</v>
          </cell>
        </row>
        <row r="37">
          <cell r="B37">
            <v>107367</v>
          </cell>
          <cell r="C37" t="str">
            <v>CAJA DE ENCOMIENDA (EN) SYCOR</v>
          </cell>
          <cell r="D37"/>
          <cell r="E37">
            <v>400</v>
          </cell>
          <cell r="F37">
            <v>400</v>
          </cell>
          <cell r="G37">
            <v>400</v>
          </cell>
          <cell r="H37"/>
          <cell r="I37"/>
          <cell r="J37">
            <v>400</v>
          </cell>
          <cell r="K37">
            <v>400</v>
          </cell>
          <cell r="L37"/>
          <cell r="M37">
            <v>400</v>
          </cell>
          <cell r="N37">
            <v>500</v>
          </cell>
          <cell r="O37"/>
          <cell r="P37">
            <v>900</v>
          </cell>
          <cell r="Q37"/>
          <cell r="R37"/>
          <cell r="S37"/>
          <cell r="T37"/>
          <cell r="U37">
            <v>400</v>
          </cell>
          <cell r="V37"/>
          <cell r="W37"/>
          <cell r="X37"/>
          <cell r="Y37">
            <v>400</v>
          </cell>
          <cell r="Z37"/>
          <cell r="AA37"/>
          <cell r="AB37">
            <v>400</v>
          </cell>
          <cell r="AC37">
            <v>800</v>
          </cell>
          <cell r="AD37"/>
          <cell r="AE37"/>
          <cell r="AF37">
            <v>400</v>
          </cell>
          <cell r="AG37">
            <v>400</v>
          </cell>
          <cell r="AH37">
            <v>600</v>
          </cell>
          <cell r="AI37"/>
          <cell r="AJ37">
            <v>500</v>
          </cell>
          <cell r="AK37">
            <v>170</v>
          </cell>
          <cell r="AL37"/>
          <cell r="AM37"/>
          <cell r="AN37"/>
          <cell r="AO37"/>
          <cell r="AP37">
            <v>500</v>
          </cell>
          <cell r="AQ37">
            <v>550</v>
          </cell>
          <cell r="AR37"/>
          <cell r="AS37">
            <v>1350</v>
          </cell>
          <cell r="AT37"/>
          <cell r="AU37">
            <v>450</v>
          </cell>
          <cell r="AV37"/>
          <cell r="AW37">
            <v>500</v>
          </cell>
          <cell r="AX37"/>
          <cell r="AY37">
            <v>500</v>
          </cell>
          <cell r="AZ37"/>
          <cell r="BA37">
            <v>500</v>
          </cell>
          <cell r="BB37">
            <v>550</v>
          </cell>
          <cell r="BC37">
            <v>500</v>
          </cell>
          <cell r="BD37">
            <v>400</v>
          </cell>
          <cell r="BE37">
            <v>500</v>
          </cell>
          <cell r="BF37">
            <v>400</v>
          </cell>
          <cell r="BG37"/>
          <cell r="BH37"/>
          <cell r="BI37"/>
          <cell r="BJ37">
            <v>225</v>
          </cell>
          <cell r="BK37"/>
          <cell r="BL37"/>
          <cell r="BM37"/>
          <cell r="BN37"/>
          <cell r="BO37">
            <v>550</v>
          </cell>
          <cell r="BP37">
            <v>150</v>
          </cell>
          <cell r="BQ37"/>
          <cell r="BR37"/>
          <cell r="BS37"/>
          <cell r="BT37"/>
          <cell r="BU37">
            <v>500</v>
          </cell>
          <cell r="BV37">
            <v>500</v>
          </cell>
          <cell r="BW37"/>
          <cell r="BX37"/>
          <cell r="BY37"/>
          <cell r="BZ37"/>
          <cell r="CA37">
            <v>500</v>
          </cell>
          <cell r="CB37"/>
          <cell r="CC37">
            <v>500</v>
          </cell>
          <cell r="CD37"/>
          <cell r="CE37"/>
          <cell r="CF37">
            <v>400</v>
          </cell>
          <cell r="CG37">
            <v>500</v>
          </cell>
          <cell r="CH37"/>
          <cell r="CI37"/>
          <cell r="CJ37"/>
          <cell r="CK37">
            <v>400</v>
          </cell>
          <cell r="CL37"/>
          <cell r="CM37"/>
          <cell r="CN37">
            <v>400</v>
          </cell>
          <cell r="CO37"/>
          <cell r="CP37"/>
          <cell r="CQ37">
            <v>400</v>
          </cell>
          <cell r="CR37"/>
          <cell r="CS37">
            <v>400</v>
          </cell>
          <cell r="CT37"/>
          <cell r="CU37"/>
          <cell r="CV37">
            <v>400</v>
          </cell>
          <cell r="CW37"/>
          <cell r="CX37">
            <v>400</v>
          </cell>
          <cell r="CY37"/>
          <cell r="CZ37">
            <v>400</v>
          </cell>
          <cell r="DA37"/>
          <cell r="DB37">
            <v>800</v>
          </cell>
          <cell r="DC37"/>
          <cell r="DD37"/>
          <cell r="DE37">
            <v>250</v>
          </cell>
          <cell r="DF37"/>
          <cell r="DG37" t="str">
            <v>ACTIVO</v>
          </cell>
          <cell r="DH37" t="str">
            <v>B</v>
          </cell>
          <cell r="DI37"/>
          <cell r="DJ37">
            <v>450</v>
          </cell>
          <cell r="DK37">
            <v>75</v>
          </cell>
          <cell r="DL37">
            <v>217.26050865996885</v>
          </cell>
          <cell r="DM37">
            <v>400</v>
          </cell>
          <cell r="DN37">
            <v>356304</v>
          </cell>
          <cell r="DO37">
            <v>0.88888888888888884</v>
          </cell>
          <cell r="DP37" t="str">
            <v>COMPRAR</v>
          </cell>
          <cell r="DQ37">
            <v>1125</v>
          </cell>
        </row>
        <row r="38">
          <cell r="B38">
            <v>405792</v>
          </cell>
          <cell r="C38" t="str">
            <v>CAJA TORTA MEDIANA FULL CARTON</v>
          </cell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>
            <v>700</v>
          </cell>
          <cell r="DE38">
            <v>700</v>
          </cell>
          <cell r="DF38"/>
          <cell r="DG38" t="str">
            <v>ACTIVO</v>
          </cell>
          <cell r="DH38" t="str">
            <v/>
          </cell>
          <cell r="DI38"/>
          <cell r="DJ38">
            <v>700</v>
          </cell>
          <cell r="DK38">
            <v>116.66666666666667</v>
          </cell>
          <cell r="DL38">
            <v>0</v>
          </cell>
          <cell r="DM38">
            <v>700</v>
          </cell>
          <cell r="DN38">
            <v>357154</v>
          </cell>
          <cell r="DO38">
            <v>1</v>
          </cell>
          <cell r="DP38" t="str">
            <v>COMPRAR</v>
          </cell>
          <cell r="DQ38">
            <v>1750</v>
          </cell>
        </row>
        <row r="39">
          <cell r="B39">
            <v>405419</v>
          </cell>
          <cell r="C39" t="str">
            <v>CAJA DOS TORTAS PROSERVAR</v>
          </cell>
          <cell r="D39"/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>
            <v>1050</v>
          </cell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 t="str">
            <v>ACTIVO</v>
          </cell>
          <cell r="DH39" t="str">
            <v>C</v>
          </cell>
          <cell r="DI39"/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 t="str">
            <v>0</v>
          </cell>
          <cell r="DO39">
            <v>0</v>
          </cell>
          <cell r="DP39" t="str">
            <v>COMPRAR</v>
          </cell>
          <cell r="DQ39">
            <v>0</v>
          </cell>
        </row>
        <row r="40">
          <cell r="B40">
            <v>501146</v>
          </cell>
          <cell r="C40" t="str">
            <v>CAJA PLASTICA AZUL QUINTA</v>
          </cell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>
            <v>72</v>
          </cell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 t="str">
            <v>ACTIVO</v>
          </cell>
          <cell r="DH40" t="str">
            <v>C</v>
          </cell>
          <cell r="DI40"/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 t="str">
            <v>0</v>
          </cell>
          <cell r="DO40">
            <v>0</v>
          </cell>
          <cell r="DP40" t="str">
            <v>COMPRAR</v>
          </cell>
          <cell r="DQ40">
            <v>0</v>
          </cell>
        </row>
        <row r="41">
          <cell r="B41">
            <v>405383</v>
          </cell>
          <cell r="C41" t="str">
            <v>ESTUCHE GALLETAS VERA Y GIANNINI</v>
          </cell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>
            <v>2600</v>
          </cell>
          <cell r="AC41">
            <v>2800</v>
          </cell>
          <cell r="AD41"/>
          <cell r="AE41">
            <v>600</v>
          </cell>
          <cell r="AF41">
            <v>1400</v>
          </cell>
          <cell r="AG41"/>
          <cell r="AH41">
            <v>2000</v>
          </cell>
          <cell r="AI41">
            <v>1600</v>
          </cell>
          <cell r="AJ41">
            <v>3400</v>
          </cell>
          <cell r="AK41">
            <v>1800</v>
          </cell>
          <cell r="AL41">
            <v>1600</v>
          </cell>
          <cell r="AM41">
            <v>400</v>
          </cell>
          <cell r="AN41">
            <v>400</v>
          </cell>
          <cell r="AO41">
            <v>1000</v>
          </cell>
          <cell r="AP41">
            <v>400</v>
          </cell>
          <cell r="AQ41">
            <v>1000</v>
          </cell>
          <cell r="AR41">
            <v>200</v>
          </cell>
          <cell r="AS41">
            <v>200</v>
          </cell>
          <cell r="AT41">
            <v>400</v>
          </cell>
          <cell r="AU41">
            <v>600</v>
          </cell>
          <cell r="AV41">
            <v>400</v>
          </cell>
          <cell r="AW41">
            <v>600</v>
          </cell>
          <cell r="AX41">
            <v>400</v>
          </cell>
          <cell r="AY41">
            <v>600</v>
          </cell>
          <cell r="AZ41">
            <v>1800</v>
          </cell>
          <cell r="BA41">
            <v>1600</v>
          </cell>
          <cell r="BB41">
            <v>2200</v>
          </cell>
          <cell r="BC41">
            <v>200</v>
          </cell>
          <cell r="BD41">
            <v>600</v>
          </cell>
          <cell r="BE41">
            <v>1400</v>
          </cell>
          <cell r="BF41">
            <v>1400</v>
          </cell>
          <cell r="BG41">
            <v>1200</v>
          </cell>
          <cell r="BH41">
            <v>1400</v>
          </cell>
          <cell r="BI41">
            <v>1000</v>
          </cell>
          <cell r="BJ41"/>
          <cell r="BK41"/>
          <cell r="BL41"/>
          <cell r="BM41"/>
          <cell r="BN41"/>
          <cell r="BO41"/>
          <cell r="BP41"/>
          <cell r="BQ41"/>
          <cell r="BR41">
            <v>2440</v>
          </cell>
          <cell r="BS41">
            <v>1000</v>
          </cell>
          <cell r="BT41">
            <v>1200</v>
          </cell>
          <cell r="BU41">
            <v>1400</v>
          </cell>
          <cell r="BV41"/>
          <cell r="BW41"/>
          <cell r="BX41"/>
          <cell r="BY41"/>
          <cell r="BZ41"/>
          <cell r="CA41"/>
          <cell r="CB41"/>
          <cell r="CC41"/>
          <cell r="CD41"/>
          <cell r="CE41"/>
          <cell r="CF41"/>
          <cell r="CG41"/>
          <cell r="CH41"/>
          <cell r="CI41"/>
          <cell r="CJ41"/>
          <cell r="CK41"/>
          <cell r="CL41"/>
          <cell r="CM41"/>
          <cell r="CN41"/>
          <cell r="CO41"/>
          <cell r="CP41"/>
          <cell r="CQ41"/>
          <cell r="CR41"/>
          <cell r="CS41"/>
          <cell r="CT41"/>
          <cell r="CU41"/>
          <cell r="CV41"/>
          <cell r="CW41"/>
          <cell r="CX41"/>
          <cell r="CY41"/>
          <cell r="CZ41"/>
          <cell r="DA41"/>
          <cell r="DB41"/>
          <cell r="DC41"/>
          <cell r="DD41"/>
          <cell r="DE41"/>
          <cell r="DF41"/>
          <cell r="DG41" t="str">
            <v>ACTIVO</v>
          </cell>
          <cell r="DH41" t="str">
            <v>C</v>
          </cell>
          <cell r="DI41"/>
          <cell r="DJ41">
            <v>0</v>
          </cell>
          <cell r="DK41">
            <v>0</v>
          </cell>
          <cell r="DL41">
            <v>737.72594653605165</v>
          </cell>
          <cell r="DM41">
            <v>0</v>
          </cell>
          <cell r="DN41" t="str">
            <v>0</v>
          </cell>
          <cell r="DO41">
            <v>0</v>
          </cell>
          <cell r="DP41" t="str">
            <v>COMPRAR</v>
          </cell>
          <cell r="DQ41">
            <v>0</v>
          </cell>
        </row>
        <row r="42">
          <cell r="B42">
            <v>403308</v>
          </cell>
          <cell r="C42" t="str">
            <v>CAJA MADRE DE PLANCHAS (PL) PAIMASA</v>
          </cell>
          <cell r="D42"/>
          <cell r="E42"/>
          <cell r="F42"/>
          <cell r="G42"/>
          <cell r="H42"/>
          <cell r="I42">
            <v>400</v>
          </cell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500</v>
          </cell>
          <cell r="AA42"/>
          <cell r="AB42"/>
          <cell r="AC42"/>
          <cell r="AD42"/>
          <cell r="AE42"/>
          <cell r="AF42"/>
          <cell r="AG42"/>
          <cell r="AH42">
            <v>500</v>
          </cell>
          <cell r="AI42"/>
          <cell r="AJ42"/>
          <cell r="AK42"/>
          <cell r="AL42"/>
          <cell r="AM42"/>
          <cell r="AN42"/>
          <cell r="AO42"/>
          <cell r="AP42"/>
          <cell r="AQ42"/>
          <cell r="AR42"/>
          <cell r="AS42"/>
          <cell r="AT42"/>
          <cell r="AU42"/>
          <cell r="AV42"/>
          <cell r="AW42"/>
          <cell r="AX42"/>
          <cell r="AY42"/>
          <cell r="AZ42"/>
          <cell r="BA42"/>
          <cell r="BB42"/>
          <cell r="BC42"/>
          <cell r="BD42"/>
          <cell r="BE42"/>
          <cell r="BF42"/>
          <cell r="BG42"/>
          <cell r="BH42"/>
          <cell r="BI42"/>
          <cell r="BJ42"/>
          <cell r="BK42"/>
          <cell r="BL42"/>
          <cell r="BM42"/>
          <cell r="BN42"/>
          <cell r="BO42"/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  <cell r="BZ42"/>
          <cell r="CA42"/>
          <cell r="CB42"/>
          <cell r="CC42"/>
          <cell r="CD42"/>
          <cell r="CE42"/>
          <cell r="CF42"/>
          <cell r="CG42"/>
          <cell r="CH42"/>
          <cell r="CI42"/>
          <cell r="CJ42"/>
          <cell r="CK42"/>
          <cell r="CL42"/>
          <cell r="CM42"/>
          <cell r="CN42"/>
          <cell r="CO42"/>
          <cell r="CP42"/>
          <cell r="CQ42"/>
          <cell r="CR42"/>
          <cell r="CS42"/>
          <cell r="CT42"/>
          <cell r="CU42"/>
          <cell r="CV42"/>
          <cell r="CW42"/>
          <cell r="CX42"/>
          <cell r="CY42"/>
          <cell r="CZ42"/>
          <cell r="DA42"/>
          <cell r="DB42"/>
          <cell r="DC42"/>
          <cell r="DD42"/>
          <cell r="DE42"/>
          <cell r="DF42"/>
          <cell r="DG42" t="str">
            <v>SIN USO</v>
          </cell>
          <cell r="DH42" t="str">
            <v>C</v>
          </cell>
          <cell r="DI42"/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 t="str">
            <v>0</v>
          </cell>
          <cell r="DO42">
            <v>0</v>
          </cell>
          <cell r="DP42" t="str">
            <v>INACTIVO</v>
          </cell>
          <cell r="DQ42">
            <v>0</v>
          </cell>
        </row>
        <row r="43">
          <cell r="B43">
            <v>107366</v>
          </cell>
          <cell r="C43" t="str">
            <v>CAJA MADRE DE PLANCHAS (PL) SYCOR</v>
          </cell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>
            <v>500</v>
          </cell>
          <cell r="P43"/>
          <cell r="Q43">
            <v>500</v>
          </cell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>
            <v>600</v>
          </cell>
          <cell r="BH43"/>
          <cell r="BI43"/>
          <cell r="BJ43"/>
          <cell r="BK43"/>
          <cell r="BL43"/>
          <cell r="BM43"/>
          <cell r="BN43"/>
          <cell r="BO43"/>
          <cell r="BP43"/>
          <cell r="BQ43">
            <v>500</v>
          </cell>
          <cell r="BR43"/>
          <cell r="BS43"/>
          <cell r="BT43"/>
          <cell r="BU43"/>
          <cell r="BV43"/>
          <cell r="BW43"/>
          <cell r="BX43"/>
          <cell r="BY43"/>
          <cell r="BZ43"/>
          <cell r="CA43">
            <v>500</v>
          </cell>
          <cell r="CB43"/>
          <cell r="CC43"/>
          <cell r="CD43"/>
          <cell r="CE43"/>
          <cell r="CF43"/>
          <cell r="CG43"/>
          <cell r="CH43"/>
          <cell r="CI43"/>
          <cell r="CJ43"/>
          <cell r="CK43">
            <v>905</v>
          </cell>
          <cell r="CL43"/>
          <cell r="CM43"/>
          <cell r="CN43"/>
          <cell r="CO43"/>
          <cell r="CP43"/>
          <cell r="CQ43"/>
          <cell r="CR43"/>
          <cell r="CS43"/>
          <cell r="CT43"/>
          <cell r="CU43"/>
          <cell r="CV43"/>
          <cell r="CW43"/>
          <cell r="CX43"/>
          <cell r="CY43"/>
          <cell r="CZ43"/>
          <cell r="DA43"/>
          <cell r="DB43"/>
          <cell r="DC43"/>
          <cell r="DD43"/>
          <cell r="DE43"/>
          <cell r="DF43"/>
          <cell r="DG43" t="str">
            <v>SIN USO</v>
          </cell>
          <cell r="DH43" t="str">
            <v>C</v>
          </cell>
          <cell r="DI43"/>
          <cell r="DJ43">
            <v>905</v>
          </cell>
          <cell r="DK43">
            <v>150.83333333333334</v>
          </cell>
          <cell r="DL43">
            <v>57.735026918962575</v>
          </cell>
          <cell r="DM43">
            <v>0</v>
          </cell>
          <cell r="DN43" t="str">
            <v>0</v>
          </cell>
          <cell r="DO43">
            <v>0</v>
          </cell>
          <cell r="DP43" t="str">
            <v>INACTIVO</v>
          </cell>
          <cell r="DQ43">
            <v>2262.5</v>
          </cell>
        </row>
        <row r="44">
          <cell r="B44"/>
          <cell r="C44"/>
          <cell r="D44">
            <v>4408</v>
          </cell>
          <cell r="E44">
            <v>2445</v>
          </cell>
          <cell r="F44">
            <v>3300</v>
          </cell>
          <cell r="G44">
            <v>6549</v>
          </cell>
          <cell r="H44">
            <v>2150</v>
          </cell>
          <cell r="I44">
            <v>3800</v>
          </cell>
          <cell r="J44">
            <v>3000</v>
          </cell>
          <cell r="K44">
            <v>3500</v>
          </cell>
          <cell r="L44">
            <v>5150</v>
          </cell>
          <cell r="M44">
            <v>4900</v>
          </cell>
          <cell r="N44">
            <v>4450</v>
          </cell>
          <cell r="O44">
            <v>2000</v>
          </cell>
          <cell r="P44">
            <v>6350</v>
          </cell>
          <cell r="Q44">
            <v>5200</v>
          </cell>
          <cell r="R44">
            <v>1550</v>
          </cell>
          <cell r="S44">
            <v>500</v>
          </cell>
          <cell r="T44">
            <v>2600</v>
          </cell>
          <cell r="U44">
            <v>1400</v>
          </cell>
          <cell r="V44">
            <v>2000</v>
          </cell>
          <cell r="W44">
            <v>3900</v>
          </cell>
          <cell r="X44">
            <v>1000</v>
          </cell>
          <cell r="Y44">
            <v>2400</v>
          </cell>
          <cell r="Z44">
            <v>500</v>
          </cell>
          <cell r="AA44">
            <v>1900</v>
          </cell>
          <cell r="AB44">
            <v>5550</v>
          </cell>
          <cell r="AC44">
            <v>4600</v>
          </cell>
          <cell r="AD44"/>
          <cell r="AE44">
            <v>2650</v>
          </cell>
          <cell r="AF44">
            <v>2350</v>
          </cell>
          <cell r="AG44">
            <v>2100</v>
          </cell>
          <cell r="AH44">
            <v>6700</v>
          </cell>
          <cell r="AI44">
            <v>2700</v>
          </cell>
          <cell r="AJ44">
            <v>6950</v>
          </cell>
          <cell r="AK44">
            <v>2420</v>
          </cell>
          <cell r="AL44">
            <v>5550</v>
          </cell>
          <cell r="AM44">
            <v>2900</v>
          </cell>
          <cell r="AN44">
            <v>2750</v>
          </cell>
          <cell r="AO44">
            <v>1000</v>
          </cell>
          <cell r="AP44">
            <v>2170</v>
          </cell>
          <cell r="AQ44">
            <v>4382</v>
          </cell>
          <cell r="AR44">
            <v>750</v>
          </cell>
          <cell r="AS44">
            <v>3670</v>
          </cell>
          <cell r="AT44">
            <v>972</v>
          </cell>
          <cell r="AU44">
            <v>1550</v>
          </cell>
          <cell r="AV44">
            <v>2900</v>
          </cell>
          <cell r="AW44">
            <v>3226</v>
          </cell>
          <cell r="AX44">
            <v>900</v>
          </cell>
          <cell r="AY44">
            <v>1600</v>
          </cell>
          <cell r="AZ44">
            <v>3800</v>
          </cell>
          <cell r="BA44">
            <v>3600</v>
          </cell>
          <cell r="BB44">
            <v>6250</v>
          </cell>
          <cell r="BC44">
            <v>1800</v>
          </cell>
          <cell r="BD44">
            <v>2500</v>
          </cell>
          <cell r="BE44">
            <v>4600</v>
          </cell>
          <cell r="BF44">
            <v>2775</v>
          </cell>
          <cell r="BG44">
            <v>2300</v>
          </cell>
          <cell r="BH44">
            <v>4650</v>
          </cell>
          <cell r="BI44">
            <v>2000</v>
          </cell>
          <cell r="BJ44">
            <v>225</v>
          </cell>
          <cell r="BK44">
            <v>3600</v>
          </cell>
          <cell r="BL44">
            <v>1858</v>
          </cell>
          <cell r="BM44">
            <v>1000</v>
          </cell>
          <cell r="BN44">
            <v>1500</v>
          </cell>
          <cell r="BO44">
            <v>1550</v>
          </cell>
          <cell r="BP44">
            <v>650</v>
          </cell>
          <cell r="BQ44">
            <v>2500</v>
          </cell>
          <cell r="BR44">
            <v>3540</v>
          </cell>
          <cell r="BS44">
            <v>2000</v>
          </cell>
          <cell r="BT44">
            <v>5359</v>
          </cell>
          <cell r="BU44">
            <v>3400</v>
          </cell>
          <cell r="BV44">
            <v>1500</v>
          </cell>
          <cell r="BW44"/>
          <cell r="BX44"/>
          <cell r="BY44">
            <v>3250</v>
          </cell>
          <cell r="BZ44">
            <v>500</v>
          </cell>
          <cell r="CA44">
            <v>2100</v>
          </cell>
          <cell r="CB44">
            <v>1100</v>
          </cell>
          <cell r="CC44">
            <v>1400</v>
          </cell>
          <cell r="CD44">
            <v>1000</v>
          </cell>
          <cell r="CE44">
            <v>144</v>
          </cell>
          <cell r="CF44">
            <v>400</v>
          </cell>
          <cell r="CG44">
            <v>3700</v>
          </cell>
          <cell r="CH44">
            <v>1000</v>
          </cell>
          <cell r="CI44">
            <v>2000</v>
          </cell>
          <cell r="CJ44">
            <v>500</v>
          </cell>
          <cell r="CK44">
            <v>2305</v>
          </cell>
          <cell r="CL44">
            <v>1700</v>
          </cell>
          <cell r="CM44">
            <v>500</v>
          </cell>
          <cell r="CN44">
            <v>1400</v>
          </cell>
          <cell r="CO44">
            <v>1050</v>
          </cell>
          <cell r="CP44">
            <v>2000</v>
          </cell>
          <cell r="CQ44">
            <v>2900</v>
          </cell>
          <cell r="CR44">
            <v>1600</v>
          </cell>
          <cell r="CS44">
            <v>1900</v>
          </cell>
          <cell r="CT44">
            <v>1000</v>
          </cell>
          <cell r="CU44">
            <v>500</v>
          </cell>
          <cell r="CV44">
            <v>3350</v>
          </cell>
          <cell r="CW44">
            <v>500</v>
          </cell>
          <cell r="CX44">
            <v>1900</v>
          </cell>
          <cell r="CY44"/>
          <cell r="CZ44">
            <v>1662</v>
          </cell>
          <cell r="DA44">
            <v>1000</v>
          </cell>
          <cell r="DB44">
            <v>1800</v>
          </cell>
          <cell r="DC44">
            <v>2039</v>
          </cell>
          <cell r="DD44">
            <v>1600</v>
          </cell>
          <cell r="DE44">
            <v>5900</v>
          </cell>
          <cell r="DF44"/>
          <cell r="DG44" t="str">
            <v>ACTIVO</v>
          </cell>
          <cell r="DH44" t="str">
            <v/>
          </cell>
          <cell r="DI44"/>
          <cell r="DJ44">
            <v>1596.0833333333333</v>
          </cell>
          <cell r="DK44">
            <v>266.01388888888886</v>
          </cell>
          <cell r="DL44">
            <v>1628.2467997156677</v>
          </cell>
          <cell r="DM44">
            <v>0</v>
          </cell>
          <cell r="DN44" t="str">
            <v>0</v>
          </cell>
          <cell r="DO44">
            <v>0</v>
          </cell>
          <cell r="DP44" t="str">
            <v>INACTIVO</v>
          </cell>
          <cell r="DQ44">
            <v>0</v>
          </cell>
        </row>
        <row r="45">
          <cell r="B45">
            <v>403395</v>
          </cell>
          <cell r="C45" t="str">
            <v>PLANCHA DE CARTON 1X1,20 PROSERVAR</v>
          </cell>
          <cell r="D45">
            <v>500</v>
          </cell>
          <cell r="E45"/>
          <cell r="F45"/>
          <cell r="G45"/>
          <cell r="H45">
            <v>500</v>
          </cell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  <cell r="BN45"/>
          <cell r="BO45"/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  <cell r="CL45"/>
          <cell r="CM45"/>
          <cell r="CN45"/>
          <cell r="CO45"/>
          <cell r="CP45"/>
          <cell r="CQ45"/>
          <cell r="CR45"/>
          <cell r="CS45"/>
          <cell r="CT45"/>
          <cell r="CU45"/>
          <cell r="CV45"/>
          <cell r="CW45"/>
          <cell r="CX45"/>
          <cell r="CY45"/>
          <cell r="CZ45"/>
          <cell r="DA45"/>
          <cell r="DB45"/>
          <cell r="DC45"/>
          <cell r="DD45"/>
          <cell r="DE45"/>
          <cell r="DF45"/>
          <cell r="DG45" t="str">
            <v>ACTIVO</v>
          </cell>
          <cell r="DH45" t="str">
            <v/>
          </cell>
          <cell r="DI45"/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 t="str">
            <v>0</v>
          </cell>
          <cell r="DO45">
            <v>0</v>
          </cell>
          <cell r="DP45" t="str">
            <v>COMPRAR</v>
          </cell>
          <cell r="DQ45">
            <v>0</v>
          </cell>
        </row>
        <row r="46">
          <cell r="B46">
            <v>405582</v>
          </cell>
          <cell r="C46" t="str">
            <v>DISCO MICROCORRUGADO EMPLACADO 15,5 CM DIÁMETRO ASTRA</v>
          </cell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N46"/>
          <cell r="AO46"/>
          <cell r="AP46"/>
          <cell r="AQ46"/>
          <cell r="AR46"/>
          <cell r="AS46"/>
          <cell r="AT46"/>
          <cell r="AU46"/>
          <cell r="AV46"/>
          <cell r="AW46"/>
          <cell r="AX46"/>
          <cell r="AY46"/>
          <cell r="AZ46"/>
          <cell r="BA46"/>
          <cell r="BB46"/>
          <cell r="BC46"/>
          <cell r="BD46"/>
          <cell r="BE46"/>
          <cell r="BF46"/>
          <cell r="BG46"/>
          <cell r="BH46"/>
          <cell r="BI46"/>
          <cell r="BJ46"/>
          <cell r="BK46"/>
          <cell r="BL46"/>
          <cell r="BM46"/>
          <cell r="BN46"/>
          <cell r="BO46"/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  <cell r="CC46"/>
          <cell r="CD46"/>
          <cell r="CE46">
            <v>3200</v>
          </cell>
          <cell r="CF46"/>
          <cell r="CG46">
            <v>4400</v>
          </cell>
          <cell r="CH46"/>
          <cell r="CI46"/>
          <cell r="CJ46"/>
          <cell r="CK46"/>
          <cell r="CL46"/>
          <cell r="CM46">
            <v>7800</v>
          </cell>
          <cell r="CN46"/>
          <cell r="CO46"/>
          <cell r="CP46"/>
          <cell r="CQ46"/>
          <cell r="CR46">
            <v>19600</v>
          </cell>
          <cell r="CS46"/>
          <cell r="CT46"/>
          <cell r="CU46"/>
          <cell r="CV46"/>
          <cell r="CW46"/>
          <cell r="CX46"/>
          <cell r="CY46"/>
          <cell r="CZ46"/>
          <cell r="DA46"/>
          <cell r="DB46"/>
          <cell r="DC46"/>
          <cell r="DD46"/>
          <cell r="DE46"/>
          <cell r="DF46"/>
          <cell r="DG46" t="str">
            <v>ACTIVO</v>
          </cell>
          <cell r="DH46" t="str">
            <v>C</v>
          </cell>
          <cell r="DI46"/>
          <cell r="DJ46">
            <v>10600</v>
          </cell>
          <cell r="DK46">
            <v>1766.6666666666667</v>
          </cell>
          <cell r="DL46">
            <v>0</v>
          </cell>
          <cell r="DM46">
            <v>0</v>
          </cell>
          <cell r="DN46" t="str">
            <v>0</v>
          </cell>
          <cell r="DO46">
            <v>0</v>
          </cell>
          <cell r="DP46" t="str">
            <v>COMPRAR</v>
          </cell>
          <cell r="DQ46">
            <v>26500</v>
          </cell>
        </row>
        <row r="47">
          <cell r="B47">
            <v>403100</v>
          </cell>
          <cell r="C47" t="str">
            <v>DISCO CARTON BLANCO 24 JUMBO ARRIAZA</v>
          </cell>
          <cell r="D47">
            <v>8700</v>
          </cell>
          <cell r="E47">
            <v>9500</v>
          </cell>
          <cell r="F47">
            <v>14800</v>
          </cell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>
            <v>2000</v>
          </cell>
          <cell r="BC47">
            <v>3500</v>
          </cell>
          <cell r="BD47">
            <v>6500</v>
          </cell>
          <cell r="BE47">
            <v>13500</v>
          </cell>
          <cell r="BF47">
            <v>17000</v>
          </cell>
          <cell r="BG47">
            <v>8000</v>
          </cell>
          <cell r="BH47">
            <v>18000</v>
          </cell>
          <cell r="BI47">
            <v>12500</v>
          </cell>
          <cell r="BJ47">
            <v>25000</v>
          </cell>
          <cell r="BK47">
            <v>8000</v>
          </cell>
          <cell r="BL47">
            <v>8500</v>
          </cell>
          <cell r="BM47">
            <v>18500</v>
          </cell>
          <cell r="BN47">
            <v>11500</v>
          </cell>
          <cell r="BO47">
            <v>9500</v>
          </cell>
          <cell r="BP47">
            <v>4000</v>
          </cell>
          <cell r="BQ47">
            <v>20500</v>
          </cell>
          <cell r="BR47">
            <v>9000</v>
          </cell>
          <cell r="BS47">
            <v>14000</v>
          </cell>
          <cell r="BT47">
            <v>11000</v>
          </cell>
          <cell r="BU47">
            <v>27000</v>
          </cell>
          <cell r="BV47">
            <v>16000</v>
          </cell>
          <cell r="BW47">
            <v>3000</v>
          </cell>
          <cell r="BX47">
            <v>7500</v>
          </cell>
          <cell r="BY47">
            <v>15500</v>
          </cell>
          <cell r="BZ47">
            <v>20500</v>
          </cell>
          <cell r="CA47">
            <v>8000</v>
          </cell>
          <cell r="CB47">
            <v>9000</v>
          </cell>
          <cell r="CC47">
            <v>5000</v>
          </cell>
          <cell r="CD47">
            <v>8500</v>
          </cell>
          <cell r="CE47">
            <v>5500</v>
          </cell>
          <cell r="CF47">
            <v>2000</v>
          </cell>
          <cell r="CG47">
            <v>10000</v>
          </cell>
          <cell r="CH47">
            <v>13500</v>
          </cell>
          <cell r="CI47">
            <v>20000</v>
          </cell>
          <cell r="CJ47">
            <v>17000</v>
          </cell>
          <cell r="CK47">
            <v>19500</v>
          </cell>
          <cell r="CL47">
            <v>9500</v>
          </cell>
          <cell r="CM47">
            <v>15500</v>
          </cell>
          <cell r="CN47">
            <v>12000</v>
          </cell>
          <cell r="CO47">
            <v>11500</v>
          </cell>
          <cell r="CP47">
            <v>10000</v>
          </cell>
          <cell r="CQ47">
            <v>6000</v>
          </cell>
          <cell r="CR47">
            <v>39500</v>
          </cell>
          <cell r="CS47">
            <v>21250</v>
          </cell>
          <cell r="CT47">
            <v>4000</v>
          </cell>
          <cell r="CU47">
            <v>12000</v>
          </cell>
          <cell r="CV47">
            <v>12500</v>
          </cell>
          <cell r="CW47">
            <v>5000</v>
          </cell>
          <cell r="CX47">
            <v>3600</v>
          </cell>
          <cell r="CY47">
            <v>3500</v>
          </cell>
          <cell r="CZ47"/>
          <cell r="DA47">
            <v>2000</v>
          </cell>
          <cell r="DB47"/>
          <cell r="DC47"/>
          <cell r="DD47"/>
          <cell r="DE47">
            <v>2500</v>
          </cell>
          <cell r="DF47"/>
          <cell r="DG47" t="str">
            <v>ACTIVO</v>
          </cell>
          <cell r="DH47" t="str">
            <v>B</v>
          </cell>
          <cell r="DI47"/>
          <cell r="DJ47">
            <v>11897.619047619048</v>
          </cell>
          <cell r="DK47">
            <v>1982.936507936508</v>
          </cell>
          <cell r="DL47">
            <v>6504.5518986551906</v>
          </cell>
          <cell r="DM47">
            <v>45000</v>
          </cell>
          <cell r="DN47">
            <v>1534500</v>
          </cell>
          <cell r="DO47">
            <v>3.78226936161697</v>
          </cell>
          <cell r="DP47" t="str">
            <v>OK</v>
          </cell>
          <cell r="DQ47">
            <v>7931.7460317460318</v>
          </cell>
        </row>
        <row r="48">
          <cell r="B48">
            <v>405741</v>
          </cell>
          <cell r="C48" t="str">
            <v>DISCO CARTON BLANCO 24 CM PRAGGA</v>
          </cell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>
            <v>2500</v>
          </cell>
          <cell r="CW48">
            <v>5400</v>
          </cell>
          <cell r="CX48">
            <v>12600</v>
          </cell>
          <cell r="CY48">
            <v>5400</v>
          </cell>
          <cell r="CZ48">
            <v>1500</v>
          </cell>
          <cell r="DA48"/>
          <cell r="DB48"/>
          <cell r="DC48"/>
          <cell r="DD48"/>
          <cell r="DE48">
            <v>3200</v>
          </cell>
          <cell r="DF48"/>
          <cell r="DG48" t="str">
            <v>ACTIVO</v>
          </cell>
          <cell r="DH48" t="str">
            <v/>
          </cell>
          <cell r="DI48"/>
          <cell r="DJ48">
            <v>5480</v>
          </cell>
          <cell r="DK48">
            <v>913.33333333333337</v>
          </cell>
          <cell r="DL48">
            <v>0</v>
          </cell>
          <cell r="DM48">
            <v>186000</v>
          </cell>
          <cell r="DN48">
            <v>6212400</v>
          </cell>
          <cell r="DO48">
            <v>33.941605839416056</v>
          </cell>
          <cell r="DP48" t="str">
            <v>OK</v>
          </cell>
          <cell r="DQ48">
            <v>3653.3333333333335</v>
          </cell>
        </row>
        <row r="49">
          <cell r="B49">
            <v>403108</v>
          </cell>
          <cell r="C49" t="str">
            <v>DISCO CARTON BLANCO 17CM ARRIAZA</v>
          </cell>
          <cell r="D49">
            <v>19000</v>
          </cell>
          <cell r="E49">
            <v>16000</v>
          </cell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>
            <v>7500</v>
          </cell>
          <cell r="BC49">
            <v>12500</v>
          </cell>
          <cell r="BD49">
            <v>18500</v>
          </cell>
          <cell r="BE49">
            <v>14000</v>
          </cell>
          <cell r="BF49">
            <v>15500</v>
          </cell>
          <cell r="BG49">
            <v>25500</v>
          </cell>
          <cell r="BH49">
            <v>12500</v>
          </cell>
          <cell r="BI49">
            <v>13000</v>
          </cell>
          <cell r="BJ49">
            <v>29500</v>
          </cell>
          <cell r="BK49">
            <v>39500</v>
          </cell>
          <cell r="BL49">
            <v>24000</v>
          </cell>
          <cell r="BM49">
            <v>17500</v>
          </cell>
          <cell r="BN49">
            <v>22500</v>
          </cell>
          <cell r="BO49">
            <v>21000</v>
          </cell>
          <cell r="BP49"/>
          <cell r="BQ49">
            <v>20500</v>
          </cell>
          <cell r="BR49">
            <v>19000</v>
          </cell>
          <cell r="BS49">
            <v>16500</v>
          </cell>
          <cell r="BT49">
            <v>5000</v>
          </cell>
          <cell r="BU49">
            <v>17500</v>
          </cell>
          <cell r="BV49">
            <v>4000</v>
          </cell>
          <cell r="BW49">
            <v>16000</v>
          </cell>
          <cell r="BX49">
            <v>25000</v>
          </cell>
          <cell r="BY49">
            <v>8500</v>
          </cell>
          <cell r="BZ49">
            <v>15000</v>
          </cell>
          <cell r="CA49">
            <v>10000</v>
          </cell>
          <cell r="CB49">
            <v>11500</v>
          </cell>
          <cell r="CC49">
            <v>18000</v>
          </cell>
          <cell r="CD49">
            <v>7500</v>
          </cell>
          <cell r="CE49">
            <v>4500</v>
          </cell>
          <cell r="CF49"/>
          <cell r="CG49">
            <v>19000</v>
          </cell>
          <cell r="CH49">
            <v>13000</v>
          </cell>
          <cell r="CI49">
            <v>27550</v>
          </cell>
          <cell r="CJ49">
            <v>12500</v>
          </cell>
          <cell r="CK49">
            <v>10500</v>
          </cell>
          <cell r="CL49">
            <v>17500</v>
          </cell>
          <cell r="CM49">
            <v>22000</v>
          </cell>
          <cell r="CN49">
            <v>18500</v>
          </cell>
          <cell r="CO49">
            <v>17500</v>
          </cell>
          <cell r="CP49">
            <v>19500</v>
          </cell>
          <cell r="CQ49">
            <v>18000</v>
          </cell>
          <cell r="CR49">
            <v>31500</v>
          </cell>
          <cell r="CS49">
            <v>27000</v>
          </cell>
          <cell r="CT49">
            <v>5000</v>
          </cell>
          <cell r="CU49"/>
          <cell r="CV49">
            <v>3500</v>
          </cell>
          <cell r="CW49"/>
          <cell r="CX49">
            <v>1800</v>
          </cell>
          <cell r="CY49">
            <v>2000</v>
          </cell>
          <cell r="CZ49"/>
          <cell r="DA49">
            <v>14500</v>
          </cell>
          <cell r="DB49">
            <v>12500</v>
          </cell>
          <cell r="DC49"/>
          <cell r="DD49"/>
          <cell r="DE49"/>
          <cell r="DF49"/>
          <cell r="DG49" t="str">
            <v>ACTIVO</v>
          </cell>
          <cell r="DH49" t="str">
            <v>B</v>
          </cell>
          <cell r="DI49"/>
          <cell r="DJ49">
            <v>15439.473684210527</v>
          </cell>
          <cell r="DK49">
            <v>2573.2456140350878</v>
          </cell>
          <cell r="DL49">
            <v>7955.9284831851428</v>
          </cell>
          <cell r="DM49">
            <v>0</v>
          </cell>
          <cell r="DN49" t="str">
            <v>0</v>
          </cell>
          <cell r="DO49">
            <v>0</v>
          </cell>
          <cell r="DP49" t="str">
            <v>COMPRAR</v>
          </cell>
          <cell r="DQ49">
            <v>10292.982456140351</v>
          </cell>
        </row>
        <row r="50">
          <cell r="B50">
            <v>405739</v>
          </cell>
          <cell r="C50" t="str">
            <v>DISCO CARTON BLANCO 17 CM PRAGGA</v>
          </cell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  <cell r="AZ50"/>
          <cell r="BA50"/>
          <cell r="BB50"/>
          <cell r="BC50"/>
          <cell r="BD50"/>
          <cell r="BE50"/>
          <cell r="BF50"/>
          <cell r="BG50"/>
          <cell r="BH50"/>
          <cell r="BI50"/>
          <cell r="BJ50"/>
          <cell r="BK50"/>
          <cell r="BL50"/>
          <cell r="BM50"/>
          <cell r="BN50"/>
          <cell r="BO50"/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  <cell r="CH50"/>
          <cell r="CI50"/>
          <cell r="CJ50"/>
          <cell r="CK50"/>
          <cell r="CL50"/>
          <cell r="CM50"/>
          <cell r="CN50"/>
          <cell r="CO50"/>
          <cell r="CP50"/>
          <cell r="CQ50"/>
          <cell r="CR50"/>
          <cell r="CS50"/>
          <cell r="CT50">
            <v>9000</v>
          </cell>
          <cell r="CU50">
            <v>2000</v>
          </cell>
          <cell r="CV50">
            <v>6400</v>
          </cell>
          <cell r="CW50">
            <v>2500</v>
          </cell>
          <cell r="CX50">
            <v>1800</v>
          </cell>
          <cell r="CY50">
            <v>5000</v>
          </cell>
          <cell r="CZ50">
            <v>9100</v>
          </cell>
          <cell r="DA50">
            <v>24100</v>
          </cell>
          <cell r="DB50">
            <v>2500</v>
          </cell>
          <cell r="DC50">
            <v>15000</v>
          </cell>
          <cell r="DD50">
            <v>20000</v>
          </cell>
          <cell r="DE50">
            <v>27900</v>
          </cell>
          <cell r="DF50"/>
          <cell r="DG50" t="str">
            <v>ACTIVO</v>
          </cell>
          <cell r="DH50" t="str">
            <v/>
          </cell>
          <cell r="DI50"/>
          <cell r="DJ50">
            <v>8854.545454545454</v>
          </cell>
          <cell r="DK50">
            <v>1475.7575757575758</v>
          </cell>
          <cell r="DL50">
            <v>0</v>
          </cell>
          <cell r="DM50">
            <v>132100</v>
          </cell>
          <cell r="DN50">
            <v>2760890</v>
          </cell>
          <cell r="DO50">
            <v>14.918891170431213</v>
          </cell>
          <cell r="DP50" t="str">
            <v>OK</v>
          </cell>
          <cell r="DQ50">
            <v>5903.030303030303</v>
          </cell>
        </row>
        <row r="51">
          <cell r="B51">
            <v>403101</v>
          </cell>
          <cell r="C51" t="str">
            <v>DISCO CARTON BLANCO 19,5 JUMBO ARRIAZA</v>
          </cell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>
            <v>500</v>
          </cell>
          <cell r="AA51"/>
          <cell r="AB51"/>
          <cell r="AC51">
            <v>1500</v>
          </cell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>
            <v>10000</v>
          </cell>
          <cell r="AR51"/>
          <cell r="AS51"/>
          <cell r="AT51"/>
          <cell r="AU51">
            <v>11000</v>
          </cell>
          <cell r="AV51"/>
          <cell r="AW51">
            <v>7000</v>
          </cell>
          <cell r="AX51">
            <v>38500</v>
          </cell>
          <cell r="AY51">
            <v>12000</v>
          </cell>
          <cell r="AZ51"/>
          <cell r="BA51">
            <v>40000</v>
          </cell>
          <cell r="BB51">
            <v>60000</v>
          </cell>
          <cell r="BC51">
            <v>59500</v>
          </cell>
          <cell r="BD51">
            <v>55500</v>
          </cell>
          <cell r="BE51">
            <v>62500</v>
          </cell>
          <cell r="BF51">
            <v>47500</v>
          </cell>
          <cell r="BG51">
            <v>41500</v>
          </cell>
          <cell r="BH51">
            <v>78500</v>
          </cell>
          <cell r="BI51">
            <v>31000</v>
          </cell>
          <cell r="BJ51">
            <v>70548</v>
          </cell>
          <cell r="BK51">
            <v>47000</v>
          </cell>
          <cell r="BL51">
            <v>56500</v>
          </cell>
          <cell r="BM51">
            <v>60000</v>
          </cell>
          <cell r="BN51">
            <v>52000</v>
          </cell>
          <cell r="BO51">
            <v>44500</v>
          </cell>
          <cell r="BP51">
            <v>34500</v>
          </cell>
          <cell r="BQ51">
            <v>63000</v>
          </cell>
          <cell r="BR51">
            <v>53000</v>
          </cell>
          <cell r="BS51">
            <v>60000</v>
          </cell>
          <cell r="BT51">
            <v>32500</v>
          </cell>
          <cell r="BU51">
            <v>38500</v>
          </cell>
          <cell r="BV51">
            <v>33500</v>
          </cell>
          <cell r="BW51">
            <v>32500</v>
          </cell>
          <cell r="BX51">
            <v>26000</v>
          </cell>
          <cell r="BY51">
            <v>41500</v>
          </cell>
          <cell r="BZ51">
            <v>28500</v>
          </cell>
          <cell r="CA51">
            <v>28500</v>
          </cell>
          <cell r="CB51">
            <v>33800</v>
          </cell>
          <cell r="CC51">
            <v>53000</v>
          </cell>
          <cell r="CD51">
            <v>37700</v>
          </cell>
          <cell r="CE51">
            <v>14500</v>
          </cell>
          <cell r="CF51">
            <v>6500</v>
          </cell>
          <cell r="CG51">
            <v>56500</v>
          </cell>
          <cell r="CH51">
            <v>45500</v>
          </cell>
          <cell r="CI51">
            <v>44500</v>
          </cell>
          <cell r="CJ51">
            <v>42000</v>
          </cell>
          <cell r="CK51">
            <v>57000</v>
          </cell>
          <cell r="CL51">
            <v>42500</v>
          </cell>
          <cell r="CM51">
            <v>34000</v>
          </cell>
          <cell r="CN51">
            <v>30000</v>
          </cell>
          <cell r="CO51">
            <v>36000</v>
          </cell>
          <cell r="CP51">
            <v>50500</v>
          </cell>
          <cell r="CQ51">
            <v>40500</v>
          </cell>
          <cell r="CR51">
            <v>500</v>
          </cell>
          <cell r="CS51">
            <v>33000</v>
          </cell>
          <cell r="CT51">
            <v>14500</v>
          </cell>
          <cell r="CU51"/>
          <cell r="CV51"/>
          <cell r="CW51"/>
          <cell r="CX51"/>
          <cell r="CY51"/>
          <cell r="CZ51"/>
          <cell r="DA51"/>
          <cell r="DB51"/>
          <cell r="DC51"/>
          <cell r="DD51"/>
          <cell r="DE51"/>
          <cell r="DF51"/>
          <cell r="DG51" t="str">
            <v>ACTIVO</v>
          </cell>
          <cell r="DH51" t="str">
            <v>B</v>
          </cell>
          <cell r="DI51"/>
          <cell r="DJ51">
            <v>35566.666666666664</v>
          </cell>
          <cell r="DK51">
            <v>5927.7777777777774</v>
          </cell>
          <cell r="DL51">
            <v>17814.239726013373</v>
          </cell>
          <cell r="DM51">
            <v>0</v>
          </cell>
          <cell r="DN51" t="str">
            <v>0</v>
          </cell>
          <cell r="DO51">
            <v>0</v>
          </cell>
          <cell r="DP51" t="str">
            <v>COMPRAR</v>
          </cell>
          <cell r="DQ51">
            <v>23711.111111111109</v>
          </cell>
        </row>
        <row r="52">
          <cell r="B52">
            <v>405740</v>
          </cell>
          <cell r="C52" t="str">
            <v>DISCO CARTON BLANCO 19 CM PRAGGA</v>
          </cell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>
            <v>26400</v>
          </cell>
          <cell r="CU52">
            <v>11000</v>
          </cell>
          <cell r="CV52">
            <v>47200</v>
          </cell>
          <cell r="CW52">
            <v>43900</v>
          </cell>
          <cell r="CX52">
            <v>41400</v>
          </cell>
          <cell r="CY52">
            <v>37800</v>
          </cell>
          <cell r="CZ52">
            <v>29100</v>
          </cell>
          <cell r="DA52">
            <v>61200</v>
          </cell>
          <cell r="DB52">
            <v>47300</v>
          </cell>
          <cell r="DC52">
            <v>50400</v>
          </cell>
          <cell r="DD52">
            <v>39600</v>
          </cell>
          <cell r="DE52">
            <v>37800</v>
          </cell>
          <cell r="DF52"/>
          <cell r="DG52" t="str">
            <v>ACTIVO</v>
          </cell>
          <cell r="DH52" t="str">
            <v/>
          </cell>
          <cell r="DI52"/>
          <cell r="DJ52">
            <v>39572.727272727272</v>
          </cell>
          <cell r="DK52">
            <v>6595.454545454545</v>
          </cell>
          <cell r="DL52">
            <v>0</v>
          </cell>
          <cell r="DM52">
            <v>31600</v>
          </cell>
          <cell r="DN52">
            <v>786840</v>
          </cell>
          <cell r="DO52">
            <v>0.7985297495979784</v>
          </cell>
          <cell r="DP52" t="str">
            <v>COMPRAR</v>
          </cell>
          <cell r="DQ52">
            <v>26381.81818181818</v>
          </cell>
        </row>
        <row r="53">
          <cell r="B53">
            <v>403258</v>
          </cell>
          <cell r="C53" t="str">
            <v>CAPSULAS DE PAPEL NUMERO 11 FOOD PACK</v>
          </cell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/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  <cell r="CJ53"/>
          <cell r="CK53"/>
          <cell r="CL53"/>
          <cell r="CM53"/>
          <cell r="CN53"/>
          <cell r="CO53"/>
          <cell r="CP53"/>
          <cell r="CQ53"/>
          <cell r="CR53"/>
          <cell r="CS53"/>
          <cell r="CT53"/>
          <cell r="CU53"/>
          <cell r="CV53"/>
          <cell r="CW53">
            <v>4000</v>
          </cell>
          <cell r="CX53">
            <v>2000</v>
          </cell>
          <cell r="CY53"/>
          <cell r="CZ53">
            <v>2000</v>
          </cell>
          <cell r="DA53"/>
          <cell r="DB53">
            <v>3000</v>
          </cell>
          <cell r="DC53"/>
          <cell r="DD53">
            <v>6000</v>
          </cell>
          <cell r="DE53">
            <v>2000</v>
          </cell>
          <cell r="DF53"/>
          <cell r="DG53" t="str">
            <v>ACTIVO</v>
          </cell>
          <cell r="DH53" t="str">
            <v/>
          </cell>
          <cell r="DI53"/>
          <cell r="DJ53">
            <v>3400</v>
          </cell>
          <cell r="DK53">
            <v>566.66666666666663</v>
          </cell>
          <cell r="DL53">
            <v>0</v>
          </cell>
          <cell r="DM53">
            <v>0</v>
          </cell>
          <cell r="DN53" t="str">
            <v>0</v>
          </cell>
          <cell r="DO53">
            <v>0</v>
          </cell>
          <cell r="DP53" t="str">
            <v>COMPRAR</v>
          </cell>
          <cell r="DQ53">
            <v>1700</v>
          </cell>
        </row>
        <row r="54">
          <cell r="B54">
            <v>403015</v>
          </cell>
          <cell r="C54" t="str">
            <v>PAPEL BEIGE 38.5 x 44.5 ARRIAZA</v>
          </cell>
          <cell r="D54">
            <v>2000</v>
          </cell>
          <cell r="E54"/>
          <cell r="F54">
            <v>2000</v>
          </cell>
          <cell r="G54">
            <v>2000</v>
          </cell>
          <cell r="H54">
            <v>2000</v>
          </cell>
          <cell r="I54"/>
          <cell r="J54">
            <v>2000</v>
          </cell>
          <cell r="K54">
            <v>4000</v>
          </cell>
          <cell r="L54"/>
          <cell r="M54"/>
          <cell r="N54"/>
          <cell r="O54">
            <v>4000</v>
          </cell>
          <cell r="P54">
            <v>6000</v>
          </cell>
          <cell r="Q54"/>
          <cell r="R54"/>
          <cell r="S54">
            <v>4000</v>
          </cell>
          <cell r="T54">
            <v>4000</v>
          </cell>
          <cell r="U54"/>
          <cell r="V54">
            <v>12000</v>
          </cell>
          <cell r="W54">
            <v>4000</v>
          </cell>
          <cell r="X54"/>
          <cell r="Y54"/>
          <cell r="Z54"/>
          <cell r="AA54">
            <v>4000</v>
          </cell>
          <cell r="AB54"/>
          <cell r="AC54"/>
          <cell r="AD54"/>
          <cell r="AE54"/>
          <cell r="AF54">
            <v>4000</v>
          </cell>
          <cell r="AG54"/>
          <cell r="AH54"/>
          <cell r="AI54"/>
          <cell r="AJ54">
            <v>6000</v>
          </cell>
          <cell r="AK54">
            <v>2000</v>
          </cell>
          <cell r="AL54"/>
          <cell r="AM54">
            <v>0</v>
          </cell>
          <cell r="AN54"/>
          <cell r="AO54"/>
          <cell r="AP54">
            <v>2000</v>
          </cell>
          <cell r="AQ54"/>
          <cell r="AR54">
            <v>2000</v>
          </cell>
          <cell r="AS54">
            <v>2000</v>
          </cell>
          <cell r="AT54">
            <v>2000</v>
          </cell>
          <cell r="AU54"/>
          <cell r="AV54">
            <v>2000</v>
          </cell>
          <cell r="AW54"/>
          <cell r="AX54">
            <v>2000</v>
          </cell>
          <cell r="AY54">
            <v>2000</v>
          </cell>
          <cell r="AZ54"/>
          <cell r="BA54"/>
          <cell r="BB54">
            <v>2000</v>
          </cell>
          <cell r="BC54">
            <v>2000</v>
          </cell>
          <cell r="BD54"/>
          <cell r="BE54">
            <v>1</v>
          </cell>
          <cell r="BF54">
            <v>2000</v>
          </cell>
          <cell r="BG54">
            <v>2000</v>
          </cell>
          <cell r="BH54">
            <v>2000</v>
          </cell>
          <cell r="BI54"/>
          <cell r="BJ54">
            <v>4000</v>
          </cell>
          <cell r="BK54">
            <v>2000</v>
          </cell>
          <cell r="BL54"/>
          <cell r="BM54">
            <v>2000</v>
          </cell>
          <cell r="BN54"/>
          <cell r="BO54">
            <v>4000</v>
          </cell>
          <cell r="BP54"/>
          <cell r="BQ54">
            <v>4000</v>
          </cell>
          <cell r="BR54"/>
          <cell r="BS54"/>
          <cell r="BT54">
            <v>4000</v>
          </cell>
          <cell r="BU54">
            <v>2000</v>
          </cell>
          <cell r="BV54"/>
          <cell r="BW54">
            <v>4000</v>
          </cell>
          <cell r="BX54"/>
          <cell r="BY54"/>
          <cell r="BZ54"/>
          <cell r="CA54">
            <v>1000</v>
          </cell>
          <cell r="CB54"/>
          <cell r="CC54">
            <v>2000</v>
          </cell>
          <cell r="CD54"/>
          <cell r="CE54"/>
          <cell r="CF54"/>
          <cell r="CG54"/>
          <cell r="CH54">
            <v>2000</v>
          </cell>
          <cell r="CI54">
            <v>2000</v>
          </cell>
          <cell r="CJ54"/>
          <cell r="CK54"/>
          <cell r="CL54"/>
          <cell r="CM54">
            <v>2000</v>
          </cell>
          <cell r="CN54"/>
          <cell r="CO54">
            <v>4000</v>
          </cell>
          <cell r="CP54"/>
          <cell r="CQ54">
            <v>2000</v>
          </cell>
          <cell r="CR54">
            <v>2000</v>
          </cell>
          <cell r="CS54"/>
          <cell r="CT54">
            <v>2000</v>
          </cell>
          <cell r="CU54"/>
          <cell r="CV54">
            <v>1000</v>
          </cell>
          <cell r="CW54">
            <v>2000</v>
          </cell>
          <cell r="CX54"/>
          <cell r="CY54">
            <v>4000</v>
          </cell>
          <cell r="CZ54"/>
          <cell r="DA54"/>
          <cell r="DB54">
            <v>1000</v>
          </cell>
          <cell r="DC54"/>
          <cell r="DD54">
            <v>2000</v>
          </cell>
          <cell r="DE54"/>
          <cell r="DF54"/>
          <cell r="DG54" t="str">
            <v>ACTIVO</v>
          </cell>
          <cell r="DH54" t="str">
            <v>C</v>
          </cell>
          <cell r="DI54"/>
          <cell r="DJ54">
            <v>2166.6666666666665</v>
          </cell>
          <cell r="DK54">
            <v>361.11111111111109</v>
          </cell>
          <cell r="DL54">
            <v>1308.4592328775718</v>
          </cell>
          <cell r="DM54">
            <v>18000</v>
          </cell>
          <cell r="DN54">
            <v>268200</v>
          </cell>
          <cell r="DO54">
            <v>8.3076923076923084</v>
          </cell>
          <cell r="DP54" t="str">
            <v>OK</v>
          </cell>
          <cell r="DQ54">
            <v>1444.4444444444443</v>
          </cell>
        </row>
        <row r="55">
          <cell r="B55">
            <v>403271</v>
          </cell>
          <cell r="C55" t="str">
            <v>DISCO CARTÓN CORRUGADO 15,5 CM EHLAN</v>
          </cell>
          <cell r="D55">
            <v>13100</v>
          </cell>
          <cell r="E55">
            <v>7300</v>
          </cell>
          <cell r="F55">
            <v>13450</v>
          </cell>
          <cell r="G55">
            <v>7800</v>
          </cell>
          <cell r="H55">
            <v>1400</v>
          </cell>
          <cell r="I55">
            <v>1900</v>
          </cell>
          <cell r="J55">
            <v>3700</v>
          </cell>
          <cell r="K55">
            <v>3300</v>
          </cell>
          <cell r="L55">
            <v>2500</v>
          </cell>
          <cell r="M55">
            <v>3600</v>
          </cell>
          <cell r="N55">
            <v>1250</v>
          </cell>
          <cell r="O55"/>
          <cell r="P55">
            <v>970</v>
          </cell>
          <cell r="Q55">
            <v>11501</v>
          </cell>
          <cell r="R55">
            <v>3500</v>
          </cell>
          <cell r="S55"/>
          <cell r="T55">
            <v>699</v>
          </cell>
          <cell r="U55"/>
          <cell r="V55"/>
          <cell r="W55"/>
          <cell r="X55"/>
          <cell r="Y55"/>
          <cell r="Z55"/>
          <cell r="AA55"/>
          <cell r="AB55"/>
          <cell r="AC55">
            <v>4600</v>
          </cell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>
            <v>7600</v>
          </cell>
          <cell r="AT55">
            <v>3500</v>
          </cell>
          <cell r="AU55">
            <v>4000</v>
          </cell>
          <cell r="AV55">
            <v>5500</v>
          </cell>
          <cell r="AW55">
            <v>8250</v>
          </cell>
          <cell r="AX55">
            <v>17600</v>
          </cell>
          <cell r="AY55">
            <v>8250</v>
          </cell>
          <cell r="AZ55">
            <v>5600</v>
          </cell>
          <cell r="BA55">
            <v>8500</v>
          </cell>
          <cell r="BB55">
            <v>12950</v>
          </cell>
          <cell r="BC55">
            <v>7650</v>
          </cell>
          <cell r="BD55">
            <v>5500</v>
          </cell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>
            <v>10180</v>
          </cell>
          <cell r="CI55">
            <v>5700</v>
          </cell>
          <cell r="CJ55">
            <v>3950</v>
          </cell>
          <cell r="CK55">
            <v>200</v>
          </cell>
          <cell r="CL55">
            <v>7250</v>
          </cell>
          <cell r="CM55"/>
          <cell r="CN55">
            <v>17800</v>
          </cell>
          <cell r="CO55">
            <v>2600</v>
          </cell>
          <cell r="CP55">
            <v>1600</v>
          </cell>
          <cell r="CQ55"/>
          <cell r="CR55">
            <v>23180</v>
          </cell>
          <cell r="CS55">
            <v>2250</v>
          </cell>
          <cell r="CT55">
            <v>4000</v>
          </cell>
          <cell r="CU55">
            <v>4000</v>
          </cell>
          <cell r="CV55"/>
          <cell r="CW55">
            <v>1400</v>
          </cell>
          <cell r="CX55"/>
          <cell r="CY55">
            <v>6750</v>
          </cell>
          <cell r="CZ55">
            <v>5250</v>
          </cell>
          <cell r="DA55">
            <v>5600</v>
          </cell>
          <cell r="DB55">
            <v>3100</v>
          </cell>
          <cell r="DC55">
            <v>3500</v>
          </cell>
          <cell r="DD55">
            <v>8400</v>
          </cell>
          <cell r="DE55">
            <v>9200</v>
          </cell>
          <cell r="DF55"/>
          <cell r="DG55" t="str">
            <v>ACTIVO</v>
          </cell>
          <cell r="DH55" t="str">
            <v>C</v>
          </cell>
          <cell r="DI55"/>
          <cell r="DJ55">
            <v>6142.6315789473683</v>
          </cell>
          <cell r="DK55">
            <v>1023.7719298245614</v>
          </cell>
          <cell r="DL55">
            <v>3951.1697539136962</v>
          </cell>
          <cell r="DM55">
            <v>21800</v>
          </cell>
          <cell r="DN55">
            <v>806600</v>
          </cell>
          <cell r="DO55">
            <v>3.5489675263473566</v>
          </cell>
          <cell r="DP55" t="str">
            <v>OK</v>
          </cell>
          <cell r="DQ55">
            <v>15356.578947368422</v>
          </cell>
        </row>
        <row r="56">
          <cell r="B56">
            <v>403278</v>
          </cell>
          <cell r="C56" t="str">
            <v>DISCO CARTON CAFE CORRUGADO 15,5CM CM ASTRA</v>
          </cell>
          <cell r="D56"/>
          <cell r="E56"/>
          <cell r="F56"/>
          <cell r="G56"/>
          <cell r="H56"/>
          <cell r="I56">
            <v>5200</v>
          </cell>
          <cell r="J56">
            <v>3400</v>
          </cell>
          <cell r="K56">
            <v>2800</v>
          </cell>
          <cell r="L56">
            <v>6900</v>
          </cell>
          <cell r="M56">
            <v>2950</v>
          </cell>
          <cell r="N56">
            <v>4550</v>
          </cell>
          <cell r="O56"/>
          <cell r="P56">
            <v>5330</v>
          </cell>
          <cell r="Q56"/>
          <cell r="R56">
            <v>1000</v>
          </cell>
          <cell r="S56">
            <v>21000</v>
          </cell>
          <cell r="T56">
            <v>5801</v>
          </cell>
          <cell r="U56">
            <v>6100</v>
          </cell>
          <cell r="V56">
            <v>1750</v>
          </cell>
          <cell r="W56">
            <v>7000</v>
          </cell>
          <cell r="X56">
            <v>9600</v>
          </cell>
          <cell r="Y56">
            <v>8900</v>
          </cell>
          <cell r="Z56">
            <v>9700</v>
          </cell>
          <cell r="AA56">
            <v>5000</v>
          </cell>
          <cell r="AB56"/>
          <cell r="AC56"/>
          <cell r="AD56"/>
          <cell r="AE56"/>
          <cell r="AF56">
            <v>4000</v>
          </cell>
          <cell r="AG56">
            <v>6500</v>
          </cell>
          <cell r="AH56">
            <v>2400</v>
          </cell>
          <cell r="AI56">
            <v>4000</v>
          </cell>
          <cell r="AJ56">
            <v>9600</v>
          </cell>
          <cell r="AK56"/>
          <cell r="AL56">
            <v>6500</v>
          </cell>
          <cell r="AM56">
            <v>8500</v>
          </cell>
          <cell r="AN56">
            <v>8100</v>
          </cell>
          <cell r="AO56"/>
          <cell r="AP56">
            <v>6050</v>
          </cell>
          <cell r="AQ56">
            <v>6500</v>
          </cell>
          <cell r="AR56">
            <v>6100</v>
          </cell>
          <cell r="AS56">
            <v>3900</v>
          </cell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>
            <v>3000</v>
          </cell>
          <cell r="BF56">
            <v>8100</v>
          </cell>
          <cell r="BG56">
            <v>12350</v>
          </cell>
          <cell r="BH56">
            <v>4300</v>
          </cell>
          <cell r="BI56">
            <v>6900</v>
          </cell>
          <cell r="BJ56">
            <v>11200</v>
          </cell>
          <cell r="BK56">
            <v>8400</v>
          </cell>
          <cell r="BL56">
            <v>14120</v>
          </cell>
          <cell r="BM56">
            <v>5700</v>
          </cell>
          <cell r="BN56">
            <v>16600</v>
          </cell>
          <cell r="BO56">
            <v>9100</v>
          </cell>
          <cell r="BP56">
            <v>3900</v>
          </cell>
          <cell r="BQ56">
            <v>10000</v>
          </cell>
          <cell r="BR56">
            <v>2900</v>
          </cell>
          <cell r="BS56">
            <v>3400</v>
          </cell>
          <cell r="BT56">
            <v>5436</v>
          </cell>
          <cell r="BU56">
            <v>8164</v>
          </cell>
          <cell r="BV56">
            <v>1400</v>
          </cell>
          <cell r="BW56">
            <v>14600</v>
          </cell>
          <cell r="BX56">
            <v>8500</v>
          </cell>
          <cell r="BY56">
            <v>6350</v>
          </cell>
          <cell r="BZ56">
            <v>5000</v>
          </cell>
          <cell r="CA56">
            <v>7100</v>
          </cell>
          <cell r="CB56">
            <v>7700</v>
          </cell>
          <cell r="CC56">
            <v>8400</v>
          </cell>
          <cell r="CD56">
            <v>10660</v>
          </cell>
          <cell r="CE56"/>
          <cell r="CF56"/>
          <cell r="CG56">
            <v>900</v>
          </cell>
          <cell r="CH56"/>
          <cell r="CI56"/>
          <cell r="CJ56"/>
          <cell r="CK56"/>
          <cell r="CL56"/>
          <cell r="CM56"/>
          <cell r="CN56"/>
          <cell r="CO56">
            <v>2800</v>
          </cell>
          <cell r="CP56">
            <v>2800</v>
          </cell>
          <cell r="CQ56">
            <v>5300</v>
          </cell>
          <cell r="CR56">
            <v>11700</v>
          </cell>
          <cell r="CS56"/>
          <cell r="CT56"/>
          <cell r="CU56"/>
          <cell r="CV56"/>
          <cell r="CW56"/>
          <cell r="CX56"/>
          <cell r="CY56"/>
          <cell r="CZ56"/>
          <cell r="DA56">
            <v>600</v>
          </cell>
          <cell r="DB56">
            <v>750</v>
          </cell>
          <cell r="DC56"/>
          <cell r="DD56"/>
          <cell r="DE56"/>
          <cell r="DF56"/>
          <cell r="DG56" t="str">
            <v>ACTIVO</v>
          </cell>
          <cell r="DH56" t="str">
            <v>C</v>
          </cell>
          <cell r="DI56"/>
          <cell r="DJ56">
            <v>3550</v>
          </cell>
          <cell r="DK56">
            <v>591.66666666666663</v>
          </cell>
          <cell r="DL56">
            <v>3466.5520023802123</v>
          </cell>
          <cell r="DM56">
            <v>0</v>
          </cell>
          <cell r="DN56" t="str">
            <v>0</v>
          </cell>
          <cell r="DO56">
            <v>0</v>
          </cell>
          <cell r="DP56" t="str">
            <v>COMPRAR</v>
          </cell>
          <cell r="DQ56">
            <v>8875</v>
          </cell>
        </row>
        <row r="57">
          <cell r="B57">
            <v>107318</v>
          </cell>
          <cell r="C57" t="str">
            <v>DISCO CARTÓN CAFE CORRUGADO 19 CM ASTRA</v>
          </cell>
          <cell r="D57">
            <v>21500</v>
          </cell>
          <cell r="E57">
            <v>5750</v>
          </cell>
          <cell r="F57">
            <v>22650</v>
          </cell>
          <cell r="G57">
            <v>13000</v>
          </cell>
          <cell r="H57">
            <v>14000</v>
          </cell>
          <cell r="I57"/>
          <cell r="J57">
            <v>12000</v>
          </cell>
          <cell r="K57">
            <v>12750</v>
          </cell>
          <cell r="L57">
            <v>23000</v>
          </cell>
          <cell r="M57">
            <v>22000</v>
          </cell>
          <cell r="N57">
            <v>9500</v>
          </cell>
          <cell r="O57">
            <v>12000</v>
          </cell>
          <cell r="P57">
            <v>16000</v>
          </cell>
          <cell r="Q57">
            <v>26000</v>
          </cell>
          <cell r="R57">
            <v>16500</v>
          </cell>
          <cell r="S57">
            <v>30900</v>
          </cell>
          <cell r="T57">
            <v>17300</v>
          </cell>
          <cell r="U57">
            <v>23000</v>
          </cell>
          <cell r="V57">
            <v>32000</v>
          </cell>
          <cell r="W57">
            <v>15250</v>
          </cell>
          <cell r="X57">
            <v>5500</v>
          </cell>
          <cell r="Y57">
            <v>40500</v>
          </cell>
          <cell r="Z57"/>
          <cell r="AA57">
            <v>961</v>
          </cell>
          <cell r="AB57"/>
          <cell r="AC57">
            <v>22800</v>
          </cell>
          <cell r="AD57">
            <v>8700</v>
          </cell>
          <cell r="AE57"/>
          <cell r="AF57"/>
          <cell r="AG57">
            <v>3000</v>
          </cell>
          <cell r="AH57">
            <v>13500</v>
          </cell>
          <cell r="AI57">
            <v>21710</v>
          </cell>
          <cell r="AJ57">
            <v>1000</v>
          </cell>
          <cell r="AK57">
            <v>8000</v>
          </cell>
          <cell r="AL57">
            <v>8500</v>
          </cell>
          <cell r="AM57">
            <v>11500</v>
          </cell>
          <cell r="AN57">
            <v>10300</v>
          </cell>
          <cell r="AO57">
            <v>26000</v>
          </cell>
          <cell r="AP57">
            <v>9000</v>
          </cell>
          <cell r="AQ57">
            <v>18174</v>
          </cell>
          <cell r="AR57"/>
          <cell r="AS57">
            <v>7400</v>
          </cell>
          <cell r="AT57">
            <v>2900</v>
          </cell>
          <cell r="AU57"/>
          <cell r="AV57">
            <v>5500</v>
          </cell>
          <cell r="AW57"/>
          <cell r="AX57"/>
          <cell r="AY57"/>
          <cell r="AZ57"/>
          <cell r="BA57">
            <v>26500</v>
          </cell>
          <cell r="BB57">
            <v>5580</v>
          </cell>
          <cell r="BC57"/>
          <cell r="BD57">
            <v>12200</v>
          </cell>
          <cell r="BE57">
            <v>16500</v>
          </cell>
          <cell r="BF57">
            <v>16000</v>
          </cell>
          <cell r="BG57">
            <v>8920</v>
          </cell>
          <cell r="BH57">
            <v>6800</v>
          </cell>
          <cell r="BI57"/>
          <cell r="BJ57"/>
          <cell r="BK57"/>
          <cell r="BL57"/>
          <cell r="BM57"/>
          <cell r="BN57"/>
          <cell r="BO57"/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>
            <v>500</v>
          </cell>
          <cell r="CJ57"/>
          <cell r="CK57"/>
          <cell r="CL57"/>
          <cell r="CM57"/>
          <cell r="CN57"/>
          <cell r="CO57"/>
          <cell r="CP57"/>
          <cell r="CQ57"/>
          <cell r="CR57"/>
          <cell r="CS57"/>
          <cell r="CT57"/>
          <cell r="CU57"/>
          <cell r="CV57"/>
          <cell r="CW57"/>
          <cell r="CX57"/>
          <cell r="CY57">
            <v>2500</v>
          </cell>
          <cell r="CZ57">
            <v>1150</v>
          </cell>
          <cell r="DA57">
            <v>1000</v>
          </cell>
          <cell r="DB57"/>
          <cell r="DC57"/>
          <cell r="DD57">
            <v>150</v>
          </cell>
          <cell r="DE57"/>
          <cell r="DF57"/>
          <cell r="DG57" t="str">
            <v>ACTIVO</v>
          </cell>
          <cell r="DH57" t="str">
            <v>C</v>
          </cell>
          <cell r="DI57"/>
          <cell r="DJ57">
            <v>1060</v>
          </cell>
          <cell r="DK57">
            <v>176.66666666666666</v>
          </cell>
          <cell r="DL57">
            <v>7195.4073381501312</v>
          </cell>
          <cell r="DM57">
            <v>0</v>
          </cell>
          <cell r="DN57" t="str">
            <v>0</v>
          </cell>
          <cell r="DO57">
            <v>0</v>
          </cell>
          <cell r="DP57" t="str">
            <v>COMPRAR</v>
          </cell>
          <cell r="DQ57">
            <v>2650</v>
          </cell>
        </row>
        <row r="58">
          <cell r="B58">
            <v>107292</v>
          </cell>
          <cell r="C58" t="str">
            <v>DISCO CARTÓN CORRUGADO 19 CM EHLAN</v>
          </cell>
          <cell r="D58"/>
          <cell r="E58"/>
          <cell r="F58"/>
          <cell r="G58"/>
          <cell r="H58"/>
          <cell r="I58">
            <v>16250</v>
          </cell>
          <cell r="J58">
            <v>19800</v>
          </cell>
          <cell r="K58">
            <v>8450</v>
          </cell>
          <cell r="L58">
            <v>2400</v>
          </cell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>
            <v>3839</v>
          </cell>
          <cell r="AA58"/>
          <cell r="AB58"/>
          <cell r="AC58"/>
          <cell r="AD58">
            <v>1800</v>
          </cell>
          <cell r="AE58"/>
          <cell r="AF58"/>
          <cell r="AG58"/>
          <cell r="AH58"/>
          <cell r="AI58">
            <v>490</v>
          </cell>
          <cell r="AJ58">
            <v>18750</v>
          </cell>
          <cell r="AK58">
            <v>6000</v>
          </cell>
          <cell r="AL58">
            <v>4000</v>
          </cell>
          <cell r="AM58">
            <v>200</v>
          </cell>
          <cell r="AN58"/>
          <cell r="AO58"/>
          <cell r="AP58"/>
          <cell r="AQ58">
            <v>1534</v>
          </cell>
          <cell r="AR58">
            <v>15000</v>
          </cell>
          <cell r="AS58"/>
          <cell r="AT58">
            <v>1500</v>
          </cell>
          <cell r="AU58">
            <v>22350</v>
          </cell>
          <cell r="AV58">
            <v>21000</v>
          </cell>
          <cell r="AW58">
            <v>19000</v>
          </cell>
          <cell r="AX58">
            <v>6450</v>
          </cell>
          <cell r="AY58">
            <v>6300</v>
          </cell>
          <cell r="AZ58">
            <v>15000</v>
          </cell>
          <cell r="BA58"/>
          <cell r="BB58"/>
          <cell r="BC58">
            <v>3500</v>
          </cell>
          <cell r="BD58">
            <v>8020</v>
          </cell>
          <cell r="BE58"/>
          <cell r="BF58">
            <v>300</v>
          </cell>
          <cell r="BG58"/>
          <cell r="BH58">
            <v>3880</v>
          </cell>
          <cell r="BI58">
            <v>9100</v>
          </cell>
          <cell r="BJ58">
            <v>9100</v>
          </cell>
          <cell r="BK58">
            <v>11300</v>
          </cell>
          <cell r="BL58">
            <v>15500</v>
          </cell>
          <cell r="BM58">
            <v>26000</v>
          </cell>
          <cell r="BN58">
            <v>3500</v>
          </cell>
          <cell r="BO58">
            <v>14000</v>
          </cell>
          <cell r="BP58">
            <v>2500</v>
          </cell>
          <cell r="BQ58">
            <v>12900</v>
          </cell>
          <cell r="BR58"/>
          <cell r="BS58">
            <v>16500</v>
          </cell>
          <cell r="BT58">
            <v>9500</v>
          </cell>
          <cell r="BU58">
            <v>12000</v>
          </cell>
          <cell r="BV58">
            <v>17000</v>
          </cell>
          <cell r="BW58">
            <v>3500</v>
          </cell>
          <cell r="BX58">
            <v>4500</v>
          </cell>
          <cell r="BY58">
            <v>6500</v>
          </cell>
          <cell r="BZ58">
            <v>13000</v>
          </cell>
          <cell r="CA58">
            <v>7500</v>
          </cell>
          <cell r="CB58">
            <v>7200</v>
          </cell>
          <cell r="CC58">
            <v>8000</v>
          </cell>
          <cell r="CD58">
            <v>4000</v>
          </cell>
          <cell r="CE58">
            <v>5000</v>
          </cell>
          <cell r="CF58">
            <v>7500</v>
          </cell>
          <cell r="CG58">
            <v>17300</v>
          </cell>
          <cell r="CH58"/>
          <cell r="CI58">
            <v>50400</v>
          </cell>
          <cell r="CJ58">
            <v>15750</v>
          </cell>
          <cell r="CK58">
            <v>4250</v>
          </cell>
          <cell r="CL58">
            <v>7100</v>
          </cell>
          <cell r="CM58">
            <v>3000</v>
          </cell>
          <cell r="CN58">
            <v>3500</v>
          </cell>
          <cell r="CO58">
            <v>8500</v>
          </cell>
          <cell r="CP58">
            <v>500</v>
          </cell>
          <cell r="CQ58">
            <v>13000</v>
          </cell>
          <cell r="CR58">
            <v>6800</v>
          </cell>
          <cell r="CS58">
            <v>4000</v>
          </cell>
          <cell r="CT58">
            <v>13000</v>
          </cell>
          <cell r="CU58">
            <v>17900</v>
          </cell>
          <cell r="CV58">
            <v>38850</v>
          </cell>
          <cell r="CW58">
            <v>9950</v>
          </cell>
          <cell r="CX58">
            <v>4500</v>
          </cell>
          <cell r="CY58">
            <v>10500</v>
          </cell>
          <cell r="CZ58">
            <v>22650</v>
          </cell>
          <cell r="DA58">
            <v>13400</v>
          </cell>
          <cell r="DB58">
            <v>13000</v>
          </cell>
          <cell r="DC58">
            <v>11501</v>
          </cell>
          <cell r="DD58">
            <v>750</v>
          </cell>
          <cell r="DE58"/>
          <cell r="DF58"/>
          <cell r="DG58" t="str">
            <v>ACTIVO</v>
          </cell>
          <cell r="DH58" t="str">
            <v>B</v>
          </cell>
          <cell r="DI58"/>
          <cell r="DJ58">
            <v>12400.041666666666</v>
          </cell>
          <cell r="DK58">
            <v>2066.6736111111109</v>
          </cell>
          <cell r="DL58">
            <v>6656.0544235863626</v>
          </cell>
          <cell r="DM58">
            <v>0</v>
          </cell>
          <cell r="DN58" t="str">
            <v>0</v>
          </cell>
          <cell r="DO58">
            <v>0</v>
          </cell>
          <cell r="DP58" t="str">
            <v>COMPRAR</v>
          </cell>
          <cell r="DQ58">
            <v>31000.104166666664</v>
          </cell>
        </row>
        <row r="59">
          <cell r="B59">
            <v>393320</v>
          </cell>
          <cell r="C59" t="str">
            <v>HOJA SEPARADORA TORTA DIAMETRO 230 MMS.</v>
          </cell>
          <cell r="D59"/>
          <cell r="E59">
            <v>3000</v>
          </cell>
          <cell r="F59">
            <v>3000</v>
          </cell>
          <cell r="G59">
            <v>3000</v>
          </cell>
          <cell r="H59">
            <v>9000</v>
          </cell>
          <cell r="I59">
            <v>6000</v>
          </cell>
          <cell r="J59">
            <v>9000</v>
          </cell>
          <cell r="K59">
            <v>9600</v>
          </cell>
          <cell r="L59">
            <v>7600</v>
          </cell>
          <cell r="M59">
            <v>14400</v>
          </cell>
          <cell r="N59">
            <v>9001</v>
          </cell>
          <cell r="O59">
            <v>9600</v>
          </cell>
          <cell r="P59">
            <v>11000</v>
          </cell>
          <cell r="Q59">
            <v>12000</v>
          </cell>
          <cell r="R59"/>
          <cell r="S59">
            <v>9000</v>
          </cell>
          <cell r="T59">
            <v>6000</v>
          </cell>
          <cell r="U59">
            <v>850</v>
          </cell>
          <cell r="V59"/>
          <cell r="W59"/>
          <cell r="X59"/>
          <cell r="Y59"/>
          <cell r="Z59">
            <v>3000</v>
          </cell>
          <cell r="AA59"/>
          <cell r="AB59">
            <v>6000</v>
          </cell>
          <cell r="AC59">
            <v>1498</v>
          </cell>
          <cell r="AD59"/>
          <cell r="AE59"/>
          <cell r="AF59"/>
          <cell r="AG59"/>
          <cell r="AH59">
            <v>7200</v>
          </cell>
          <cell r="AI59"/>
          <cell r="AJ59">
            <v>3000</v>
          </cell>
          <cell r="AK59">
            <v>12000</v>
          </cell>
          <cell r="AL59">
            <v>6000</v>
          </cell>
          <cell r="AM59">
            <v>6000</v>
          </cell>
          <cell r="AN59">
            <v>9000</v>
          </cell>
          <cell r="AO59">
            <v>12000</v>
          </cell>
          <cell r="AP59"/>
          <cell r="AQ59">
            <v>6000</v>
          </cell>
          <cell r="AR59">
            <v>12000</v>
          </cell>
          <cell r="AS59">
            <v>9000</v>
          </cell>
          <cell r="AT59">
            <v>6000</v>
          </cell>
          <cell r="AU59">
            <v>2500</v>
          </cell>
          <cell r="AV59">
            <v>3350</v>
          </cell>
          <cell r="AW59"/>
          <cell r="AX59">
            <v>5700</v>
          </cell>
          <cell r="AY59">
            <v>8050</v>
          </cell>
          <cell r="AZ59">
            <v>15000</v>
          </cell>
          <cell r="BA59">
            <v>10600</v>
          </cell>
          <cell r="BB59">
            <v>3000</v>
          </cell>
          <cell r="BC59">
            <v>500</v>
          </cell>
          <cell r="BD59"/>
          <cell r="BE59">
            <v>9000</v>
          </cell>
          <cell r="BF59">
            <v>6000</v>
          </cell>
          <cell r="BG59">
            <v>1342</v>
          </cell>
          <cell r="BH59">
            <v>9000</v>
          </cell>
          <cell r="BI59"/>
          <cell r="BJ59"/>
          <cell r="BK59">
            <v>3000</v>
          </cell>
          <cell r="BL59">
            <v>9000</v>
          </cell>
          <cell r="BM59">
            <v>9000</v>
          </cell>
          <cell r="BN59">
            <v>6300</v>
          </cell>
          <cell r="BO59"/>
          <cell r="BP59"/>
          <cell r="BQ59"/>
          <cell r="BR59">
            <v>3300</v>
          </cell>
          <cell r="BS59">
            <v>2400</v>
          </cell>
          <cell r="BT59">
            <v>3000</v>
          </cell>
          <cell r="BU59">
            <v>1800</v>
          </cell>
          <cell r="BV59"/>
          <cell r="BW59"/>
          <cell r="BX59"/>
          <cell r="BY59">
            <v>12000</v>
          </cell>
          <cell r="BZ59">
            <v>17400</v>
          </cell>
          <cell r="CA59">
            <v>2400</v>
          </cell>
          <cell r="CB59"/>
          <cell r="CC59"/>
          <cell r="CD59">
            <v>2400</v>
          </cell>
          <cell r="CE59">
            <v>2400</v>
          </cell>
          <cell r="CF59"/>
          <cell r="CG59">
            <v>9000</v>
          </cell>
          <cell r="CH59"/>
          <cell r="CI59">
            <v>9600</v>
          </cell>
          <cell r="CJ59"/>
          <cell r="CK59">
            <v>12000</v>
          </cell>
          <cell r="CL59">
            <v>9600</v>
          </cell>
          <cell r="CM59">
            <v>9600</v>
          </cell>
          <cell r="CN59">
            <v>9600</v>
          </cell>
          <cell r="CO59">
            <v>4800</v>
          </cell>
          <cell r="CP59">
            <v>3000</v>
          </cell>
          <cell r="CQ59"/>
          <cell r="CR59">
            <v>7200</v>
          </cell>
          <cell r="CS59">
            <v>4800</v>
          </cell>
          <cell r="CT59">
            <v>1800</v>
          </cell>
          <cell r="CU59"/>
          <cell r="CV59">
            <v>3600</v>
          </cell>
          <cell r="CW59">
            <v>2400</v>
          </cell>
          <cell r="CX59">
            <v>800</v>
          </cell>
          <cell r="CY59"/>
          <cell r="CZ59">
            <v>4200</v>
          </cell>
          <cell r="DA59"/>
          <cell r="DB59">
            <v>11400</v>
          </cell>
          <cell r="DC59">
            <v>7600</v>
          </cell>
          <cell r="DD59">
            <v>2400</v>
          </cell>
          <cell r="DE59">
            <v>4800</v>
          </cell>
          <cell r="DF59"/>
          <cell r="DG59" t="str">
            <v>ACTIVO</v>
          </cell>
          <cell r="DH59" t="str">
            <v>B</v>
          </cell>
          <cell r="DI59"/>
          <cell r="DJ59">
            <v>6300</v>
          </cell>
          <cell r="DK59">
            <v>1050</v>
          </cell>
          <cell r="DL59">
            <v>4168.2338519383056</v>
          </cell>
          <cell r="DM59">
            <v>0</v>
          </cell>
          <cell r="DN59" t="str">
            <v>0</v>
          </cell>
          <cell r="DO59">
            <v>0</v>
          </cell>
          <cell r="DP59" t="str">
            <v>COMPRAR</v>
          </cell>
          <cell r="DQ59">
            <v>15750</v>
          </cell>
        </row>
        <row r="60">
          <cell r="B60">
            <v>405789</v>
          </cell>
          <cell r="C60" t="str">
            <v>HOJA SEPARADORA TORTA DIAMETRO 230 MMS FULL CARTON</v>
          </cell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>
            <v>2400</v>
          </cell>
          <cell r="DE60">
            <v>4800</v>
          </cell>
          <cell r="DF60"/>
          <cell r="DG60" t="str">
            <v>ACTIVO</v>
          </cell>
          <cell r="DH60" t="str">
            <v/>
          </cell>
          <cell r="DI60"/>
          <cell r="DJ60">
            <v>2400</v>
          </cell>
          <cell r="DK60">
            <v>400</v>
          </cell>
          <cell r="DL60">
            <v>0</v>
          </cell>
          <cell r="DM60">
            <v>16800</v>
          </cell>
          <cell r="DN60">
            <v>2436000</v>
          </cell>
          <cell r="DO60">
            <v>7</v>
          </cell>
          <cell r="DP60" t="str">
            <v>OK</v>
          </cell>
          <cell r="DQ60">
            <v>6000</v>
          </cell>
        </row>
        <row r="61">
          <cell r="B61">
            <v>402257</v>
          </cell>
          <cell r="C61" t="str">
            <v>HOJA SEPARADORA TORTA DIAMETRO 230 MMS ASTRA</v>
          </cell>
          <cell r="D61">
            <v>7200</v>
          </cell>
          <cell r="E61">
            <v>6900</v>
          </cell>
          <cell r="F61">
            <v>3900</v>
          </cell>
          <cell r="G61">
            <v>10800</v>
          </cell>
          <cell r="H61"/>
          <cell r="I61"/>
          <cell r="J61"/>
          <cell r="K61">
            <v>3600</v>
          </cell>
          <cell r="L61">
            <v>3600</v>
          </cell>
          <cell r="M61"/>
          <cell r="N61"/>
          <cell r="O61"/>
          <cell r="P61">
            <v>6000</v>
          </cell>
          <cell r="Q61"/>
          <cell r="R61"/>
          <cell r="S61"/>
          <cell r="T61">
            <v>6000</v>
          </cell>
          <cell r="U61">
            <v>12350</v>
          </cell>
          <cell r="V61">
            <v>14700</v>
          </cell>
          <cell r="W61">
            <v>9850</v>
          </cell>
          <cell r="X61"/>
          <cell r="Y61">
            <v>8700</v>
          </cell>
          <cell r="Z61"/>
          <cell r="AA61"/>
          <cell r="AB61"/>
          <cell r="AC61">
            <v>6000</v>
          </cell>
          <cell r="AD61">
            <v>3000</v>
          </cell>
          <cell r="AE61">
            <v>3000</v>
          </cell>
          <cell r="AF61">
            <v>13800</v>
          </cell>
          <cell r="AG61">
            <v>3751</v>
          </cell>
          <cell r="AH61">
            <v>4199</v>
          </cell>
          <cell r="AI61">
            <v>3000</v>
          </cell>
          <cell r="AJ61">
            <v>600</v>
          </cell>
          <cell r="AK61"/>
          <cell r="AL61"/>
          <cell r="AM61"/>
          <cell r="AN61"/>
          <cell r="AO61"/>
          <cell r="AP61">
            <v>18000</v>
          </cell>
          <cell r="AQ61">
            <v>8300</v>
          </cell>
          <cell r="AR61"/>
          <cell r="AS61"/>
          <cell r="AT61">
            <v>2500</v>
          </cell>
          <cell r="AU61">
            <v>6500</v>
          </cell>
          <cell r="AV61">
            <v>6000</v>
          </cell>
          <cell r="AW61">
            <v>16500</v>
          </cell>
          <cell r="AX61">
            <v>13500</v>
          </cell>
          <cell r="AY61">
            <v>1850</v>
          </cell>
          <cell r="AZ61"/>
          <cell r="BA61"/>
          <cell r="BB61">
            <v>9600</v>
          </cell>
          <cell r="BC61">
            <v>12400</v>
          </cell>
          <cell r="BD61">
            <v>14100</v>
          </cell>
          <cell r="BE61">
            <v>6000</v>
          </cell>
          <cell r="BF61">
            <v>6000</v>
          </cell>
          <cell r="BG61">
            <v>1658</v>
          </cell>
          <cell r="BH61"/>
          <cell r="BI61">
            <v>3300</v>
          </cell>
          <cell r="BJ61">
            <v>9900</v>
          </cell>
          <cell r="BK61">
            <v>9900</v>
          </cell>
          <cell r="BL61"/>
          <cell r="BM61"/>
          <cell r="BN61"/>
          <cell r="BO61">
            <v>3900</v>
          </cell>
          <cell r="BP61">
            <v>3300</v>
          </cell>
          <cell r="BQ61">
            <v>6600</v>
          </cell>
          <cell r="BR61">
            <v>8300</v>
          </cell>
          <cell r="BS61">
            <v>2400</v>
          </cell>
          <cell r="BT61">
            <v>3300</v>
          </cell>
          <cell r="BU61">
            <v>6300</v>
          </cell>
          <cell r="BV61">
            <v>11100</v>
          </cell>
          <cell r="BW61"/>
          <cell r="BX61">
            <v>3000</v>
          </cell>
          <cell r="BY61"/>
          <cell r="BZ61"/>
          <cell r="CA61">
            <v>8400</v>
          </cell>
          <cell r="CB61">
            <v>2400</v>
          </cell>
          <cell r="CC61">
            <v>15000</v>
          </cell>
          <cell r="CD61"/>
          <cell r="CE61"/>
          <cell r="CF61"/>
          <cell r="CG61">
            <v>4800</v>
          </cell>
          <cell r="CH61">
            <v>10800</v>
          </cell>
          <cell r="CI61">
            <v>1200</v>
          </cell>
          <cell r="CJ61">
            <v>5400</v>
          </cell>
          <cell r="CK61"/>
          <cell r="CL61"/>
          <cell r="CM61"/>
          <cell r="CN61"/>
          <cell r="CO61"/>
          <cell r="CP61">
            <v>2400</v>
          </cell>
          <cell r="CQ61">
            <v>13500</v>
          </cell>
          <cell r="CR61"/>
          <cell r="CS61">
            <v>8400</v>
          </cell>
          <cell r="CT61">
            <v>8100</v>
          </cell>
          <cell r="CU61">
            <v>600</v>
          </cell>
          <cell r="CV61">
            <v>6000</v>
          </cell>
          <cell r="CW61"/>
          <cell r="CX61"/>
          <cell r="CY61">
            <v>1800</v>
          </cell>
          <cell r="CZ61">
            <v>3000</v>
          </cell>
          <cell r="DA61">
            <v>9400</v>
          </cell>
          <cell r="DB61">
            <v>3000</v>
          </cell>
          <cell r="DC61"/>
          <cell r="DD61">
            <v>4800</v>
          </cell>
          <cell r="DE61"/>
          <cell r="DF61"/>
          <cell r="DG61" t="str">
            <v>ACTIVO</v>
          </cell>
          <cell r="DH61" t="str">
            <v>B</v>
          </cell>
          <cell r="DI61"/>
          <cell r="DJ61">
            <v>5546.666666666667</v>
          </cell>
          <cell r="DK61">
            <v>924.44444444444446</v>
          </cell>
          <cell r="DL61">
            <v>4753.6020085259752</v>
          </cell>
          <cell r="DM61">
            <v>2400</v>
          </cell>
          <cell r="DN61">
            <v>348000</v>
          </cell>
          <cell r="DO61">
            <v>0.43269230769230765</v>
          </cell>
          <cell r="DP61" t="str">
            <v>COMPRAR</v>
          </cell>
          <cell r="DQ61">
            <v>13866.666666666666</v>
          </cell>
        </row>
        <row r="62">
          <cell r="B62">
            <v>393321</v>
          </cell>
          <cell r="C62" t="str">
            <v>HOJA SEPARADORA TORTA MEDIANA DIAMETRO 210 MMS.</v>
          </cell>
          <cell r="D62"/>
          <cell r="E62">
            <v>3000</v>
          </cell>
          <cell r="F62">
            <v>600</v>
          </cell>
          <cell r="G62">
            <v>3000</v>
          </cell>
          <cell r="H62">
            <v>1600</v>
          </cell>
          <cell r="I62">
            <v>3000</v>
          </cell>
          <cell r="J62">
            <v>3000</v>
          </cell>
          <cell r="K62">
            <v>1400</v>
          </cell>
          <cell r="L62">
            <v>3000</v>
          </cell>
          <cell r="M62"/>
          <cell r="N62">
            <v>3000</v>
          </cell>
          <cell r="O62"/>
          <cell r="P62">
            <v>6000</v>
          </cell>
          <cell r="Q62"/>
          <cell r="R62">
            <v>3328</v>
          </cell>
          <cell r="S62"/>
          <cell r="T62"/>
          <cell r="U62"/>
          <cell r="V62"/>
          <cell r="W62"/>
          <cell r="X62">
            <v>6000</v>
          </cell>
          <cell r="Y62">
            <v>3000</v>
          </cell>
          <cell r="Z62">
            <v>3000</v>
          </cell>
          <cell r="AA62"/>
          <cell r="AB62"/>
          <cell r="AC62"/>
          <cell r="AD62"/>
          <cell r="AE62"/>
          <cell r="AF62"/>
          <cell r="AG62"/>
          <cell r="AH62"/>
          <cell r="AI62"/>
          <cell r="AJ62">
            <v>3000</v>
          </cell>
          <cell r="AK62"/>
          <cell r="AL62">
            <v>3000</v>
          </cell>
          <cell r="AM62"/>
          <cell r="AN62">
            <v>6000</v>
          </cell>
          <cell r="AO62">
            <v>100</v>
          </cell>
          <cell r="AP62">
            <v>2900</v>
          </cell>
          <cell r="AQ62"/>
          <cell r="AR62">
            <v>3000</v>
          </cell>
          <cell r="AS62">
            <v>3000</v>
          </cell>
          <cell r="AT62">
            <v>6000</v>
          </cell>
          <cell r="AU62"/>
          <cell r="AV62">
            <v>3000</v>
          </cell>
          <cell r="AW62">
            <v>3000</v>
          </cell>
          <cell r="AX62"/>
          <cell r="AY62">
            <v>3000</v>
          </cell>
          <cell r="AZ62"/>
          <cell r="BA62"/>
          <cell r="BB62">
            <v>3000</v>
          </cell>
          <cell r="BC62"/>
          <cell r="BD62">
            <v>6000</v>
          </cell>
          <cell r="BE62"/>
          <cell r="BF62">
            <v>3000</v>
          </cell>
          <cell r="BG62">
            <v>8500</v>
          </cell>
          <cell r="BH62">
            <v>3000</v>
          </cell>
          <cell r="BI62"/>
          <cell r="BJ62">
            <v>3000</v>
          </cell>
          <cell r="BK62">
            <v>6000</v>
          </cell>
          <cell r="BL62">
            <v>1220</v>
          </cell>
          <cell r="BM62">
            <v>3000</v>
          </cell>
          <cell r="BN62">
            <v>15900</v>
          </cell>
          <cell r="BO62">
            <v>5700</v>
          </cell>
          <cell r="BP62">
            <v>2700</v>
          </cell>
          <cell r="BQ62">
            <v>3000</v>
          </cell>
          <cell r="BR62">
            <v>7200</v>
          </cell>
          <cell r="BS62"/>
          <cell r="BT62">
            <v>6000</v>
          </cell>
          <cell r="BU62">
            <v>4500</v>
          </cell>
          <cell r="BV62"/>
          <cell r="BW62">
            <v>3300</v>
          </cell>
          <cell r="BX62">
            <v>9600</v>
          </cell>
          <cell r="BY62">
            <v>1500</v>
          </cell>
          <cell r="BZ62">
            <v>200</v>
          </cell>
          <cell r="CA62">
            <v>8800</v>
          </cell>
          <cell r="CB62">
            <v>3000</v>
          </cell>
          <cell r="CC62">
            <v>4400</v>
          </cell>
          <cell r="CD62">
            <v>2400</v>
          </cell>
          <cell r="CE62">
            <v>2400</v>
          </cell>
          <cell r="CF62"/>
          <cell r="CG62">
            <v>2400</v>
          </cell>
          <cell r="CH62">
            <v>6000</v>
          </cell>
          <cell r="CI62">
            <v>4800</v>
          </cell>
          <cell r="CJ62">
            <v>4800</v>
          </cell>
          <cell r="CK62">
            <v>7200</v>
          </cell>
          <cell r="CL62">
            <v>2400</v>
          </cell>
          <cell r="CM62">
            <v>12000</v>
          </cell>
          <cell r="CN62">
            <v>4800</v>
          </cell>
          <cell r="CO62">
            <v>3000</v>
          </cell>
          <cell r="CP62">
            <v>2400</v>
          </cell>
          <cell r="CQ62">
            <v>4800</v>
          </cell>
          <cell r="CR62">
            <v>4800</v>
          </cell>
          <cell r="CS62">
            <v>2400</v>
          </cell>
          <cell r="CT62">
            <v>2400</v>
          </cell>
          <cell r="CU62"/>
          <cell r="CV62">
            <v>2400</v>
          </cell>
          <cell r="CW62"/>
          <cell r="CX62">
            <v>1200</v>
          </cell>
          <cell r="CY62"/>
          <cell r="CZ62">
            <v>2400</v>
          </cell>
          <cell r="DA62">
            <v>8400</v>
          </cell>
          <cell r="DB62">
            <v>100</v>
          </cell>
          <cell r="DC62">
            <v>4800</v>
          </cell>
          <cell r="DD62">
            <v>2400</v>
          </cell>
          <cell r="DE62">
            <v>11900</v>
          </cell>
          <cell r="DF62"/>
          <cell r="DG62" t="str">
            <v>ACTIVO</v>
          </cell>
          <cell r="DH62" t="str">
            <v>B</v>
          </cell>
          <cell r="DI62"/>
          <cell r="DJ62">
            <v>4090.4761904761904</v>
          </cell>
          <cell r="DK62">
            <v>681.74603174603169</v>
          </cell>
          <cell r="DL62">
            <v>2992.9706005694438</v>
          </cell>
          <cell r="DM62">
            <v>2400</v>
          </cell>
          <cell r="DN62">
            <v>362400</v>
          </cell>
          <cell r="DO62">
            <v>0.58672875436554139</v>
          </cell>
          <cell r="DP62" t="str">
            <v>COMPRAR</v>
          </cell>
          <cell r="DQ62">
            <v>10226.190476190475</v>
          </cell>
        </row>
        <row r="63">
          <cell r="B63">
            <v>393322</v>
          </cell>
          <cell r="C63" t="str">
            <v>HOJA SEPARADORA TARTALETA DIAMETRO 255 MMS.</v>
          </cell>
          <cell r="D63">
            <v>1200</v>
          </cell>
          <cell r="E63"/>
          <cell r="F63">
            <v>1000</v>
          </cell>
          <cell r="G63">
            <v>700</v>
          </cell>
          <cell r="H63">
            <v>800</v>
          </cell>
          <cell r="I63">
            <v>1300</v>
          </cell>
          <cell r="J63">
            <v>500</v>
          </cell>
          <cell r="K63">
            <v>1100</v>
          </cell>
          <cell r="L63">
            <v>500</v>
          </cell>
          <cell r="M63">
            <v>1000</v>
          </cell>
          <cell r="N63">
            <v>900</v>
          </cell>
          <cell r="O63">
            <v>1100</v>
          </cell>
          <cell r="P63">
            <v>1500</v>
          </cell>
          <cell r="Q63">
            <v>900</v>
          </cell>
          <cell r="R63">
            <v>1100</v>
          </cell>
          <cell r="S63">
            <v>1200</v>
          </cell>
          <cell r="T63">
            <v>2600</v>
          </cell>
          <cell r="U63">
            <v>600</v>
          </cell>
          <cell r="V63">
            <v>4700</v>
          </cell>
          <cell r="W63">
            <v>7700</v>
          </cell>
          <cell r="X63">
            <v>2200</v>
          </cell>
          <cell r="Y63"/>
          <cell r="Z63">
            <v>3000</v>
          </cell>
          <cell r="AA63"/>
          <cell r="AB63"/>
          <cell r="AC63"/>
          <cell r="AD63">
            <v>500</v>
          </cell>
          <cell r="AE63"/>
          <cell r="AF63">
            <v>401</v>
          </cell>
          <cell r="AG63">
            <v>950</v>
          </cell>
          <cell r="AH63">
            <v>1399</v>
          </cell>
          <cell r="AI63">
            <v>700</v>
          </cell>
          <cell r="AJ63">
            <v>850</v>
          </cell>
          <cell r="AK63">
            <v>1100</v>
          </cell>
          <cell r="AL63">
            <v>700</v>
          </cell>
          <cell r="AM63">
            <v>900</v>
          </cell>
          <cell r="AN63">
            <v>900</v>
          </cell>
          <cell r="AO63">
            <v>1200</v>
          </cell>
          <cell r="AP63">
            <v>1000</v>
          </cell>
          <cell r="AQ63">
            <v>2000</v>
          </cell>
          <cell r="AR63">
            <v>2100</v>
          </cell>
          <cell r="AS63">
            <v>1900</v>
          </cell>
          <cell r="AT63">
            <v>1400</v>
          </cell>
          <cell r="AU63">
            <v>5900</v>
          </cell>
          <cell r="AV63">
            <v>2200</v>
          </cell>
          <cell r="AW63">
            <v>2000</v>
          </cell>
          <cell r="AX63">
            <v>1800</v>
          </cell>
          <cell r="AY63">
            <v>3000</v>
          </cell>
          <cell r="AZ63">
            <v>1600</v>
          </cell>
          <cell r="BA63">
            <v>1200</v>
          </cell>
          <cell r="BB63"/>
          <cell r="BC63"/>
          <cell r="BD63">
            <v>800</v>
          </cell>
          <cell r="BE63">
            <v>800</v>
          </cell>
          <cell r="BF63">
            <v>1600</v>
          </cell>
          <cell r="BG63">
            <v>6000</v>
          </cell>
          <cell r="BH63">
            <v>3200</v>
          </cell>
          <cell r="BI63">
            <v>3900</v>
          </cell>
          <cell r="BJ63">
            <v>2200</v>
          </cell>
          <cell r="BK63">
            <v>1200</v>
          </cell>
          <cell r="BL63">
            <v>1300</v>
          </cell>
          <cell r="BM63">
            <v>700</v>
          </cell>
          <cell r="BN63">
            <v>1000</v>
          </cell>
          <cell r="BO63">
            <v>1100</v>
          </cell>
          <cell r="BP63">
            <v>800</v>
          </cell>
          <cell r="BQ63">
            <v>100</v>
          </cell>
          <cell r="BR63"/>
          <cell r="BS63">
            <v>500</v>
          </cell>
          <cell r="BT63">
            <v>700</v>
          </cell>
          <cell r="BU63">
            <v>2000</v>
          </cell>
          <cell r="BV63">
            <v>1000</v>
          </cell>
          <cell r="BW63">
            <v>600</v>
          </cell>
          <cell r="BX63">
            <v>700</v>
          </cell>
          <cell r="BY63">
            <v>1400</v>
          </cell>
          <cell r="BZ63">
            <v>2300</v>
          </cell>
          <cell r="CA63">
            <v>300</v>
          </cell>
          <cell r="CB63">
            <v>12800</v>
          </cell>
          <cell r="CC63">
            <v>400</v>
          </cell>
          <cell r="CD63"/>
          <cell r="CE63"/>
          <cell r="CF63"/>
          <cell r="CG63">
            <v>300</v>
          </cell>
          <cell r="CH63">
            <v>200</v>
          </cell>
          <cell r="CI63">
            <v>2300</v>
          </cell>
          <cell r="CJ63"/>
          <cell r="CK63">
            <v>2700</v>
          </cell>
          <cell r="CL63"/>
          <cell r="CM63">
            <v>5400</v>
          </cell>
          <cell r="CN63"/>
          <cell r="CO63">
            <v>3000</v>
          </cell>
          <cell r="CP63"/>
          <cell r="CQ63">
            <v>3100</v>
          </cell>
          <cell r="CR63">
            <v>500</v>
          </cell>
          <cell r="CS63">
            <v>2800</v>
          </cell>
          <cell r="CT63"/>
          <cell r="CU63"/>
          <cell r="CV63"/>
          <cell r="CW63"/>
          <cell r="CX63">
            <v>1800</v>
          </cell>
          <cell r="CY63"/>
          <cell r="CZ63"/>
          <cell r="DA63">
            <v>2000</v>
          </cell>
          <cell r="DB63"/>
          <cell r="DC63"/>
          <cell r="DD63">
            <v>2400</v>
          </cell>
          <cell r="DE63"/>
          <cell r="DF63"/>
          <cell r="DG63" t="str">
            <v>ACTIVO</v>
          </cell>
          <cell r="DH63" t="str">
            <v>B</v>
          </cell>
          <cell r="DI63"/>
          <cell r="DJ63">
            <v>2208.3333333333335</v>
          </cell>
          <cell r="DK63">
            <v>368.0555555555556</v>
          </cell>
          <cell r="DL63">
            <v>2049.5911342902837</v>
          </cell>
          <cell r="DM63">
            <v>6000</v>
          </cell>
          <cell r="DN63">
            <v>903900</v>
          </cell>
          <cell r="DO63">
            <v>2.7169811320754715</v>
          </cell>
          <cell r="DP63" t="str">
            <v>COMPRAR</v>
          </cell>
          <cell r="DQ63">
            <v>5520.8333333333339</v>
          </cell>
        </row>
        <row r="64">
          <cell r="B64">
            <v>403245</v>
          </cell>
          <cell r="C64" t="str">
            <v>Borde G 220x25 VERTIENTES</v>
          </cell>
          <cell r="D64">
            <v>8866</v>
          </cell>
          <cell r="E64">
            <v>16094</v>
          </cell>
          <cell r="F64">
            <v>19760</v>
          </cell>
          <cell r="G64">
            <v>10920</v>
          </cell>
          <cell r="H64">
            <v>15600</v>
          </cell>
          <cell r="I64">
            <v>15080</v>
          </cell>
          <cell r="J64">
            <v>16380</v>
          </cell>
          <cell r="K64">
            <v>15340</v>
          </cell>
          <cell r="L64">
            <v>20540</v>
          </cell>
          <cell r="M64">
            <v>19240</v>
          </cell>
          <cell r="N64">
            <v>17680</v>
          </cell>
          <cell r="O64">
            <v>7282.08</v>
          </cell>
          <cell r="P64">
            <v>16637.919999999998</v>
          </cell>
          <cell r="Q64">
            <v>1820</v>
          </cell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>
            <v>2080</v>
          </cell>
          <cell r="CI64">
            <v>1040</v>
          </cell>
          <cell r="CJ64">
            <v>18200</v>
          </cell>
          <cell r="CK64">
            <v>13640</v>
          </cell>
          <cell r="CL64">
            <v>780</v>
          </cell>
          <cell r="CM64"/>
          <cell r="CN64"/>
          <cell r="CO64"/>
          <cell r="CP64"/>
          <cell r="CQ64"/>
          <cell r="CR64"/>
          <cell r="CS64"/>
          <cell r="CT64"/>
          <cell r="CU64">
            <v>7920</v>
          </cell>
          <cell r="CV64">
            <v>7540</v>
          </cell>
          <cell r="CW64"/>
          <cell r="CX64"/>
          <cell r="CY64"/>
          <cell r="CZ64"/>
          <cell r="DA64"/>
          <cell r="DB64"/>
          <cell r="DC64"/>
          <cell r="DD64">
            <v>2340</v>
          </cell>
          <cell r="DE64">
            <v>780</v>
          </cell>
          <cell r="DF64"/>
          <cell r="DG64" t="str">
            <v>ACTIVO</v>
          </cell>
          <cell r="DH64" t="str">
            <v/>
          </cell>
          <cell r="DI64"/>
          <cell r="DJ64">
            <v>6692.5</v>
          </cell>
          <cell r="DK64">
            <v>1115.4166666666667</v>
          </cell>
          <cell r="DL64">
            <v>0</v>
          </cell>
          <cell r="DM64">
            <v>4420</v>
          </cell>
          <cell r="DN64">
            <v>707200</v>
          </cell>
          <cell r="DO64">
            <v>0.66044079193126637</v>
          </cell>
          <cell r="DP64" t="str">
            <v>COMPRAR</v>
          </cell>
          <cell r="DQ64">
            <v>4461.666666666667</v>
          </cell>
        </row>
        <row r="65">
          <cell r="B65">
            <v>107316</v>
          </cell>
          <cell r="C65" t="str">
            <v>PLANCHA DE CARTON 1X1,20 ASTRA</v>
          </cell>
          <cell r="D65"/>
          <cell r="E65"/>
          <cell r="F65">
            <v>500</v>
          </cell>
          <cell r="G65">
            <v>500</v>
          </cell>
          <cell r="H65"/>
          <cell r="I65"/>
          <cell r="J65"/>
          <cell r="K65">
            <v>400</v>
          </cell>
          <cell r="L65">
            <v>900</v>
          </cell>
          <cell r="M65"/>
          <cell r="N65">
            <v>800</v>
          </cell>
          <cell r="O65"/>
          <cell r="P65"/>
          <cell r="Q65">
            <v>405</v>
          </cell>
          <cell r="R65"/>
          <cell r="S65"/>
          <cell r="T65">
            <v>400</v>
          </cell>
          <cell r="U65"/>
          <cell r="V65">
            <v>800</v>
          </cell>
          <cell r="W65"/>
          <cell r="X65">
            <v>800</v>
          </cell>
          <cell r="Y65">
            <v>1000</v>
          </cell>
          <cell r="Z65">
            <v>500</v>
          </cell>
          <cell r="AA65">
            <v>500</v>
          </cell>
          <cell r="AB65">
            <v>600</v>
          </cell>
          <cell r="AC65"/>
          <cell r="AD65"/>
          <cell r="AE65"/>
          <cell r="AF65"/>
          <cell r="AG65">
            <v>500</v>
          </cell>
          <cell r="AH65">
            <v>600</v>
          </cell>
          <cell r="AI65">
            <v>1000</v>
          </cell>
          <cell r="AJ65"/>
          <cell r="AK65"/>
          <cell r="AL65">
            <v>600</v>
          </cell>
          <cell r="AM65"/>
          <cell r="AN65"/>
          <cell r="AO65"/>
          <cell r="AP65">
            <v>500</v>
          </cell>
          <cell r="AQ65">
            <v>1500</v>
          </cell>
          <cell r="AR65">
            <v>400</v>
          </cell>
          <cell r="AS65"/>
          <cell r="AT65">
            <v>400</v>
          </cell>
          <cell r="AU65">
            <v>900</v>
          </cell>
          <cell r="AV65"/>
          <cell r="AW65">
            <v>900</v>
          </cell>
          <cell r="AX65">
            <v>500</v>
          </cell>
          <cell r="AY65">
            <v>500</v>
          </cell>
          <cell r="AZ65">
            <v>500</v>
          </cell>
          <cell r="BA65">
            <v>500</v>
          </cell>
          <cell r="BB65">
            <v>500</v>
          </cell>
          <cell r="BC65"/>
          <cell r="BD65">
            <v>500</v>
          </cell>
          <cell r="BE65">
            <v>500</v>
          </cell>
          <cell r="BF65"/>
          <cell r="BG65">
            <v>1000</v>
          </cell>
          <cell r="BH65"/>
          <cell r="BI65">
            <v>500</v>
          </cell>
          <cell r="BJ65">
            <v>657</v>
          </cell>
          <cell r="BK65">
            <v>500</v>
          </cell>
          <cell r="BL65"/>
          <cell r="BM65">
            <v>500</v>
          </cell>
          <cell r="BN65">
            <v>480</v>
          </cell>
          <cell r="BO65">
            <v>450</v>
          </cell>
          <cell r="BP65"/>
          <cell r="BQ65">
            <v>1000</v>
          </cell>
          <cell r="BR65">
            <v>500</v>
          </cell>
          <cell r="BS65"/>
          <cell r="BT65"/>
          <cell r="BU65"/>
          <cell r="BV65">
            <v>500</v>
          </cell>
          <cell r="BW65">
            <v>500</v>
          </cell>
          <cell r="BX65"/>
          <cell r="BY65">
            <v>1000</v>
          </cell>
          <cell r="BZ65"/>
          <cell r="CA65"/>
          <cell r="CB65">
            <v>500</v>
          </cell>
          <cell r="CC65"/>
          <cell r="CD65">
            <v>500</v>
          </cell>
          <cell r="CE65"/>
          <cell r="CF65"/>
          <cell r="CG65">
            <v>1000</v>
          </cell>
          <cell r="CH65"/>
          <cell r="CI65">
            <v>1000</v>
          </cell>
          <cell r="CJ65">
            <v>500</v>
          </cell>
          <cell r="CK65">
            <v>500</v>
          </cell>
          <cell r="CL65">
            <v>500</v>
          </cell>
          <cell r="CM65">
            <v>500</v>
          </cell>
          <cell r="CN65"/>
          <cell r="CO65">
            <v>500</v>
          </cell>
          <cell r="CP65">
            <v>1000</v>
          </cell>
          <cell r="CQ65"/>
          <cell r="CR65">
            <v>750</v>
          </cell>
          <cell r="CS65">
            <v>500</v>
          </cell>
          <cell r="CT65">
            <v>500</v>
          </cell>
          <cell r="CU65">
            <v>500</v>
          </cell>
          <cell r="CV65">
            <v>1000</v>
          </cell>
          <cell r="CW65"/>
          <cell r="CX65">
            <v>500</v>
          </cell>
          <cell r="CY65">
            <v>500</v>
          </cell>
          <cell r="CZ65"/>
          <cell r="DA65">
            <v>500</v>
          </cell>
          <cell r="DB65">
            <v>500</v>
          </cell>
          <cell r="DC65">
            <v>250</v>
          </cell>
          <cell r="DD65"/>
          <cell r="DE65"/>
          <cell r="DF65"/>
          <cell r="DG65" t="str">
            <v>ACTIVO</v>
          </cell>
          <cell r="DH65" t="str">
            <v>B</v>
          </cell>
          <cell r="DI65"/>
          <cell r="DJ65">
            <v>611.11111111111109</v>
          </cell>
          <cell r="DK65">
            <v>101.85185185185185</v>
          </cell>
          <cell r="DL65">
            <v>251.67236339062674</v>
          </cell>
          <cell r="DM65">
            <v>0</v>
          </cell>
          <cell r="DN65" t="str">
            <v>0</v>
          </cell>
          <cell r="DO65">
            <v>0</v>
          </cell>
          <cell r="DP65" t="str">
            <v>COMPRAR</v>
          </cell>
          <cell r="DQ65">
            <v>1527.7777777777778</v>
          </cell>
        </row>
        <row r="66">
          <cell r="B66">
            <v>403266</v>
          </cell>
          <cell r="C66" t="str">
            <v>PLANCHA DE CARTON 1X1,20 EHLAN</v>
          </cell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>
            <v>400</v>
          </cell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 t="str">
            <v>ACTIVO</v>
          </cell>
          <cell r="DH66" t="str">
            <v/>
          </cell>
          <cell r="DI66"/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 t="str">
            <v>0</v>
          </cell>
          <cell r="DO66">
            <v>0</v>
          </cell>
          <cell r="DP66" t="str">
            <v>COMPRAR</v>
          </cell>
          <cell r="DQ66">
            <v>0</v>
          </cell>
        </row>
        <row r="67">
          <cell r="B67">
            <v>405793</v>
          </cell>
          <cell r="C67" t="str">
            <v>PLANCHA DE CARTON 1X1,20 FULL CARTON</v>
          </cell>
          <cell r="D67"/>
          <cell r="E67"/>
          <cell r="F67"/>
          <cell r="G67"/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>
            <v>500</v>
          </cell>
          <cell r="DE67">
            <v>600</v>
          </cell>
          <cell r="DF67"/>
          <cell r="DG67" t="str">
            <v>ACTIVO</v>
          </cell>
          <cell r="DH67" t="str">
            <v/>
          </cell>
          <cell r="DI67"/>
          <cell r="DJ67">
            <v>500</v>
          </cell>
          <cell r="DK67">
            <v>83.333333333333329</v>
          </cell>
          <cell r="DL67">
            <v>0</v>
          </cell>
          <cell r="DM67">
            <v>1000</v>
          </cell>
          <cell r="DN67">
            <v>617330</v>
          </cell>
          <cell r="DO67">
            <v>2</v>
          </cell>
          <cell r="DP67" t="str">
            <v>COMPRAR</v>
          </cell>
          <cell r="DQ67">
            <v>1250</v>
          </cell>
        </row>
        <row r="68">
          <cell r="B68">
            <v>405438</v>
          </cell>
          <cell r="C68" t="str">
            <v>CARTULINA BLANCA EMPLACADA DIAMTERO 19CM ALIMPACK</v>
          </cell>
          <cell r="D68"/>
          <cell r="E68"/>
          <cell r="F68"/>
          <cell r="G68"/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>
            <v>24000</v>
          </cell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 t="str">
            <v>ACTIVO</v>
          </cell>
          <cell r="DH68" t="str">
            <v>C</v>
          </cell>
          <cell r="DI68"/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 t="str">
            <v>0</v>
          </cell>
          <cell r="DO68">
            <v>0</v>
          </cell>
          <cell r="DP68" t="str">
            <v>COMPRAR</v>
          </cell>
          <cell r="DQ68">
            <v>0</v>
          </cell>
        </row>
        <row r="69">
          <cell r="B69">
            <v>405583</v>
          </cell>
          <cell r="C69" t="str">
            <v>DISCO MICROCORRUGADO EMPLACADO 19 CM DIÁMETRO ASTRA</v>
          </cell>
          <cell r="D69"/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>
            <v>1250</v>
          </cell>
          <cell r="BR69">
            <v>13000</v>
          </cell>
          <cell r="BS69">
            <v>8600</v>
          </cell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>
            <v>2000</v>
          </cell>
          <cell r="CM69">
            <v>5300</v>
          </cell>
          <cell r="CN69"/>
          <cell r="CO69">
            <v>12500</v>
          </cell>
          <cell r="CP69">
            <v>14500</v>
          </cell>
          <cell r="CQ69">
            <v>3500</v>
          </cell>
          <cell r="CR69">
            <v>5950</v>
          </cell>
          <cell r="CS69"/>
          <cell r="CT69"/>
          <cell r="CU69">
            <v>29600</v>
          </cell>
          <cell r="CV69"/>
          <cell r="CW69"/>
          <cell r="CX69"/>
          <cell r="CY69"/>
          <cell r="CZ69"/>
          <cell r="DA69"/>
          <cell r="DB69"/>
          <cell r="DC69">
            <v>2000</v>
          </cell>
          <cell r="DD69">
            <v>10350</v>
          </cell>
          <cell r="DE69">
            <v>6500</v>
          </cell>
          <cell r="DF69"/>
          <cell r="DG69" t="str">
            <v>ACTIVO</v>
          </cell>
          <cell r="DH69" t="str">
            <v>C</v>
          </cell>
          <cell r="DI69"/>
          <cell r="DJ69">
            <v>9522.2222222222226</v>
          </cell>
          <cell r="DK69">
            <v>1587.0370370370372</v>
          </cell>
          <cell r="DL69">
            <v>5936.399020730777</v>
          </cell>
          <cell r="DM69">
            <v>55500</v>
          </cell>
          <cell r="DN69">
            <v>2719500</v>
          </cell>
          <cell r="DO69">
            <v>5.8284714119019831</v>
          </cell>
          <cell r="DP69" t="str">
            <v>OK</v>
          </cell>
          <cell r="DQ69">
            <v>23805.555555555558</v>
          </cell>
        </row>
        <row r="70">
          <cell r="B70">
            <v>405170</v>
          </cell>
          <cell r="C70" t="str">
            <v>DISCO CARTON 19CM MICROCORRUGADO ALIMPACK</v>
          </cell>
          <cell r="D70"/>
          <cell r="E70"/>
          <cell r="F70"/>
          <cell r="G70"/>
          <cell r="H70"/>
          <cell r="I70"/>
          <cell r="J70"/>
          <cell r="K70"/>
          <cell r="L70">
            <v>5000</v>
          </cell>
          <cell r="M70"/>
          <cell r="N70"/>
          <cell r="O70"/>
          <cell r="P70">
            <v>1600</v>
          </cell>
          <cell r="Q70"/>
          <cell r="R70">
            <v>5750</v>
          </cell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 t="str">
            <v>ACTIVO</v>
          </cell>
          <cell r="DH70" t="str">
            <v/>
          </cell>
          <cell r="DI70"/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 t="str">
            <v>0</v>
          </cell>
          <cell r="DO70">
            <v>0</v>
          </cell>
          <cell r="DP70" t="str">
            <v>COMPRAR</v>
          </cell>
          <cell r="DQ70">
            <v>0</v>
          </cell>
        </row>
        <row r="71">
          <cell r="B71">
            <v>405422</v>
          </cell>
          <cell r="C71" t="str">
            <v>MOLDES PAPEL BASE TARTA MOLDESPAC</v>
          </cell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>
            <v>17420</v>
          </cell>
          <cell r="R71">
            <v>11960</v>
          </cell>
          <cell r="S71">
            <v>21060</v>
          </cell>
          <cell r="T71">
            <v>14560</v>
          </cell>
          <cell r="U71">
            <v>22880</v>
          </cell>
          <cell r="V71">
            <v>20800</v>
          </cell>
          <cell r="W71">
            <v>12480</v>
          </cell>
          <cell r="X71">
            <v>24700</v>
          </cell>
          <cell r="Y71">
            <v>28600</v>
          </cell>
          <cell r="Z71">
            <v>22360</v>
          </cell>
          <cell r="AA71">
            <v>5720</v>
          </cell>
          <cell r="AB71">
            <v>14040</v>
          </cell>
          <cell r="AC71">
            <v>8060</v>
          </cell>
          <cell r="AD71">
            <v>4160</v>
          </cell>
          <cell r="AE71">
            <v>1820</v>
          </cell>
          <cell r="AF71">
            <v>19760</v>
          </cell>
          <cell r="AG71">
            <v>27040</v>
          </cell>
          <cell r="AH71">
            <v>24180</v>
          </cell>
          <cell r="AI71">
            <v>22100</v>
          </cell>
          <cell r="AJ71">
            <v>10920</v>
          </cell>
          <cell r="AK71">
            <v>16380</v>
          </cell>
          <cell r="AL71">
            <v>10920</v>
          </cell>
          <cell r="AM71">
            <v>18200</v>
          </cell>
          <cell r="AN71">
            <v>16900</v>
          </cell>
          <cell r="AO71">
            <v>13520</v>
          </cell>
          <cell r="AP71">
            <v>10660</v>
          </cell>
          <cell r="AQ71">
            <v>21580</v>
          </cell>
          <cell r="AR71">
            <v>23140</v>
          </cell>
          <cell r="AS71">
            <v>18200</v>
          </cell>
          <cell r="AT71">
            <v>17940</v>
          </cell>
          <cell r="AU71">
            <v>19500</v>
          </cell>
          <cell r="AV71">
            <v>23660</v>
          </cell>
          <cell r="AW71">
            <v>23920</v>
          </cell>
          <cell r="AX71">
            <v>27300</v>
          </cell>
          <cell r="AY71">
            <v>21320</v>
          </cell>
          <cell r="AZ71">
            <v>13260</v>
          </cell>
          <cell r="BA71">
            <v>25480</v>
          </cell>
          <cell r="BB71">
            <v>8840</v>
          </cell>
          <cell r="BC71">
            <v>17420</v>
          </cell>
          <cell r="BD71">
            <v>5680</v>
          </cell>
          <cell r="BE71">
            <v>27040</v>
          </cell>
          <cell r="BF71">
            <v>14040</v>
          </cell>
          <cell r="BG71">
            <v>14820</v>
          </cell>
          <cell r="BH71">
            <v>17940</v>
          </cell>
          <cell r="BI71">
            <v>17940</v>
          </cell>
          <cell r="BJ71">
            <v>32500</v>
          </cell>
          <cell r="BK71">
            <v>15860</v>
          </cell>
          <cell r="BL71">
            <v>20800</v>
          </cell>
          <cell r="BM71">
            <v>21060</v>
          </cell>
          <cell r="BN71">
            <v>17680</v>
          </cell>
          <cell r="BO71">
            <v>18200</v>
          </cell>
          <cell r="BP71">
            <v>8320</v>
          </cell>
          <cell r="BQ71">
            <v>72800</v>
          </cell>
          <cell r="BR71">
            <v>13260</v>
          </cell>
          <cell r="BS71">
            <v>21840</v>
          </cell>
          <cell r="BT71">
            <v>14300</v>
          </cell>
          <cell r="BU71">
            <v>22100</v>
          </cell>
          <cell r="BV71">
            <v>14300</v>
          </cell>
          <cell r="BW71">
            <v>14040</v>
          </cell>
          <cell r="BX71">
            <v>11960</v>
          </cell>
          <cell r="BY71">
            <v>12740</v>
          </cell>
          <cell r="BZ71">
            <v>18720</v>
          </cell>
          <cell r="CA71">
            <v>17940</v>
          </cell>
          <cell r="CB71">
            <v>5720</v>
          </cell>
          <cell r="CC71">
            <v>14820</v>
          </cell>
          <cell r="CD71">
            <v>13000</v>
          </cell>
          <cell r="CE71">
            <v>8320</v>
          </cell>
          <cell r="CF71">
            <v>2340</v>
          </cell>
          <cell r="CG71">
            <v>17160</v>
          </cell>
          <cell r="CH71">
            <v>19500</v>
          </cell>
          <cell r="CI71">
            <v>15860</v>
          </cell>
          <cell r="CJ71">
            <v>1560</v>
          </cell>
          <cell r="CK71">
            <v>7540</v>
          </cell>
          <cell r="CL71">
            <v>13520</v>
          </cell>
          <cell r="CM71">
            <v>21840</v>
          </cell>
          <cell r="CN71">
            <v>22620</v>
          </cell>
          <cell r="CO71">
            <v>15340</v>
          </cell>
          <cell r="CP71">
            <v>10140</v>
          </cell>
          <cell r="CQ71">
            <v>8580</v>
          </cell>
          <cell r="CR71">
            <v>10920</v>
          </cell>
          <cell r="CS71">
            <v>5980</v>
          </cell>
          <cell r="CT71">
            <v>15080</v>
          </cell>
          <cell r="CU71">
            <v>6900</v>
          </cell>
          <cell r="CV71">
            <v>13000</v>
          </cell>
          <cell r="CW71">
            <v>18460</v>
          </cell>
          <cell r="CX71">
            <v>18200</v>
          </cell>
          <cell r="CY71">
            <v>16900</v>
          </cell>
          <cell r="CZ71">
            <v>8580</v>
          </cell>
          <cell r="DA71">
            <v>8320</v>
          </cell>
          <cell r="DB71">
            <v>12220</v>
          </cell>
          <cell r="DC71">
            <v>8580</v>
          </cell>
          <cell r="DD71">
            <v>10660</v>
          </cell>
          <cell r="DE71">
            <v>13260</v>
          </cell>
          <cell r="DF71">
            <v>3640</v>
          </cell>
          <cell r="DG71" t="str">
            <v>ACTIVO</v>
          </cell>
          <cell r="DH71" t="str">
            <v>A</v>
          </cell>
          <cell r="DI71"/>
          <cell r="DJ71">
            <v>12392</v>
          </cell>
          <cell r="DK71">
            <v>2065.3333333333335</v>
          </cell>
          <cell r="DL71">
            <v>9783.1732707380306</v>
          </cell>
          <cell r="DM71">
            <v>14300</v>
          </cell>
          <cell r="DN71">
            <v>2373800</v>
          </cell>
          <cell r="DO71">
            <v>1.1539703034215623</v>
          </cell>
          <cell r="DP71" t="str">
            <v>OK</v>
          </cell>
          <cell r="DQ71">
            <v>4130.666666666667</v>
          </cell>
        </row>
        <row r="72">
          <cell r="B72">
            <v>403368</v>
          </cell>
          <cell r="C72" t="str">
            <v>HOJA SENCILLA PROSERVAR</v>
          </cell>
          <cell r="D72">
            <v>1000</v>
          </cell>
          <cell r="E72">
            <v>900</v>
          </cell>
          <cell r="F72">
            <v>900</v>
          </cell>
          <cell r="G72">
            <v>1700</v>
          </cell>
          <cell r="H72">
            <v>1000</v>
          </cell>
          <cell r="I72"/>
          <cell r="J72"/>
          <cell r="K72"/>
          <cell r="L72"/>
          <cell r="M72"/>
          <cell r="N72">
            <v>1000</v>
          </cell>
          <cell r="O72">
            <v>100</v>
          </cell>
          <cell r="P72">
            <v>900</v>
          </cell>
          <cell r="Q72">
            <v>1000</v>
          </cell>
          <cell r="R72">
            <v>1300</v>
          </cell>
          <cell r="S72">
            <v>632</v>
          </cell>
          <cell r="T72">
            <v>68</v>
          </cell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>
            <v>300</v>
          </cell>
          <cell r="AH72">
            <v>600</v>
          </cell>
          <cell r="AI72"/>
          <cell r="AJ72"/>
          <cell r="AK72"/>
          <cell r="AL72"/>
          <cell r="AM72">
            <v>500</v>
          </cell>
          <cell r="AN72"/>
          <cell r="AO72">
            <v>801</v>
          </cell>
          <cell r="AP72">
            <v>200</v>
          </cell>
          <cell r="AQ72">
            <v>1099</v>
          </cell>
          <cell r="AR72">
            <v>500</v>
          </cell>
          <cell r="AS72">
            <v>500</v>
          </cell>
          <cell r="AT72">
            <v>400</v>
          </cell>
          <cell r="AU72">
            <v>400</v>
          </cell>
          <cell r="AV72"/>
          <cell r="AW72"/>
          <cell r="AX72"/>
          <cell r="AY72"/>
          <cell r="AZ72"/>
          <cell r="BA72"/>
          <cell r="BB72"/>
          <cell r="BC72"/>
          <cell r="BD72"/>
          <cell r="BE72">
            <v>600</v>
          </cell>
          <cell r="BF72">
            <v>600</v>
          </cell>
          <cell r="BG72">
            <v>600</v>
          </cell>
          <cell r="BH72">
            <v>200</v>
          </cell>
          <cell r="BI72">
            <v>600</v>
          </cell>
          <cell r="BJ72">
            <v>1600</v>
          </cell>
          <cell r="BK72"/>
          <cell r="BL72"/>
          <cell r="BM72"/>
          <cell r="BN72"/>
          <cell r="BO72"/>
          <cell r="BP72">
            <v>400</v>
          </cell>
          <cell r="BQ72">
            <v>800</v>
          </cell>
          <cell r="BR72">
            <v>1000</v>
          </cell>
          <cell r="BS72">
            <v>1000</v>
          </cell>
          <cell r="BT72"/>
          <cell r="BU72">
            <v>400</v>
          </cell>
          <cell r="BV72">
            <v>700</v>
          </cell>
          <cell r="BW72">
            <v>200</v>
          </cell>
          <cell r="BX72">
            <v>600</v>
          </cell>
          <cell r="BY72"/>
          <cell r="BZ72">
            <v>600</v>
          </cell>
          <cell r="CA72">
            <v>900</v>
          </cell>
          <cell r="CB72">
            <v>500</v>
          </cell>
          <cell r="CC72">
            <v>280</v>
          </cell>
          <cell r="CD72">
            <v>300</v>
          </cell>
          <cell r="CE72"/>
          <cell r="CF72"/>
          <cell r="CG72">
            <v>1300</v>
          </cell>
          <cell r="CH72">
            <v>800</v>
          </cell>
          <cell r="CI72">
            <v>1900</v>
          </cell>
          <cell r="CJ72"/>
          <cell r="CK72"/>
          <cell r="CL72"/>
          <cell r="CM72"/>
          <cell r="CN72">
            <v>400</v>
          </cell>
          <cell r="CO72">
            <v>400</v>
          </cell>
          <cell r="CP72">
            <v>800</v>
          </cell>
          <cell r="CQ72">
            <v>900</v>
          </cell>
          <cell r="CR72">
            <v>1200</v>
          </cell>
          <cell r="CS72">
            <v>1000</v>
          </cell>
          <cell r="CT72">
            <v>1900</v>
          </cell>
          <cell r="CU72"/>
          <cell r="CV72"/>
          <cell r="CW72">
            <v>200</v>
          </cell>
          <cell r="CX72">
            <v>96</v>
          </cell>
          <cell r="CY72"/>
          <cell r="CZ72"/>
          <cell r="DA72"/>
          <cell r="DB72">
            <v>800</v>
          </cell>
          <cell r="DC72">
            <v>1400</v>
          </cell>
          <cell r="DD72">
            <v>1400</v>
          </cell>
          <cell r="DE72"/>
          <cell r="DF72"/>
          <cell r="DG72" t="str">
            <v>ACTIVO</v>
          </cell>
          <cell r="DH72" t="str">
            <v>C</v>
          </cell>
          <cell r="DI72"/>
          <cell r="DJ72">
            <v>966.4</v>
          </cell>
          <cell r="DK72">
            <v>161.06666666666666</v>
          </cell>
          <cell r="DL72">
            <v>311.11166085063633</v>
          </cell>
          <cell r="DM72">
            <v>0</v>
          </cell>
          <cell r="DN72" t="str">
            <v>0</v>
          </cell>
          <cell r="DO72">
            <v>0</v>
          </cell>
          <cell r="DP72" t="str">
            <v>COMPRAR</v>
          </cell>
          <cell r="DQ72">
            <v>2416</v>
          </cell>
        </row>
        <row r="73">
          <cell r="B73">
            <v>403373</v>
          </cell>
          <cell r="C73" t="str">
            <v>HOJA SEPARADORA PLANCHAS PROSERVAR</v>
          </cell>
          <cell r="D73"/>
          <cell r="E73"/>
          <cell r="F73"/>
          <cell r="G73"/>
          <cell r="H73"/>
          <cell r="I73">
            <v>800</v>
          </cell>
          <cell r="J73">
            <v>1700</v>
          </cell>
          <cell r="K73">
            <v>500</v>
          </cell>
          <cell r="L73"/>
          <cell r="M73"/>
          <cell r="N73"/>
          <cell r="O73"/>
          <cell r="P73"/>
          <cell r="Q73"/>
          <cell r="R73"/>
          <cell r="S73">
            <v>500</v>
          </cell>
          <cell r="T73">
            <v>500</v>
          </cell>
          <cell r="U73">
            <v>600</v>
          </cell>
          <cell r="V73">
            <v>800</v>
          </cell>
          <cell r="W73">
            <v>100</v>
          </cell>
          <cell r="X73">
            <v>500</v>
          </cell>
          <cell r="Y73"/>
          <cell r="Z73"/>
          <cell r="AA73"/>
          <cell r="AB73"/>
          <cell r="AC73"/>
          <cell r="AD73"/>
          <cell r="AE73"/>
          <cell r="AF73">
            <v>1400</v>
          </cell>
          <cell r="AG73">
            <v>300</v>
          </cell>
          <cell r="AH73"/>
          <cell r="AI73"/>
          <cell r="AJ73"/>
          <cell r="AK73">
            <v>600</v>
          </cell>
          <cell r="AL73">
            <v>1100</v>
          </cell>
          <cell r="AM73">
            <v>800</v>
          </cell>
          <cell r="AN73">
            <v>1000</v>
          </cell>
          <cell r="AO73">
            <v>100</v>
          </cell>
          <cell r="AP73"/>
          <cell r="AQ73"/>
          <cell r="AR73"/>
          <cell r="AS73"/>
          <cell r="AT73"/>
          <cell r="AU73">
            <v>400</v>
          </cell>
          <cell r="AV73"/>
          <cell r="AW73">
            <v>700</v>
          </cell>
          <cell r="AX73">
            <v>400</v>
          </cell>
          <cell r="AY73">
            <v>1600</v>
          </cell>
          <cell r="AZ73">
            <v>900</v>
          </cell>
          <cell r="BA73">
            <v>700</v>
          </cell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>
            <v>200</v>
          </cell>
          <cell r="CK73">
            <v>500</v>
          </cell>
          <cell r="CL73">
            <v>1700</v>
          </cell>
          <cell r="CM73">
            <v>300</v>
          </cell>
          <cell r="CN73">
            <v>400</v>
          </cell>
          <cell r="CO73">
            <v>200</v>
          </cell>
          <cell r="CP73">
            <v>200</v>
          </cell>
          <cell r="CQ73"/>
          <cell r="CR73">
            <v>200</v>
          </cell>
          <cell r="CS73"/>
          <cell r="CT73"/>
          <cell r="CU73">
            <v>1200</v>
          </cell>
          <cell r="CV73">
            <v>1100</v>
          </cell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 t="str">
            <v>ACTIVO</v>
          </cell>
          <cell r="DH73" t="str">
            <v>C</v>
          </cell>
          <cell r="DI73"/>
          <cell r="DJ73">
            <v>600</v>
          </cell>
          <cell r="DK73">
            <v>100</v>
          </cell>
          <cell r="DL73">
            <v>432.7905871292632</v>
          </cell>
          <cell r="DM73">
            <v>0</v>
          </cell>
          <cell r="DN73" t="str">
            <v>0</v>
          </cell>
          <cell r="DO73">
            <v>0</v>
          </cell>
          <cell r="DP73" t="str">
            <v>COMPRAR</v>
          </cell>
          <cell r="DQ73">
            <v>1500</v>
          </cell>
        </row>
        <row r="74">
          <cell r="B74">
            <v>405346</v>
          </cell>
          <cell r="C74" t="str">
            <v>DISCO CARTON BLANCO 17CM FPS</v>
          </cell>
          <cell r="D74"/>
          <cell r="E74"/>
          <cell r="F74">
            <v>11500</v>
          </cell>
          <cell r="G74">
            <v>28500</v>
          </cell>
          <cell r="H74">
            <v>24000</v>
          </cell>
          <cell r="I74">
            <v>17500</v>
          </cell>
          <cell r="J74">
            <v>22000</v>
          </cell>
          <cell r="K74">
            <v>24500</v>
          </cell>
          <cell r="L74">
            <v>26500</v>
          </cell>
          <cell r="M74">
            <v>31500</v>
          </cell>
          <cell r="N74">
            <v>28500</v>
          </cell>
          <cell r="O74">
            <v>13000</v>
          </cell>
          <cell r="P74">
            <v>15500</v>
          </cell>
          <cell r="Q74">
            <v>19500</v>
          </cell>
          <cell r="R74">
            <v>26000</v>
          </cell>
          <cell r="S74">
            <v>27000</v>
          </cell>
          <cell r="T74">
            <v>28000</v>
          </cell>
          <cell r="U74">
            <v>23500</v>
          </cell>
          <cell r="V74">
            <v>19000</v>
          </cell>
          <cell r="W74">
            <v>23000</v>
          </cell>
          <cell r="X74">
            <v>18500</v>
          </cell>
          <cell r="Y74">
            <v>22000</v>
          </cell>
          <cell r="Z74">
            <v>12000</v>
          </cell>
          <cell r="AA74">
            <v>15001</v>
          </cell>
          <cell r="AB74">
            <v>14999</v>
          </cell>
          <cell r="AC74">
            <v>5000</v>
          </cell>
          <cell r="AD74">
            <v>3000</v>
          </cell>
          <cell r="AE74"/>
          <cell r="AF74">
            <v>22500</v>
          </cell>
          <cell r="AG74">
            <v>9000</v>
          </cell>
          <cell r="AH74">
            <v>5000</v>
          </cell>
          <cell r="AI74">
            <v>11500</v>
          </cell>
          <cell r="AJ74">
            <v>31000</v>
          </cell>
          <cell r="AK74">
            <v>12500</v>
          </cell>
          <cell r="AL74">
            <v>29000</v>
          </cell>
          <cell r="AM74">
            <v>8000</v>
          </cell>
          <cell r="AN74">
            <v>16000</v>
          </cell>
          <cell r="AO74">
            <v>22000</v>
          </cell>
          <cell r="AP74">
            <v>10000</v>
          </cell>
          <cell r="AQ74">
            <v>28000</v>
          </cell>
          <cell r="AR74">
            <v>24500</v>
          </cell>
          <cell r="AS74">
            <v>6000</v>
          </cell>
          <cell r="AT74">
            <v>12500</v>
          </cell>
          <cell r="AU74">
            <v>18000</v>
          </cell>
          <cell r="AV74">
            <v>14000</v>
          </cell>
          <cell r="AW74">
            <v>23500</v>
          </cell>
          <cell r="AX74">
            <v>13500</v>
          </cell>
          <cell r="AY74">
            <v>20000</v>
          </cell>
          <cell r="AZ74">
            <v>16000</v>
          </cell>
          <cell r="BA74">
            <v>27000</v>
          </cell>
          <cell r="BB74">
            <v>24500</v>
          </cell>
          <cell r="BC74">
            <v>17500</v>
          </cell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 t="str">
            <v>SIN USO</v>
          </cell>
          <cell r="DH74" t="str">
            <v>C</v>
          </cell>
          <cell r="DI74"/>
          <cell r="DJ74">
            <v>0</v>
          </cell>
          <cell r="DK74">
            <v>0</v>
          </cell>
          <cell r="DL74">
            <v>7594.7815321929529</v>
          </cell>
          <cell r="DM74">
            <v>0</v>
          </cell>
          <cell r="DN74" t="str">
            <v>0</v>
          </cell>
          <cell r="DO74">
            <v>0</v>
          </cell>
          <cell r="DP74" t="str">
            <v>INACTIVO</v>
          </cell>
          <cell r="DQ74">
            <v>0</v>
          </cell>
        </row>
        <row r="75">
          <cell r="B75">
            <v>405347</v>
          </cell>
          <cell r="C75" t="str">
            <v>DISCO CARTON BLANCO 24 FPS</v>
          </cell>
          <cell r="D75"/>
          <cell r="E75"/>
          <cell r="F75"/>
          <cell r="G75"/>
          <cell r="H75">
            <v>20000</v>
          </cell>
          <cell r="I75">
            <v>14500</v>
          </cell>
          <cell r="J75">
            <v>14500</v>
          </cell>
          <cell r="K75">
            <v>7500</v>
          </cell>
          <cell r="L75">
            <v>9000</v>
          </cell>
          <cell r="M75">
            <v>9500</v>
          </cell>
          <cell r="N75">
            <v>9000</v>
          </cell>
          <cell r="O75">
            <v>10000</v>
          </cell>
          <cell r="P75">
            <v>20500</v>
          </cell>
          <cell r="Q75">
            <v>6000</v>
          </cell>
          <cell r="R75">
            <v>10500</v>
          </cell>
          <cell r="S75">
            <v>25500</v>
          </cell>
          <cell r="T75">
            <v>10000</v>
          </cell>
          <cell r="U75">
            <v>13500</v>
          </cell>
          <cell r="V75">
            <v>8500</v>
          </cell>
          <cell r="W75">
            <v>14500</v>
          </cell>
          <cell r="X75">
            <v>23000</v>
          </cell>
          <cell r="Y75">
            <v>22500</v>
          </cell>
          <cell r="Z75">
            <v>9500</v>
          </cell>
          <cell r="AA75">
            <v>3500</v>
          </cell>
          <cell r="AB75">
            <v>5500</v>
          </cell>
          <cell r="AC75">
            <v>9000</v>
          </cell>
          <cell r="AD75"/>
          <cell r="AE75"/>
          <cell r="AF75">
            <v>25000</v>
          </cell>
          <cell r="AG75">
            <v>15000</v>
          </cell>
          <cell r="AH75">
            <v>21000</v>
          </cell>
          <cell r="AI75">
            <v>14000</v>
          </cell>
          <cell r="AJ75">
            <v>7500</v>
          </cell>
          <cell r="AK75">
            <v>18532</v>
          </cell>
          <cell r="AL75">
            <v>6042</v>
          </cell>
          <cell r="AM75">
            <v>14014</v>
          </cell>
          <cell r="AN75">
            <v>14006</v>
          </cell>
          <cell r="AO75">
            <v>10539</v>
          </cell>
          <cell r="AP75">
            <v>12049</v>
          </cell>
          <cell r="AQ75">
            <v>12044</v>
          </cell>
          <cell r="AR75">
            <v>12507</v>
          </cell>
          <cell r="AS75">
            <v>12500</v>
          </cell>
          <cell r="AT75">
            <v>14500</v>
          </cell>
          <cell r="AU75">
            <v>20503</v>
          </cell>
          <cell r="AV75">
            <v>17500</v>
          </cell>
          <cell r="AW75">
            <v>22002</v>
          </cell>
          <cell r="AX75">
            <v>20000</v>
          </cell>
          <cell r="AY75">
            <v>13000</v>
          </cell>
          <cell r="AZ75">
            <v>5000</v>
          </cell>
          <cell r="BA75">
            <v>19500</v>
          </cell>
          <cell r="BB75">
            <v>4500</v>
          </cell>
          <cell r="BC75">
            <v>18500</v>
          </cell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 t="str">
            <v>SIN USO</v>
          </cell>
          <cell r="DH75" t="str">
            <v>B</v>
          </cell>
          <cell r="DI75"/>
          <cell r="DJ75">
            <v>0</v>
          </cell>
          <cell r="DK75">
            <v>0</v>
          </cell>
          <cell r="DL75">
            <v>5480.8602936009056</v>
          </cell>
          <cell r="DM75">
            <v>0</v>
          </cell>
          <cell r="DN75" t="str">
            <v>0</v>
          </cell>
          <cell r="DO75">
            <v>0</v>
          </cell>
          <cell r="DP75" t="str">
            <v>INACTIVO</v>
          </cell>
          <cell r="DQ75">
            <v>0</v>
          </cell>
        </row>
        <row r="76">
          <cell r="B76">
            <v>107357</v>
          </cell>
          <cell r="C76" t="str">
            <v>DISCO CARTÓN BLANCO 19 FPS</v>
          </cell>
          <cell r="D76">
            <v>71500</v>
          </cell>
          <cell r="E76">
            <v>68000</v>
          </cell>
          <cell r="F76">
            <v>59500</v>
          </cell>
          <cell r="G76">
            <v>48500</v>
          </cell>
          <cell r="H76">
            <v>92500</v>
          </cell>
          <cell r="I76">
            <v>71000</v>
          </cell>
          <cell r="J76">
            <v>66500</v>
          </cell>
          <cell r="K76">
            <v>61000</v>
          </cell>
          <cell r="L76">
            <v>38500</v>
          </cell>
          <cell r="M76">
            <v>61500</v>
          </cell>
          <cell r="N76">
            <v>46000</v>
          </cell>
          <cell r="O76">
            <v>30000</v>
          </cell>
          <cell r="P76">
            <v>76000</v>
          </cell>
          <cell r="Q76">
            <v>59000</v>
          </cell>
          <cell r="R76">
            <v>62500</v>
          </cell>
          <cell r="S76">
            <v>45000</v>
          </cell>
          <cell r="T76">
            <v>49500</v>
          </cell>
          <cell r="U76">
            <v>46500</v>
          </cell>
          <cell r="V76">
            <v>63500</v>
          </cell>
          <cell r="W76">
            <v>45500</v>
          </cell>
          <cell r="X76">
            <v>73500</v>
          </cell>
          <cell r="Y76">
            <v>52000</v>
          </cell>
          <cell r="Z76">
            <v>44500</v>
          </cell>
          <cell r="AA76">
            <v>36501</v>
          </cell>
          <cell r="AB76">
            <v>84999</v>
          </cell>
          <cell r="AC76">
            <v>32500</v>
          </cell>
          <cell r="AD76">
            <v>8500</v>
          </cell>
          <cell r="AE76">
            <v>7000</v>
          </cell>
          <cell r="AF76">
            <v>50000</v>
          </cell>
          <cell r="AG76">
            <v>38500</v>
          </cell>
          <cell r="AH76">
            <v>39000</v>
          </cell>
          <cell r="AI76">
            <v>32500</v>
          </cell>
          <cell r="AJ76">
            <v>51500</v>
          </cell>
          <cell r="AK76">
            <v>57500</v>
          </cell>
          <cell r="AL76">
            <v>39500</v>
          </cell>
          <cell r="AM76">
            <v>39500</v>
          </cell>
          <cell r="AN76">
            <v>42500</v>
          </cell>
          <cell r="AO76">
            <v>46500</v>
          </cell>
          <cell r="AP76">
            <v>45500</v>
          </cell>
          <cell r="AQ76">
            <v>43500</v>
          </cell>
          <cell r="AR76">
            <v>43500</v>
          </cell>
          <cell r="AS76">
            <v>66500</v>
          </cell>
          <cell r="AT76">
            <v>58000</v>
          </cell>
          <cell r="AU76">
            <v>43500</v>
          </cell>
          <cell r="AV76">
            <v>37500</v>
          </cell>
          <cell r="AW76">
            <v>69000</v>
          </cell>
          <cell r="AX76">
            <v>28500</v>
          </cell>
          <cell r="AY76">
            <v>56000</v>
          </cell>
          <cell r="AZ76">
            <v>43650</v>
          </cell>
          <cell r="BA76">
            <v>8000</v>
          </cell>
          <cell r="BB76">
            <v>11000</v>
          </cell>
          <cell r="BC76">
            <v>500</v>
          </cell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 t="str">
            <v>SIN USO</v>
          </cell>
          <cell r="DH76" t="str">
            <v>B</v>
          </cell>
          <cell r="DI76"/>
          <cell r="DJ76">
            <v>0</v>
          </cell>
          <cell r="DK76">
            <v>0</v>
          </cell>
          <cell r="DL76">
            <v>17681.498805248382</v>
          </cell>
          <cell r="DM76">
            <v>0</v>
          </cell>
          <cell r="DN76" t="str">
            <v>0</v>
          </cell>
          <cell r="DO76">
            <v>0</v>
          </cell>
          <cell r="DP76" t="str">
            <v>INACTIVO</v>
          </cell>
          <cell r="DQ76">
            <v>0</v>
          </cell>
        </row>
        <row r="77">
          <cell r="B77">
            <v>403375</v>
          </cell>
          <cell r="C77" t="str">
            <v>DISCO DE CARTON 15,5CM VTM</v>
          </cell>
          <cell r="D77"/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>
            <v>0</v>
          </cell>
          <cell r="CC77"/>
          <cell r="CD77">
            <v>900</v>
          </cell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  <cell r="CR77"/>
          <cell r="CS77"/>
          <cell r="CT77"/>
          <cell r="CU77"/>
          <cell r="CV77"/>
          <cell r="CW77"/>
          <cell r="CX77"/>
          <cell r="CY77"/>
          <cell r="CZ77"/>
          <cell r="DA77"/>
          <cell r="DB77"/>
          <cell r="DC77"/>
          <cell r="DD77"/>
          <cell r="DE77"/>
          <cell r="DF77"/>
          <cell r="DG77" t="str">
            <v>SIN USO</v>
          </cell>
          <cell r="DH77" t="str">
            <v>C</v>
          </cell>
          <cell r="DI77"/>
          <cell r="DJ77">
            <v>0</v>
          </cell>
          <cell r="DK77">
            <v>0</v>
          </cell>
          <cell r="DL77">
            <v>636.3961030678928</v>
          </cell>
          <cell r="DM77">
            <v>0</v>
          </cell>
          <cell r="DN77" t="str">
            <v>0</v>
          </cell>
          <cell r="DO77">
            <v>0</v>
          </cell>
          <cell r="DP77" t="str">
            <v>INACTIVO</v>
          </cell>
          <cell r="DQ77">
            <v>0</v>
          </cell>
        </row>
        <row r="78">
          <cell r="B78"/>
          <cell r="C78"/>
          <cell r="D78">
            <v>154566</v>
          </cell>
          <cell r="E78">
            <v>136444</v>
          </cell>
          <cell r="F78">
            <v>153560</v>
          </cell>
          <cell r="G78">
            <v>130420</v>
          </cell>
          <cell r="H78">
            <v>182400</v>
          </cell>
          <cell r="I78">
            <v>152530</v>
          </cell>
          <cell r="J78">
            <v>174480</v>
          </cell>
          <cell r="K78">
            <v>156240</v>
          </cell>
          <cell r="L78">
            <v>149940</v>
          </cell>
          <cell r="M78">
            <v>165690</v>
          </cell>
          <cell r="N78">
            <v>131181</v>
          </cell>
          <cell r="O78">
            <v>87082.08</v>
          </cell>
          <cell r="P78">
            <v>184337.91999999998</v>
          </cell>
          <cell r="Q78">
            <v>155546</v>
          </cell>
          <cell r="R78">
            <v>143438</v>
          </cell>
          <cell r="S78">
            <v>185792</v>
          </cell>
          <cell r="T78">
            <v>145428</v>
          </cell>
          <cell r="U78">
            <v>149880</v>
          </cell>
          <cell r="V78">
            <v>178550</v>
          </cell>
          <cell r="W78">
            <v>139380</v>
          </cell>
          <cell r="X78">
            <v>164300</v>
          </cell>
          <cell r="Y78">
            <v>187200</v>
          </cell>
          <cell r="Z78">
            <v>111899</v>
          </cell>
          <cell r="AA78">
            <v>71183</v>
          </cell>
          <cell r="AB78">
            <v>126138</v>
          </cell>
          <cell r="AC78">
            <v>90958</v>
          </cell>
          <cell r="AD78">
            <v>29660</v>
          </cell>
          <cell r="AE78">
            <v>11820</v>
          </cell>
          <cell r="AF78">
            <v>140861</v>
          </cell>
          <cell r="AG78">
            <v>104841</v>
          </cell>
          <cell r="AH78">
            <v>119078</v>
          </cell>
          <cell r="AI78">
            <v>111000</v>
          </cell>
          <cell r="AJ78">
            <v>143720</v>
          </cell>
          <cell r="AK78">
            <v>134612</v>
          </cell>
          <cell r="AL78">
            <v>115862</v>
          </cell>
          <cell r="AM78">
            <v>108114</v>
          </cell>
          <cell r="AN78">
            <v>124706</v>
          </cell>
          <cell r="AO78">
            <v>132760</v>
          </cell>
          <cell r="AP78">
            <v>117859</v>
          </cell>
          <cell r="AQ78">
            <v>160231</v>
          </cell>
          <cell r="AR78">
            <v>144747</v>
          </cell>
          <cell r="AS78">
            <v>138500</v>
          </cell>
          <cell r="AT78">
            <v>129540</v>
          </cell>
          <cell r="AU78">
            <v>155453</v>
          </cell>
          <cell r="AV78">
            <v>141210</v>
          </cell>
          <cell r="AW78">
            <v>195772</v>
          </cell>
          <cell r="AX78">
            <v>175750</v>
          </cell>
          <cell r="AY78">
            <v>156870</v>
          </cell>
          <cell r="AZ78">
            <v>116510</v>
          </cell>
          <cell r="BA78">
            <v>167980</v>
          </cell>
          <cell r="BB78">
            <v>154970</v>
          </cell>
          <cell r="BC78">
            <v>155470</v>
          </cell>
          <cell r="BD78">
            <v>133300</v>
          </cell>
          <cell r="BE78">
            <v>153441</v>
          </cell>
          <cell r="BF78">
            <v>137640</v>
          </cell>
          <cell r="BG78">
            <v>132190</v>
          </cell>
          <cell r="BH78">
            <v>159320</v>
          </cell>
          <cell r="BI78">
            <v>98740</v>
          </cell>
          <cell r="BJ78">
            <v>199205</v>
          </cell>
          <cell r="BK78">
            <v>176660</v>
          </cell>
          <cell r="BL78">
            <v>150940</v>
          </cell>
          <cell r="BM78">
            <v>163960</v>
          </cell>
          <cell r="BN78">
            <v>147460</v>
          </cell>
          <cell r="BO78">
            <v>131450</v>
          </cell>
          <cell r="BP78">
            <v>60420</v>
          </cell>
          <cell r="BQ78">
            <v>216450</v>
          </cell>
          <cell r="BR78">
            <v>130460</v>
          </cell>
          <cell r="BS78">
            <v>147140</v>
          </cell>
          <cell r="BT78">
            <v>94736</v>
          </cell>
          <cell r="BU78">
            <v>142264</v>
          </cell>
          <cell r="BV78">
            <v>99500</v>
          </cell>
          <cell r="BW78">
            <v>92240</v>
          </cell>
          <cell r="BX78">
            <v>97360</v>
          </cell>
          <cell r="BY78">
            <v>106990</v>
          </cell>
          <cell r="BZ78">
            <v>121220</v>
          </cell>
          <cell r="CA78">
            <v>100840</v>
          </cell>
          <cell r="CB78">
            <v>94120</v>
          </cell>
          <cell r="CC78">
            <v>129300</v>
          </cell>
          <cell r="CD78">
            <v>87860</v>
          </cell>
          <cell r="CE78">
            <v>45820</v>
          </cell>
          <cell r="CF78">
            <v>18340</v>
          </cell>
          <cell r="CG78">
            <v>144060</v>
          </cell>
          <cell r="CH78">
            <v>123560</v>
          </cell>
          <cell r="CI78">
            <v>188350</v>
          </cell>
          <cell r="CJ78">
            <v>121860</v>
          </cell>
          <cell r="CK78">
            <v>135530</v>
          </cell>
          <cell r="CL78">
            <v>114350</v>
          </cell>
          <cell r="CM78">
            <v>139240</v>
          </cell>
          <cell r="CN78">
            <v>119620</v>
          </cell>
          <cell r="CO78">
            <v>122640</v>
          </cell>
          <cell r="CP78">
            <v>119340</v>
          </cell>
          <cell r="CQ78">
            <v>119180</v>
          </cell>
          <cell r="CR78">
            <v>166300</v>
          </cell>
          <cell r="CS78">
            <v>113380</v>
          </cell>
          <cell r="CT78">
            <v>107680</v>
          </cell>
          <cell r="CU78">
            <v>93620</v>
          </cell>
          <cell r="CV78">
            <v>146590</v>
          </cell>
          <cell r="CW78">
            <v>95210</v>
          </cell>
          <cell r="CX78">
            <v>90296</v>
          </cell>
          <cell r="CY78">
            <v>96650</v>
          </cell>
          <cell r="CZ78">
            <v>88930</v>
          </cell>
          <cell r="DA78">
            <v>151020</v>
          </cell>
          <cell r="DB78">
            <v>111170</v>
          </cell>
          <cell r="DC78">
            <v>105031</v>
          </cell>
          <cell r="DD78">
            <v>116550</v>
          </cell>
          <cell r="DE78">
            <v>125240</v>
          </cell>
          <cell r="DF78">
            <v>3640</v>
          </cell>
          <cell r="DG78" t="str">
            <v>ACTIVO</v>
          </cell>
          <cell r="DH78" t="str">
            <v/>
          </cell>
          <cell r="DI78"/>
          <cell r="DJ78">
            <v>117939.88</v>
          </cell>
          <cell r="DK78">
            <v>19656.646666666667</v>
          </cell>
          <cell r="DL78">
            <v>36330.207759208963</v>
          </cell>
          <cell r="DM78">
            <v>0</v>
          </cell>
          <cell r="DN78" t="str">
            <v>0</v>
          </cell>
          <cell r="DO78">
            <v>0</v>
          </cell>
          <cell r="DP78" t="str">
            <v>INACTIVO</v>
          </cell>
          <cell r="DQ78">
            <v>0</v>
          </cell>
        </row>
        <row r="79">
          <cell r="B79">
            <v>405214</v>
          </cell>
          <cell r="C79" t="str">
            <v>CREMYVIT NARANJA TM1 PURATOS</v>
          </cell>
          <cell r="D79">
            <v>880</v>
          </cell>
          <cell r="E79">
            <v>620</v>
          </cell>
          <cell r="F79">
            <v>680</v>
          </cell>
          <cell r="G79">
            <v>600</v>
          </cell>
          <cell r="H79">
            <v>860</v>
          </cell>
          <cell r="I79">
            <v>240</v>
          </cell>
          <cell r="J79">
            <v>540</v>
          </cell>
          <cell r="K79">
            <v>620</v>
          </cell>
          <cell r="L79">
            <v>850</v>
          </cell>
          <cell r="M79">
            <v>950</v>
          </cell>
          <cell r="N79">
            <v>940</v>
          </cell>
          <cell r="O79">
            <v>280</v>
          </cell>
          <cell r="P79">
            <v>400</v>
          </cell>
          <cell r="Q79">
            <v>500</v>
          </cell>
          <cell r="R79">
            <v>940</v>
          </cell>
          <cell r="S79">
            <v>520</v>
          </cell>
          <cell r="T79">
            <v>1140</v>
          </cell>
          <cell r="U79">
            <v>1720</v>
          </cell>
          <cell r="V79">
            <v>1100</v>
          </cell>
          <cell r="W79"/>
          <cell r="X79">
            <v>2040</v>
          </cell>
          <cell r="Y79">
            <v>940</v>
          </cell>
          <cell r="Z79"/>
          <cell r="AA79">
            <v>780</v>
          </cell>
          <cell r="AB79">
            <v>1200</v>
          </cell>
          <cell r="AC79">
            <v>320</v>
          </cell>
          <cell r="AD79">
            <v>480</v>
          </cell>
          <cell r="AE79">
            <v>60</v>
          </cell>
          <cell r="AF79">
            <v>540</v>
          </cell>
          <cell r="AG79">
            <v>1093</v>
          </cell>
          <cell r="AH79">
            <v>1067</v>
          </cell>
          <cell r="AI79">
            <v>1582.5</v>
          </cell>
          <cell r="AJ79">
            <v>700</v>
          </cell>
          <cell r="AK79">
            <v>620</v>
          </cell>
          <cell r="AL79">
            <v>500</v>
          </cell>
          <cell r="AM79"/>
          <cell r="AN79">
            <v>660</v>
          </cell>
          <cell r="AO79">
            <v>960</v>
          </cell>
          <cell r="AP79">
            <v>920</v>
          </cell>
          <cell r="AQ79">
            <v>620</v>
          </cell>
          <cell r="AR79">
            <v>200</v>
          </cell>
          <cell r="AS79">
            <v>20</v>
          </cell>
          <cell r="AT79"/>
          <cell r="AU79">
            <v>700</v>
          </cell>
          <cell r="AV79">
            <v>440</v>
          </cell>
          <cell r="AW79">
            <v>450</v>
          </cell>
          <cell r="AX79">
            <v>280</v>
          </cell>
          <cell r="AY79">
            <v>930</v>
          </cell>
          <cell r="AZ79">
            <v>210</v>
          </cell>
          <cell r="BA79">
            <v>260</v>
          </cell>
          <cell r="BB79">
            <v>780</v>
          </cell>
          <cell r="BC79">
            <v>360</v>
          </cell>
          <cell r="BD79">
            <v>460</v>
          </cell>
          <cell r="BE79">
            <v>700</v>
          </cell>
          <cell r="BF79">
            <v>420</v>
          </cell>
          <cell r="BG79">
            <v>660</v>
          </cell>
          <cell r="BH79">
            <v>320</v>
          </cell>
          <cell r="BI79">
            <v>280</v>
          </cell>
          <cell r="BJ79">
            <v>700</v>
          </cell>
          <cell r="BK79">
            <v>780</v>
          </cell>
          <cell r="BL79"/>
          <cell r="BM79">
            <v>1040</v>
          </cell>
          <cell r="BN79"/>
          <cell r="BO79">
            <v>20</v>
          </cell>
          <cell r="BP79">
            <v>560</v>
          </cell>
          <cell r="BQ79">
            <v>360</v>
          </cell>
          <cell r="BR79">
            <v>660</v>
          </cell>
          <cell r="BS79">
            <v>400</v>
          </cell>
          <cell r="BT79">
            <v>640</v>
          </cell>
          <cell r="BU79">
            <v>260</v>
          </cell>
          <cell r="BV79"/>
          <cell r="BW79">
            <v>780</v>
          </cell>
          <cell r="BX79">
            <v>100</v>
          </cell>
          <cell r="BY79">
            <v>460</v>
          </cell>
          <cell r="BZ79">
            <v>440</v>
          </cell>
          <cell r="CA79">
            <v>840</v>
          </cell>
          <cell r="CB79">
            <v>300</v>
          </cell>
          <cell r="CC79">
            <v>200</v>
          </cell>
          <cell r="CD79">
            <v>340</v>
          </cell>
          <cell r="CE79">
            <v>20</v>
          </cell>
          <cell r="CF79">
            <v>120</v>
          </cell>
          <cell r="CG79">
            <v>560</v>
          </cell>
          <cell r="CH79">
            <v>400</v>
          </cell>
          <cell r="CI79">
            <v>700</v>
          </cell>
          <cell r="CJ79">
            <v>420</v>
          </cell>
          <cell r="CK79">
            <v>1340</v>
          </cell>
          <cell r="CL79"/>
          <cell r="CM79"/>
          <cell r="CN79">
            <v>340</v>
          </cell>
          <cell r="CO79">
            <v>745</v>
          </cell>
          <cell r="CP79">
            <v>480</v>
          </cell>
          <cell r="CQ79"/>
          <cell r="CR79">
            <v>360</v>
          </cell>
          <cell r="CS79">
            <v>160</v>
          </cell>
          <cell r="CT79">
            <v>720</v>
          </cell>
          <cell r="CU79">
            <v>1320</v>
          </cell>
          <cell r="CV79">
            <v>840</v>
          </cell>
          <cell r="CW79">
            <v>180</v>
          </cell>
          <cell r="CX79">
            <v>980</v>
          </cell>
          <cell r="CY79">
            <v>980</v>
          </cell>
          <cell r="CZ79">
            <v>720</v>
          </cell>
          <cell r="DA79">
            <v>800</v>
          </cell>
          <cell r="DB79">
            <v>500</v>
          </cell>
          <cell r="DC79">
            <v>400</v>
          </cell>
          <cell r="DD79">
            <v>900</v>
          </cell>
          <cell r="DE79">
            <v>460</v>
          </cell>
          <cell r="DF79">
            <v>720</v>
          </cell>
          <cell r="DG79" t="str">
            <v>ACTIVO</v>
          </cell>
          <cell r="DH79" t="str">
            <v>A</v>
          </cell>
          <cell r="DI79"/>
          <cell r="DJ79">
            <v>634.77272727272725</v>
          </cell>
          <cell r="DK79">
            <v>105.79545454545455</v>
          </cell>
          <cell r="DL79">
            <v>325.45764815141189</v>
          </cell>
          <cell r="DM79">
            <v>2420</v>
          </cell>
          <cell r="DN79">
            <v>7211600</v>
          </cell>
          <cell r="DO79">
            <v>3.8123881131399928</v>
          </cell>
          <cell r="DP79" t="str">
            <v>OK</v>
          </cell>
          <cell r="DQ79">
            <v>423.18181818181819</v>
          </cell>
        </row>
        <row r="80">
          <cell r="B80">
            <v>405161</v>
          </cell>
          <cell r="C80" t="str">
            <v>CREMA NATA RICH</v>
          </cell>
          <cell r="D80">
            <v>144</v>
          </cell>
          <cell r="E80">
            <v>200</v>
          </cell>
          <cell r="F80">
            <v>88</v>
          </cell>
          <cell r="G80">
            <v>148</v>
          </cell>
          <cell r="H80"/>
          <cell r="I80">
            <v>312</v>
          </cell>
          <cell r="J80">
            <v>136</v>
          </cell>
          <cell r="K80">
            <v>168</v>
          </cell>
          <cell r="L80">
            <v>140</v>
          </cell>
          <cell r="M80"/>
          <cell r="N80"/>
          <cell r="O80">
            <v>208</v>
          </cell>
          <cell r="P80"/>
          <cell r="Q80">
            <v>156</v>
          </cell>
          <cell r="R80">
            <v>144</v>
          </cell>
          <cell r="S80">
            <v>588</v>
          </cell>
          <cell r="T80">
            <v>72</v>
          </cell>
          <cell r="U80">
            <v>280</v>
          </cell>
          <cell r="V80"/>
          <cell r="W80"/>
          <cell r="X80">
            <v>312</v>
          </cell>
          <cell r="Y80"/>
          <cell r="Z80">
            <v>356</v>
          </cell>
          <cell r="AA80"/>
          <cell r="AB80">
            <v>344</v>
          </cell>
          <cell r="AC80"/>
          <cell r="AD80"/>
          <cell r="AE80"/>
          <cell r="AF80"/>
          <cell r="AG80"/>
          <cell r="AH80"/>
          <cell r="AI80">
            <v>300</v>
          </cell>
          <cell r="AJ80">
            <v>432</v>
          </cell>
          <cell r="AK80"/>
          <cell r="AL80"/>
          <cell r="AM80">
            <v>356</v>
          </cell>
          <cell r="AN80">
            <v>112</v>
          </cell>
          <cell r="AO80"/>
          <cell r="AP80">
            <v>304</v>
          </cell>
          <cell r="AQ80"/>
          <cell r="AR80"/>
          <cell r="AS80">
            <v>184</v>
          </cell>
          <cell r="AT80">
            <v>204</v>
          </cell>
          <cell r="AU80"/>
          <cell r="AV80"/>
          <cell r="AW80">
            <v>160</v>
          </cell>
          <cell r="AX80"/>
          <cell r="AY80"/>
          <cell r="AZ80">
            <v>164</v>
          </cell>
          <cell r="BA80">
            <v>176</v>
          </cell>
          <cell r="BB80">
            <v>428</v>
          </cell>
          <cell r="BC80">
            <v>348</v>
          </cell>
          <cell r="BD80"/>
          <cell r="BE80">
            <v>156</v>
          </cell>
          <cell r="BF80"/>
          <cell r="BG80"/>
          <cell r="BH80"/>
          <cell r="BI80">
            <v>156</v>
          </cell>
          <cell r="BJ80">
            <v>156</v>
          </cell>
          <cell r="BK80">
            <v>124</v>
          </cell>
          <cell r="BL80">
            <v>124</v>
          </cell>
          <cell r="BM80">
            <v>124</v>
          </cell>
          <cell r="BN80">
            <v>156</v>
          </cell>
          <cell r="BO80">
            <v>16</v>
          </cell>
          <cell r="BP80"/>
          <cell r="BQ80">
            <v>140</v>
          </cell>
          <cell r="BR80"/>
          <cell r="BS80">
            <v>136</v>
          </cell>
          <cell r="BT80">
            <v>276</v>
          </cell>
          <cell r="BU80"/>
          <cell r="BV80"/>
          <cell r="BW80"/>
          <cell r="BX80"/>
          <cell r="BY80">
            <v>136</v>
          </cell>
          <cell r="BZ80">
            <v>136</v>
          </cell>
          <cell r="CA80">
            <v>164</v>
          </cell>
          <cell r="CB80">
            <v>136</v>
          </cell>
          <cell r="CC80"/>
          <cell r="CD80">
            <v>312</v>
          </cell>
          <cell r="CE80"/>
          <cell r="CF80"/>
          <cell r="CG80"/>
          <cell r="CH80">
            <v>312</v>
          </cell>
          <cell r="CI80">
            <v>24</v>
          </cell>
          <cell r="CJ80"/>
          <cell r="CK80"/>
          <cell r="CL80">
            <v>312</v>
          </cell>
          <cell r="CM80">
            <v>4</v>
          </cell>
          <cell r="CN80">
            <v>316</v>
          </cell>
          <cell r="CO80"/>
          <cell r="CP80">
            <v>4</v>
          </cell>
          <cell r="CQ80">
            <v>16</v>
          </cell>
          <cell r="CR80"/>
          <cell r="CS80"/>
          <cell r="CT80"/>
          <cell r="CU80"/>
          <cell r="CV80"/>
          <cell r="CW80"/>
          <cell r="CX80"/>
          <cell r="CY80"/>
          <cell r="CZ80"/>
          <cell r="DA80">
            <v>600</v>
          </cell>
          <cell r="DB80"/>
          <cell r="DC80"/>
          <cell r="DD80"/>
          <cell r="DE80"/>
          <cell r="DF80"/>
          <cell r="DG80" t="str">
            <v>ACTIVO</v>
          </cell>
          <cell r="DH80" t="str">
            <v>B</v>
          </cell>
          <cell r="DI80"/>
          <cell r="DJ80">
            <v>198.5</v>
          </cell>
          <cell r="DK80">
            <v>33.083333333333336</v>
          </cell>
          <cell r="DL80">
            <v>102.35574440498398</v>
          </cell>
          <cell r="DM80">
            <v>1076</v>
          </cell>
          <cell r="DN80">
            <v>2751396.56</v>
          </cell>
          <cell r="DO80">
            <v>5.420654911838791</v>
          </cell>
          <cell r="DP80" t="str">
            <v>OK</v>
          </cell>
          <cell r="DQ80">
            <v>99.25</v>
          </cell>
        </row>
        <row r="81">
          <cell r="B81">
            <v>405533</v>
          </cell>
          <cell r="C81" t="str">
            <v>ULTRA RICH CLASICA UHT</v>
          </cell>
          <cell r="D81"/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>
            <v>84</v>
          </cell>
          <cell r="AV81">
            <v>138</v>
          </cell>
          <cell r="AW81">
            <v>396</v>
          </cell>
          <cell r="AX81">
            <v>292</v>
          </cell>
          <cell r="AY81">
            <v>218</v>
          </cell>
          <cell r="AZ81">
            <v>261</v>
          </cell>
          <cell r="BA81">
            <v>388</v>
          </cell>
          <cell r="BB81">
            <v>244</v>
          </cell>
          <cell r="BC81">
            <v>539</v>
          </cell>
          <cell r="BD81">
            <v>325</v>
          </cell>
          <cell r="BE81">
            <v>298</v>
          </cell>
          <cell r="BF81">
            <v>92</v>
          </cell>
          <cell r="BG81">
            <v>450</v>
          </cell>
          <cell r="BH81">
            <v>322</v>
          </cell>
          <cell r="BI81">
            <v>376</v>
          </cell>
          <cell r="BJ81">
            <v>315</v>
          </cell>
          <cell r="BK81">
            <v>331</v>
          </cell>
          <cell r="BL81">
            <v>264</v>
          </cell>
          <cell r="BM81">
            <v>328</v>
          </cell>
          <cell r="BN81">
            <v>428</v>
          </cell>
          <cell r="BO81">
            <v>278</v>
          </cell>
          <cell r="BP81">
            <v>149</v>
          </cell>
          <cell r="BQ81">
            <v>353</v>
          </cell>
          <cell r="BR81">
            <v>161</v>
          </cell>
          <cell r="BS81">
            <v>665</v>
          </cell>
          <cell r="BT81">
            <v>664</v>
          </cell>
          <cell r="BU81">
            <v>278</v>
          </cell>
          <cell r="BV81">
            <v>270</v>
          </cell>
          <cell r="BW81">
            <v>299</v>
          </cell>
          <cell r="BX81">
            <v>137</v>
          </cell>
          <cell r="BY81">
            <v>259</v>
          </cell>
          <cell r="BZ81">
            <v>477</v>
          </cell>
          <cell r="CA81">
            <v>289</v>
          </cell>
          <cell r="CB81">
            <v>205</v>
          </cell>
          <cell r="CC81">
            <v>313</v>
          </cell>
          <cell r="CD81">
            <v>338</v>
          </cell>
          <cell r="CE81">
            <v>127</v>
          </cell>
          <cell r="CF81">
            <v>90</v>
          </cell>
          <cell r="CG81">
            <v>290</v>
          </cell>
          <cell r="CH81">
            <v>318</v>
          </cell>
          <cell r="CI81">
            <v>357</v>
          </cell>
          <cell r="CJ81">
            <v>163</v>
          </cell>
          <cell r="CK81">
            <v>478</v>
          </cell>
          <cell r="CL81">
            <v>310</v>
          </cell>
          <cell r="CM81">
            <v>388</v>
          </cell>
          <cell r="CN81">
            <v>370</v>
          </cell>
          <cell r="CO81">
            <v>322</v>
          </cell>
          <cell r="CP81">
            <v>376</v>
          </cell>
          <cell r="CQ81">
            <v>193</v>
          </cell>
          <cell r="CR81">
            <v>295</v>
          </cell>
          <cell r="CS81">
            <v>174</v>
          </cell>
          <cell r="CT81">
            <v>342</v>
          </cell>
          <cell r="CU81">
            <v>280</v>
          </cell>
          <cell r="CV81">
            <v>160</v>
          </cell>
          <cell r="CW81"/>
          <cell r="CX81">
            <v>564</v>
          </cell>
          <cell r="CY81">
            <v>405</v>
          </cell>
          <cell r="CZ81">
            <v>230</v>
          </cell>
          <cell r="DA81">
            <v>306</v>
          </cell>
          <cell r="DB81">
            <v>316</v>
          </cell>
          <cell r="DC81">
            <v>374</v>
          </cell>
          <cell r="DD81">
            <v>348</v>
          </cell>
          <cell r="DE81">
            <v>161</v>
          </cell>
          <cell r="DF81">
            <v>146</v>
          </cell>
          <cell r="DG81" t="str">
            <v>ACTIVO</v>
          </cell>
          <cell r="DH81" t="str">
            <v>B</v>
          </cell>
          <cell r="DI81"/>
          <cell r="DJ81">
            <v>310.375</v>
          </cell>
          <cell r="DK81">
            <v>51.729166666666664</v>
          </cell>
          <cell r="DL81">
            <v>135.58661338690382</v>
          </cell>
          <cell r="DM81">
            <v>475</v>
          </cell>
          <cell r="DN81">
            <v>1076350</v>
          </cell>
          <cell r="DO81">
            <v>1.5304067660088603</v>
          </cell>
          <cell r="DP81" t="str">
            <v>OK</v>
          </cell>
          <cell r="DQ81">
            <v>155.1875</v>
          </cell>
        </row>
        <row r="82">
          <cell r="B82">
            <v>405570</v>
          </cell>
          <cell r="C82" t="str">
            <v>PM CREAM VELVET BAKELS</v>
          </cell>
          <cell r="D82"/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>
            <v>70</v>
          </cell>
          <cell r="BI82"/>
          <cell r="BJ82">
            <v>1430</v>
          </cell>
          <cell r="BK82"/>
          <cell r="BL82"/>
          <cell r="BM82">
            <v>810</v>
          </cell>
          <cell r="BN82">
            <v>540</v>
          </cell>
          <cell r="BO82">
            <v>860</v>
          </cell>
          <cell r="BP82">
            <v>300</v>
          </cell>
          <cell r="BQ82">
            <v>520</v>
          </cell>
          <cell r="BR82">
            <v>410</v>
          </cell>
          <cell r="BS82">
            <v>810</v>
          </cell>
          <cell r="BT82">
            <v>290</v>
          </cell>
          <cell r="BU82">
            <v>800</v>
          </cell>
          <cell r="BV82">
            <v>410</v>
          </cell>
          <cell r="BW82">
            <v>350</v>
          </cell>
          <cell r="BX82">
            <v>640</v>
          </cell>
          <cell r="BY82">
            <v>440</v>
          </cell>
          <cell r="BZ82">
            <v>360</v>
          </cell>
          <cell r="CA82">
            <v>650</v>
          </cell>
          <cell r="CB82">
            <v>220</v>
          </cell>
          <cell r="CC82">
            <v>440</v>
          </cell>
          <cell r="CD82">
            <v>680</v>
          </cell>
          <cell r="CE82">
            <v>490</v>
          </cell>
          <cell r="CF82"/>
          <cell r="CG82">
            <v>610</v>
          </cell>
          <cell r="CH82">
            <v>520</v>
          </cell>
          <cell r="CI82">
            <v>440</v>
          </cell>
          <cell r="CJ82">
            <v>40</v>
          </cell>
          <cell r="CK82">
            <v>440</v>
          </cell>
          <cell r="CL82">
            <v>520</v>
          </cell>
          <cell r="CM82">
            <v>570</v>
          </cell>
          <cell r="CN82">
            <v>430</v>
          </cell>
          <cell r="CO82">
            <v>590</v>
          </cell>
          <cell r="CP82">
            <v>410</v>
          </cell>
          <cell r="CQ82">
            <v>380</v>
          </cell>
          <cell r="CR82">
            <v>410</v>
          </cell>
          <cell r="CS82">
            <v>440</v>
          </cell>
          <cell r="CT82">
            <v>700</v>
          </cell>
          <cell r="CU82">
            <v>1890</v>
          </cell>
          <cell r="CV82">
            <v>500</v>
          </cell>
          <cell r="CW82">
            <v>1020</v>
          </cell>
          <cell r="CX82">
            <v>170</v>
          </cell>
          <cell r="CY82">
            <v>300</v>
          </cell>
          <cell r="CZ82"/>
          <cell r="DA82">
            <v>720</v>
          </cell>
          <cell r="DB82">
            <v>620</v>
          </cell>
          <cell r="DC82">
            <v>320</v>
          </cell>
          <cell r="DD82">
            <v>960</v>
          </cell>
          <cell r="DE82"/>
          <cell r="DF82">
            <v>560</v>
          </cell>
          <cell r="DG82" t="str">
            <v>ACTIVO</v>
          </cell>
          <cell r="DH82" t="str">
            <v>B</v>
          </cell>
          <cell r="DI82"/>
          <cell r="DJ82">
            <v>565.21739130434787</v>
          </cell>
          <cell r="DK82">
            <v>94.20289855072464</v>
          </cell>
          <cell r="DL82">
            <v>292.97245116709718</v>
          </cell>
          <cell r="DM82">
            <v>900</v>
          </cell>
          <cell r="DN82">
            <v>1350000</v>
          </cell>
          <cell r="DO82">
            <v>1.5923076923076922</v>
          </cell>
          <cell r="DP82" t="str">
            <v>OK</v>
          </cell>
          <cell r="DQ82">
            <v>282.60869565217394</v>
          </cell>
        </row>
        <row r="83">
          <cell r="B83">
            <v>103612</v>
          </cell>
          <cell r="C83" t="str">
            <v>CREMA VEGETAL MASTER MARTINI</v>
          </cell>
          <cell r="D83">
            <v>6</v>
          </cell>
          <cell r="E83">
            <v>9</v>
          </cell>
          <cell r="F83">
            <v>51</v>
          </cell>
          <cell r="G83">
            <v>109</v>
          </cell>
          <cell r="H83">
            <v>70</v>
          </cell>
          <cell r="I83">
            <v>27</v>
          </cell>
          <cell r="J83">
            <v>59</v>
          </cell>
          <cell r="K83">
            <v>81</v>
          </cell>
          <cell r="L83">
            <v>75</v>
          </cell>
          <cell r="M83">
            <v>83</v>
          </cell>
          <cell r="N83">
            <v>65</v>
          </cell>
          <cell r="O83">
            <v>6</v>
          </cell>
          <cell r="P83">
            <v>53</v>
          </cell>
          <cell r="Q83">
            <v>87</v>
          </cell>
          <cell r="R83">
            <v>73</v>
          </cell>
          <cell r="S83">
            <v>60</v>
          </cell>
          <cell r="T83">
            <v>76</v>
          </cell>
          <cell r="U83">
            <v>65</v>
          </cell>
          <cell r="V83">
            <v>72</v>
          </cell>
          <cell r="W83">
            <v>64</v>
          </cell>
          <cell r="X83">
            <v>27</v>
          </cell>
          <cell r="Y83">
            <v>1</v>
          </cell>
          <cell r="Z83">
            <v>54</v>
          </cell>
          <cell r="AA83">
            <v>98</v>
          </cell>
          <cell r="AB83">
            <v>71</v>
          </cell>
          <cell r="AC83">
            <v>53</v>
          </cell>
          <cell r="AD83">
            <v>17</v>
          </cell>
          <cell r="AE83">
            <v>37</v>
          </cell>
          <cell r="AF83">
            <v>59</v>
          </cell>
          <cell r="AG83">
            <v>54</v>
          </cell>
          <cell r="AH83">
            <v>41</v>
          </cell>
          <cell r="AI83">
            <v>70</v>
          </cell>
          <cell r="AJ83">
            <v>57</v>
          </cell>
          <cell r="AK83">
            <v>55</v>
          </cell>
          <cell r="AL83">
            <v>58</v>
          </cell>
          <cell r="AM83">
            <v>25</v>
          </cell>
          <cell r="AN83">
            <v>9</v>
          </cell>
          <cell r="AO83">
            <v>60</v>
          </cell>
          <cell r="AP83">
            <v>62</v>
          </cell>
          <cell r="AQ83">
            <v>60</v>
          </cell>
          <cell r="AR83">
            <v>62</v>
          </cell>
          <cell r="AS83">
            <v>55</v>
          </cell>
          <cell r="AT83">
            <v>59</v>
          </cell>
          <cell r="AU83">
            <v>47</v>
          </cell>
          <cell r="AV83">
            <v>65</v>
          </cell>
          <cell r="AW83">
            <v>63</v>
          </cell>
          <cell r="AX83">
            <v>44</v>
          </cell>
          <cell r="AY83">
            <v>46</v>
          </cell>
          <cell r="AZ83">
            <v>45</v>
          </cell>
          <cell r="BA83">
            <v>57</v>
          </cell>
          <cell r="BB83">
            <v>52</v>
          </cell>
          <cell r="BC83">
            <v>58</v>
          </cell>
          <cell r="BD83">
            <v>64</v>
          </cell>
          <cell r="BE83">
            <v>54</v>
          </cell>
          <cell r="BF83">
            <v>43</v>
          </cell>
          <cell r="BG83">
            <v>55</v>
          </cell>
          <cell r="BH83">
            <v>49</v>
          </cell>
          <cell r="BI83">
            <v>52</v>
          </cell>
          <cell r="BJ83">
            <v>46</v>
          </cell>
          <cell r="BK83">
            <v>61</v>
          </cell>
          <cell r="BL83">
            <v>74</v>
          </cell>
          <cell r="BM83">
            <v>46</v>
          </cell>
          <cell r="BN83">
            <v>59</v>
          </cell>
          <cell r="BO83">
            <v>50</v>
          </cell>
          <cell r="BP83">
            <v>6</v>
          </cell>
          <cell r="BQ83">
            <v>53</v>
          </cell>
          <cell r="BR83">
            <v>39</v>
          </cell>
          <cell r="BS83">
            <v>55</v>
          </cell>
          <cell r="BT83">
            <v>46</v>
          </cell>
          <cell r="BU83">
            <v>59</v>
          </cell>
          <cell r="BV83">
            <v>52</v>
          </cell>
          <cell r="BW83">
            <v>49</v>
          </cell>
          <cell r="BX83">
            <v>46</v>
          </cell>
          <cell r="BY83">
            <v>52</v>
          </cell>
          <cell r="BZ83">
            <v>64</v>
          </cell>
          <cell r="CA83">
            <v>54</v>
          </cell>
          <cell r="CB83">
            <v>41</v>
          </cell>
          <cell r="CC83">
            <v>62</v>
          </cell>
          <cell r="CD83">
            <v>30</v>
          </cell>
          <cell r="CE83">
            <v>16</v>
          </cell>
          <cell r="CF83">
            <v>8</v>
          </cell>
          <cell r="CG83">
            <v>58</v>
          </cell>
          <cell r="CH83">
            <v>49</v>
          </cell>
          <cell r="CI83">
            <v>46</v>
          </cell>
          <cell r="CJ83">
            <v>42</v>
          </cell>
          <cell r="CK83">
            <v>39</v>
          </cell>
          <cell r="CL83">
            <v>34</v>
          </cell>
          <cell r="CM83">
            <v>38</v>
          </cell>
          <cell r="CN83">
            <v>41</v>
          </cell>
          <cell r="CO83">
            <v>54</v>
          </cell>
          <cell r="CP83">
            <v>41</v>
          </cell>
          <cell r="CQ83">
            <v>53</v>
          </cell>
          <cell r="CR83">
            <v>51</v>
          </cell>
          <cell r="CS83">
            <v>44</v>
          </cell>
          <cell r="CT83">
            <v>52</v>
          </cell>
          <cell r="CU83">
            <v>50</v>
          </cell>
          <cell r="CV83">
            <v>52</v>
          </cell>
          <cell r="CW83">
            <v>14</v>
          </cell>
          <cell r="CX83">
            <v>15</v>
          </cell>
          <cell r="CY83">
            <v>50</v>
          </cell>
          <cell r="CZ83">
            <v>48</v>
          </cell>
          <cell r="DA83">
            <v>59</v>
          </cell>
          <cell r="DB83">
            <v>59</v>
          </cell>
          <cell r="DC83">
            <v>51</v>
          </cell>
          <cell r="DD83">
            <v>57</v>
          </cell>
          <cell r="DE83">
            <v>60</v>
          </cell>
          <cell r="DF83">
            <v>6</v>
          </cell>
          <cell r="DG83" t="str">
            <v>ACTIVO</v>
          </cell>
          <cell r="DH83" t="str">
            <v>C</v>
          </cell>
          <cell r="DI83"/>
          <cell r="DJ83">
            <v>44.2</v>
          </cell>
          <cell r="DK83">
            <v>7.3666666666666671</v>
          </cell>
          <cell r="DL83">
            <v>13.640469540628876</v>
          </cell>
          <cell r="DM83">
            <v>522</v>
          </cell>
          <cell r="DN83">
            <v>1357200</v>
          </cell>
          <cell r="DO83">
            <v>11.809954751131221</v>
          </cell>
          <cell r="DP83" t="str">
            <v>OK</v>
          </cell>
          <cell r="DQ83">
            <v>14.733333333333334</v>
          </cell>
        </row>
        <row r="84">
          <cell r="B84">
            <v>107098</v>
          </cell>
          <cell r="C84" t="str">
            <v>CREMA PASTELERA ESPECIAL PURATOS</v>
          </cell>
          <cell r="D84">
            <v>1480</v>
          </cell>
          <cell r="E84">
            <v>1170</v>
          </cell>
          <cell r="F84">
            <v>1010</v>
          </cell>
          <cell r="G84">
            <v>1060</v>
          </cell>
          <cell r="H84">
            <v>1510</v>
          </cell>
          <cell r="I84">
            <v>1210</v>
          </cell>
          <cell r="J84">
            <v>1350</v>
          </cell>
          <cell r="K84">
            <v>1080</v>
          </cell>
          <cell r="L84">
            <v>1290</v>
          </cell>
          <cell r="M84">
            <v>1340</v>
          </cell>
          <cell r="N84">
            <v>1680</v>
          </cell>
          <cell r="O84">
            <v>800</v>
          </cell>
          <cell r="P84">
            <v>1170</v>
          </cell>
          <cell r="Q84">
            <v>1400</v>
          </cell>
          <cell r="R84">
            <v>1550</v>
          </cell>
          <cell r="S84">
            <v>1310</v>
          </cell>
          <cell r="T84">
            <v>1230</v>
          </cell>
          <cell r="U84">
            <v>1200</v>
          </cell>
          <cell r="V84">
            <v>1810</v>
          </cell>
          <cell r="W84">
            <v>1190</v>
          </cell>
          <cell r="X84">
            <v>1170</v>
          </cell>
          <cell r="Y84">
            <v>1280</v>
          </cell>
          <cell r="Z84">
            <v>1005</v>
          </cell>
          <cell r="AA84">
            <v>1225</v>
          </cell>
          <cell r="AB84">
            <v>1130</v>
          </cell>
          <cell r="AC84">
            <v>950</v>
          </cell>
          <cell r="AD84">
            <v>410</v>
          </cell>
          <cell r="AE84">
            <v>720</v>
          </cell>
          <cell r="AF84">
            <v>1381</v>
          </cell>
          <cell r="AG84">
            <v>1078</v>
          </cell>
          <cell r="AH84">
            <v>1120</v>
          </cell>
          <cell r="AI84">
            <v>1430</v>
          </cell>
          <cell r="AJ84">
            <v>1090</v>
          </cell>
          <cell r="AK84">
            <v>1180</v>
          </cell>
          <cell r="AL84">
            <v>1030</v>
          </cell>
          <cell r="AM84">
            <v>840</v>
          </cell>
          <cell r="AN84">
            <v>1140</v>
          </cell>
          <cell r="AO84">
            <v>1180</v>
          </cell>
          <cell r="AP84">
            <v>1230</v>
          </cell>
          <cell r="AQ84">
            <v>1560</v>
          </cell>
          <cell r="AR84">
            <v>1420</v>
          </cell>
          <cell r="AS84">
            <v>1292.5</v>
          </cell>
          <cell r="AT84">
            <v>1500</v>
          </cell>
          <cell r="AU84">
            <v>1460</v>
          </cell>
          <cell r="AV84">
            <v>2000</v>
          </cell>
          <cell r="AW84">
            <v>2030</v>
          </cell>
          <cell r="AX84">
            <v>1690</v>
          </cell>
          <cell r="AY84">
            <v>1275</v>
          </cell>
          <cell r="AZ84">
            <v>1506.5</v>
          </cell>
          <cell r="BA84">
            <v>1350</v>
          </cell>
          <cell r="BB84">
            <v>1110</v>
          </cell>
          <cell r="BC84">
            <v>1400</v>
          </cell>
          <cell r="BD84">
            <v>1810</v>
          </cell>
          <cell r="BE84">
            <v>1580</v>
          </cell>
          <cell r="BF84">
            <v>1350</v>
          </cell>
          <cell r="BG84">
            <v>971</v>
          </cell>
          <cell r="BH84">
            <v>1260</v>
          </cell>
          <cell r="BI84">
            <v>1390</v>
          </cell>
          <cell r="BJ84">
            <v>1440</v>
          </cell>
          <cell r="BK84">
            <v>1070</v>
          </cell>
          <cell r="BL84">
            <v>1290</v>
          </cell>
          <cell r="BM84">
            <v>1280</v>
          </cell>
          <cell r="BN84">
            <v>1081</v>
          </cell>
          <cell r="BO84">
            <v>1010</v>
          </cell>
          <cell r="BP84">
            <v>630</v>
          </cell>
          <cell r="BQ84">
            <v>1240</v>
          </cell>
          <cell r="BR84">
            <v>1010</v>
          </cell>
          <cell r="BS84">
            <v>1350</v>
          </cell>
          <cell r="BT84">
            <v>1950</v>
          </cell>
          <cell r="BU84">
            <v>1280</v>
          </cell>
          <cell r="BV84">
            <v>920</v>
          </cell>
          <cell r="BW84">
            <v>1130</v>
          </cell>
          <cell r="BX84">
            <v>1010</v>
          </cell>
          <cell r="BY84">
            <v>850</v>
          </cell>
          <cell r="BZ84">
            <v>1020</v>
          </cell>
          <cell r="CA84">
            <v>920</v>
          </cell>
          <cell r="CB84">
            <v>690</v>
          </cell>
          <cell r="CC84">
            <v>990</v>
          </cell>
          <cell r="CD84">
            <v>640</v>
          </cell>
          <cell r="CE84">
            <v>420</v>
          </cell>
          <cell r="CF84">
            <v>230</v>
          </cell>
          <cell r="CG84">
            <v>1091</v>
          </cell>
          <cell r="CH84">
            <v>1189</v>
          </cell>
          <cell r="CI84">
            <v>1120</v>
          </cell>
          <cell r="CJ84">
            <v>1070</v>
          </cell>
          <cell r="CK84">
            <v>1360</v>
          </cell>
          <cell r="CL84">
            <v>1150</v>
          </cell>
          <cell r="CM84">
            <v>1170</v>
          </cell>
          <cell r="CN84">
            <v>1270</v>
          </cell>
          <cell r="CO84">
            <v>1020</v>
          </cell>
          <cell r="CP84">
            <v>520</v>
          </cell>
          <cell r="CQ84">
            <v>600</v>
          </cell>
          <cell r="CR84">
            <v>810</v>
          </cell>
          <cell r="CS84">
            <v>710</v>
          </cell>
          <cell r="CT84">
            <v>1120</v>
          </cell>
          <cell r="CU84">
            <v>1250</v>
          </cell>
          <cell r="CV84">
            <v>980</v>
          </cell>
          <cell r="CW84">
            <v>900</v>
          </cell>
          <cell r="CX84">
            <v>820</v>
          </cell>
          <cell r="CY84">
            <v>620</v>
          </cell>
          <cell r="CZ84">
            <v>570</v>
          </cell>
          <cell r="DA84">
            <v>920</v>
          </cell>
          <cell r="DB84">
            <v>500</v>
          </cell>
          <cell r="DC84">
            <v>482.5</v>
          </cell>
          <cell r="DD84">
            <v>803</v>
          </cell>
          <cell r="DE84">
            <v>960</v>
          </cell>
          <cell r="DF84">
            <v>470</v>
          </cell>
          <cell r="DG84" t="str">
            <v>ACTIVO</v>
          </cell>
          <cell r="DH84" t="str">
            <v>A</v>
          </cell>
          <cell r="DI84"/>
          <cell r="DJ84">
            <v>891.02</v>
          </cell>
          <cell r="DK84">
            <v>148.50333333333333</v>
          </cell>
          <cell r="DL84">
            <v>336.30317088954564</v>
          </cell>
          <cell r="DM84">
            <v>710</v>
          </cell>
          <cell r="DN84">
            <v>2271957.4</v>
          </cell>
          <cell r="DO84">
            <v>0.79683957711386955</v>
          </cell>
          <cell r="DP84" t="str">
            <v>COMPRAR</v>
          </cell>
          <cell r="DQ84">
            <v>594.01333333333332</v>
          </cell>
        </row>
        <row r="85">
          <cell r="B85">
            <v>107104</v>
          </cell>
          <cell r="C85" t="str">
            <v>CREMA LACTEA DIWATTS</v>
          </cell>
          <cell r="D85">
            <v>263</v>
          </cell>
          <cell r="E85">
            <v>218</v>
          </cell>
          <cell r="F85">
            <v>215</v>
          </cell>
          <cell r="G85">
            <v>273</v>
          </cell>
          <cell r="H85">
            <v>204</v>
          </cell>
          <cell r="I85">
            <v>76</v>
          </cell>
          <cell r="J85">
            <v>176</v>
          </cell>
          <cell r="K85">
            <v>203</v>
          </cell>
          <cell r="L85">
            <v>226</v>
          </cell>
          <cell r="M85">
            <v>233</v>
          </cell>
          <cell r="N85">
            <v>182</v>
          </cell>
          <cell r="O85">
            <v>6</v>
          </cell>
          <cell r="P85">
            <v>141</v>
          </cell>
          <cell r="Q85">
            <v>78</v>
          </cell>
          <cell r="R85">
            <v>211</v>
          </cell>
          <cell r="S85">
            <v>159</v>
          </cell>
          <cell r="T85">
            <v>215</v>
          </cell>
          <cell r="U85">
            <v>197</v>
          </cell>
          <cell r="V85">
            <v>213</v>
          </cell>
          <cell r="W85">
            <v>160</v>
          </cell>
          <cell r="X85">
            <v>96</v>
          </cell>
          <cell r="Y85">
            <v>255</v>
          </cell>
          <cell r="Z85">
            <v>565</v>
          </cell>
          <cell r="AA85">
            <v>81</v>
          </cell>
          <cell r="AB85">
            <v>234</v>
          </cell>
          <cell r="AC85">
            <v>387</v>
          </cell>
          <cell r="AD85">
            <v>56</v>
          </cell>
          <cell r="AE85">
            <v>212</v>
          </cell>
          <cell r="AF85">
            <v>626</v>
          </cell>
          <cell r="AG85">
            <v>1386</v>
          </cell>
          <cell r="AH85">
            <v>1589</v>
          </cell>
          <cell r="AI85">
            <v>2140</v>
          </cell>
          <cell r="AJ85">
            <v>704</v>
          </cell>
          <cell r="AK85">
            <v>1399</v>
          </cell>
          <cell r="AL85">
            <v>915</v>
          </cell>
          <cell r="AM85">
            <v>927</v>
          </cell>
          <cell r="AN85">
            <v>1450</v>
          </cell>
          <cell r="AO85">
            <v>1246</v>
          </cell>
          <cell r="AP85">
            <v>1459</v>
          </cell>
          <cell r="AQ85">
            <v>1431</v>
          </cell>
          <cell r="AR85">
            <v>1948</v>
          </cell>
          <cell r="AS85">
            <v>914</v>
          </cell>
          <cell r="AT85">
            <v>2125</v>
          </cell>
          <cell r="AU85">
            <v>2067</v>
          </cell>
          <cell r="AV85">
            <v>1418</v>
          </cell>
          <cell r="AW85">
            <v>1528</v>
          </cell>
          <cell r="AX85">
            <v>1393</v>
          </cell>
          <cell r="AY85">
            <v>1399</v>
          </cell>
          <cell r="AZ85">
            <v>1453</v>
          </cell>
          <cell r="BA85">
            <v>921</v>
          </cell>
          <cell r="BB85">
            <v>1008</v>
          </cell>
          <cell r="BC85">
            <v>607</v>
          </cell>
          <cell r="BD85">
            <v>317</v>
          </cell>
          <cell r="BE85">
            <v>1427</v>
          </cell>
          <cell r="BF85">
            <v>1318</v>
          </cell>
          <cell r="BG85">
            <v>2285</v>
          </cell>
          <cell r="BH85">
            <v>1718</v>
          </cell>
          <cell r="BI85">
            <v>1401</v>
          </cell>
          <cell r="BJ85">
            <v>1472</v>
          </cell>
          <cell r="BK85">
            <v>1922</v>
          </cell>
          <cell r="BL85">
            <v>2066</v>
          </cell>
          <cell r="BM85">
            <v>392</v>
          </cell>
          <cell r="BN85">
            <v>1417</v>
          </cell>
          <cell r="BO85">
            <v>2274</v>
          </cell>
          <cell r="BP85">
            <v>439</v>
          </cell>
          <cell r="BQ85">
            <v>1315</v>
          </cell>
          <cell r="BR85">
            <v>785</v>
          </cell>
          <cell r="BS85">
            <v>1101</v>
          </cell>
          <cell r="BT85">
            <v>1566</v>
          </cell>
          <cell r="BU85">
            <v>2132</v>
          </cell>
          <cell r="BV85">
            <v>1951</v>
          </cell>
          <cell r="BW85">
            <v>622</v>
          </cell>
          <cell r="BX85">
            <v>1404</v>
          </cell>
          <cell r="BY85">
            <v>219</v>
          </cell>
          <cell r="BZ85">
            <v>171</v>
          </cell>
          <cell r="CA85">
            <v>1524</v>
          </cell>
          <cell r="CB85">
            <v>905</v>
          </cell>
          <cell r="CC85">
            <v>294</v>
          </cell>
          <cell r="CD85">
            <v>1193</v>
          </cell>
          <cell r="CE85">
            <v>1178</v>
          </cell>
          <cell r="CF85">
            <v>452</v>
          </cell>
          <cell r="CG85">
            <v>1381</v>
          </cell>
          <cell r="CH85">
            <v>475</v>
          </cell>
          <cell r="CI85">
            <v>904</v>
          </cell>
          <cell r="CJ85">
            <v>475</v>
          </cell>
          <cell r="CK85">
            <v>620</v>
          </cell>
          <cell r="CL85">
            <v>1214</v>
          </cell>
          <cell r="CM85">
            <v>908</v>
          </cell>
          <cell r="CN85">
            <v>985</v>
          </cell>
          <cell r="CO85">
            <v>1569</v>
          </cell>
          <cell r="CP85">
            <v>1328</v>
          </cell>
          <cell r="CQ85">
            <v>333</v>
          </cell>
          <cell r="CR85">
            <v>560</v>
          </cell>
          <cell r="CS85">
            <v>1024</v>
          </cell>
          <cell r="CT85">
            <v>1465</v>
          </cell>
          <cell r="CU85">
            <v>1527</v>
          </cell>
          <cell r="CV85">
            <v>1933</v>
          </cell>
          <cell r="CW85">
            <v>1543</v>
          </cell>
          <cell r="CX85">
            <v>768</v>
          </cell>
          <cell r="CY85">
            <v>1387</v>
          </cell>
          <cell r="CZ85">
            <v>473</v>
          </cell>
          <cell r="DA85">
            <v>1884</v>
          </cell>
          <cell r="DB85">
            <v>1604</v>
          </cell>
          <cell r="DC85">
            <v>1512</v>
          </cell>
          <cell r="DD85">
            <v>1025</v>
          </cell>
          <cell r="DE85">
            <v>159</v>
          </cell>
          <cell r="DF85">
            <v>18</v>
          </cell>
          <cell r="DG85" t="str">
            <v>ACTIVO</v>
          </cell>
          <cell r="DH85" t="str">
            <v>A</v>
          </cell>
          <cell r="DI85"/>
          <cell r="DJ85">
            <v>1093.96</v>
          </cell>
          <cell r="DK85">
            <v>182.32666666666668</v>
          </cell>
          <cell r="DL85">
            <v>572.87888382253482</v>
          </cell>
          <cell r="DM85">
            <v>777</v>
          </cell>
          <cell r="DN85">
            <v>2626260</v>
          </cell>
          <cell r="DO85">
            <v>0.71026362938315846</v>
          </cell>
          <cell r="DP85" t="str">
            <v>OK</v>
          </cell>
          <cell r="DQ85">
            <v>364.65333333333336</v>
          </cell>
        </row>
        <row r="86">
          <cell r="B86">
            <v>107417</v>
          </cell>
          <cell r="C86" t="str">
            <v>CREMA PASTELERA NARANJA BAKELS</v>
          </cell>
          <cell r="D86"/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>
            <v>720</v>
          </cell>
          <cell r="AL86">
            <v>80</v>
          </cell>
          <cell r="AM86">
            <v>40</v>
          </cell>
          <cell r="AN86"/>
          <cell r="AO86"/>
          <cell r="AP86"/>
          <cell r="AQ86"/>
          <cell r="AR86"/>
          <cell r="AS86"/>
          <cell r="AT86"/>
          <cell r="AU86"/>
          <cell r="AV86">
            <v>320</v>
          </cell>
          <cell r="AW86">
            <v>560</v>
          </cell>
          <cell r="AX86">
            <v>140</v>
          </cell>
          <cell r="AY86">
            <v>260</v>
          </cell>
          <cell r="AZ86"/>
          <cell r="BA86">
            <v>80</v>
          </cell>
          <cell r="BB86">
            <v>400</v>
          </cell>
          <cell r="BC86">
            <v>460</v>
          </cell>
          <cell r="BD86">
            <v>20</v>
          </cell>
          <cell r="BE86">
            <v>65</v>
          </cell>
          <cell r="BF86">
            <v>220</v>
          </cell>
          <cell r="BG86">
            <v>365</v>
          </cell>
          <cell r="BH86">
            <v>160</v>
          </cell>
          <cell r="BI86">
            <v>200</v>
          </cell>
          <cell r="BJ86">
            <v>360</v>
          </cell>
          <cell r="BK86">
            <v>220</v>
          </cell>
          <cell r="BL86">
            <v>380</v>
          </cell>
          <cell r="BM86">
            <v>300</v>
          </cell>
          <cell r="BN86">
            <v>420</v>
          </cell>
          <cell r="BO86">
            <v>180</v>
          </cell>
          <cell r="BP86"/>
          <cell r="BQ86">
            <v>280</v>
          </cell>
          <cell r="BR86">
            <v>260</v>
          </cell>
          <cell r="BS86">
            <v>315</v>
          </cell>
          <cell r="BT86">
            <v>320</v>
          </cell>
          <cell r="BU86">
            <v>525</v>
          </cell>
          <cell r="BV86">
            <v>120</v>
          </cell>
          <cell r="BW86">
            <v>380</v>
          </cell>
          <cell r="BX86"/>
          <cell r="BY86"/>
          <cell r="BZ86">
            <v>280</v>
          </cell>
          <cell r="CA86">
            <v>280</v>
          </cell>
          <cell r="CB86">
            <v>240</v>
          </cell>
          <cell r="CC86">
            <v>680</v>
          </cell>
          <cell r="CD86">
            <v>20</v>
          </cell>
          <cell r="CE86">
            <v>240</v>
          </cell>
          <cell r="CF86">
            <v>60</v>
          </cell>
          <cell r="CG86">
            <v>40</v>
          </cell>
          <cell r="CH86">
            <v>460</v>
          </cell>
          <cell r="CI86">
            <v>360</v>
          </cell>
          <cell r="CJ86">
            <v>200</v>
          </cell>
          <cell r="CK86">
            <v>1580</v>
          </cell>
          <cell r="CL86">
            <v>140</v>
          </cell>
          <cell r="CM86"/>
          <cell r="CN86">
            <v>600</v>
          </cell>
          <cell r="CO86"/>
          <cell r="CP86">
            <v>360</v>
          </cell>
          <cell r="CQ86">
            <v>840</v>
          </cell>
          <cell r="CR86">
            <v>40</v>
          </cell>
          <cell r="CS86">
            <v>380</v>
          </cell>
          <cell r="CT86">
            <v>20</v>
          </cell>
          <cell r="CU86"/>
          <cell r="CV86">
            <v>340</v>
          </cell>
          <cell r="CW86">
            <v>38</v>
          </cell>
          <cell r="CX86">
            <v>442</v>
          </cell>
          <cell r="CY86">
            <v>220</v>
          </cell>
          <cell r="CZ86">
            <v>440</v>
          </cell>
          <cell r="DA86">
            <v>400</v>
          </cell>
          <cell r="DB86"/>
          <cell r="DC86">
            <v>400</v>
          </cell>
          <cell r="DD86">
            <v>340</v>
          </cell>
          <cell r="DE86">
            <v>320</v>
          </cell>
          <cell r="DF86"/>
          <cell r="DG86" t="str">
            <v>ACTIVO</v>
          </cell>
          <cell r="DH86" t="str">
            <v>B</v>
          </cell>
          <cell r="DI86"/>
          <cell r="DJ86">
            <v>366.66666666666669</v>
          </cell>
          <cell r="DK86">
            <v>61.111111111111114</v>
          </cell>
          <cell r="DL86">
            <v>171.74438696441146</v>
          </cell>
          <cell r="DM86">
            <v>280</v>
          </cell>
          <cell r="DN86">
            <v>834400</v>
          </cell>
          <cell r="DO86">
            <v>0.76363636363636356</v>
          </cell>
          <cell r="DP86" t="str">
            <v>OK</v>
          </cell>
          <cell r="DQ86">
            <v>183.33333333333334</v>
          </cell>
        </row>
        <row r="87">
          <cell r="B87">
            <v>405556</v>
          </cell>
          <cell r="C87" t="str">
            <v>RELLENO CHOCOLATE CREAM BAKELS</v>
          </cell>
          <cell r="D87"/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>
            <v>0</v>
          </cell>
          <cell r="CC87"/>
          <cell r="CD87"/>
          <cell r="CE87"/>
          <cell r="CF87"/>
          <cell r="CG87"/>
          <cell r="CH87"/>
          <cell r="CI87"/>
          <cell r="CJ87">
            <v>207</v>
          </cell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 t="str">
            <v>ACTIVO</v>
          </cell>
          <cell r="DH87">
            <v>0</v>
          </cell>
          <cell r="DI87"/>
          <cell r="DJ87">
            <v>207</v>
          </cell>
          <cell r="DK87">
            <v>34.5</v>
          </cell>
          <cell r="DL87">
            <v>0</v>
          </cell>
          <cell r="DM87">
            <v>0</v>
          </cell>
          <cell r="DN87" t="str">
            <v>0</v>
          </cell>
          <cell r="DO87">
            <v>0</v>
          </cell>
          <cell r="DP87" t="str">
            <v>COMPRAR</v>
          </cell>
          <cell r="DQ87">
            <v>103.5</v>
          </cell>
        </row>
        <row r="88">
          <cell r="B88">
            <v>107142</v>
          </cell>
          <cell r="C88" t="str">
            <v>CREMA LACTEA SOPROLE</v>
          </cell>
          <cell r="D88">
            <v>66</v>
          </cell>
          <cell r="E88">
            <v>106</v>
          </cell>
          <cell r="F88">
            <v>52</v>
          </cell>
          <cell r="G88">
            <v>99</v>
          </cell>
          <cell r="H88">
            <v>51</v>
          </cell>
          <cell r="I88">
            <v>10</v>
          </cell>
          <cell r="J88">
            <v>47</v>
          </cell>
          <cell r="K88">
            <v>47</v>
          </cell>
          <cell r="L88">
            <v>41</v>
          </cell>
          <cell r="M88">
            <v>47</v>
          </cell>
          <cell r="N88">
            <v>76</v>
          </cell>
          <cell r="O88"/>
          <cell r="P88">
            <v>27</v>
          </cell>
          <cell r="Q88">
            <v>65</v>
          </cell>
          <cell r="R88">
            <v>81</v>
          </cell>
          <cell r="S88">
            <v>32</v>
          </cell>
          <cell r="T88">
            <v>37</v>
          </cell>
          <cell r="U88">
            <v>27</v>
          </cell>
          <cell r="V88">
            <v>28</v>
          </cell>
          <cell r="W88">
            <v>49</v>
          </cell>
          <cell r="X88">
            <v>18</v>
          </cell>
          <cell r="Y88">
            <v>156</v>
          </cell>
          <cell r="Z88">
            <v>121</v>
          </cell>
          <cell r="AA88">
            <v>108</v>
          </cell>
          <cell r="AB88">
            <v>125</v>
          </cell>
          <cell r="AC88">
            <v>104</v>
          </cell>
          <cell r="AD88">
            <v>39</v>
          </cell>
          <cell r="AE88">
            <v>114</v>
          </cell>
          <cell r="AF88">
            <v>27</v>
          </cell>
          <cell r="AG88">
            <v>34</v>
          </cell>
          <cell r="AH88">
            <v>25</v>
          </cell>
          <cell r="AI88">
            <v>52</v>
          </cell>
          <cell r="AJ88">
            <v>41</v>
          </cell>
          <cell r="AK88">
            <v>535</v>
          </cell>
          <cell r="AL88">
            <v>40</v>
          </cell>
          <cell r="AM88">
            <v>29</v>
          </cell>
          <cell r="AN88">
            <v>140</v>
          </cell>
          <cell r="AO88">
            <v>43</v>
          </cell>
          <cell r="AP88">
            <v>27</v>
          </cell>
          <cell r="AQ88">
            <v>29</v>
          </cell>
          <cell r="AR88">
            <v>39</v>
          </cell>
          <cell r="AS88">
            <v>34</v>
          </cell>
          <cell r="AT88">
            <v>44</v>
          </cell>
          <cell r="AU88">
            <v>33</v>
          </cell>
          <cell r="AV88">
            <v>342</v>
          </cell>
          <cell r="AW88">
            <v>176</v>
          </cell>
          <cell r="AX88">
            <v>507</v>
          </cell>
          <cell r="AY88">
            <v>30</v>
          </cell>
          <cell r="AZ88">
            <v>11</v>
          </cell>
          <cell r="BA88">
            <v>38</v>
          </cell>
          <cell r="BB88">
            <v>30</v>
          </cell>
          <cell r="BC88">
            <v>31</v>
          </cell>
          <cell r="BD88">
            <v>38</v>
          </cell>
          <cell r="BE88">
            <v>120</v>
          </cell>
          <cell r="BF88"/>
          <cell r="BG88">
            <v>34</v>
          </cell>
          <cell r="BH88">
            <v>37</v>
          </cell>
          <cell r="BI88">
            <v>30</v>
          </cell>
          <cell r="BJ88">
            <v>27</v>
          </cell>
          <cell r="BK88">
            <v>42</v>
          </cell>
          <cell r="BL88">
            <v>138</v>
          </cell>
          <cell r="BM88">
            <v>46</v>
          </cell>
          <cell r="BN88">
            <v>138</v>
          </cell>
          <cell r="BO88">
            <v>58</v>
          </cell>
          <cell r="BP88">
            <v>4</v>
          </cell>
          <cell r="BQ88">
            <v>61</v>
          </cell>
          <cell r="BR88">
            <v>93</v>
          </cell>
          <cell r="BS88">
            <v>41</v>
          </cell>
          <cell r="BT88">
            <v>30</v>
          </cell>
          <cell r="BU88">
            <v>57</v>
          </cell>
          <cell r="BV88">
            <v>31</v>
          </cell>
          <cell r="BW88">
            <v>30</v>
          </cell>
          <cell r="BX88">
            <v>34</v>
          </cell>
          <cell r="BY88">
            <v>29</v>
          </cell>
          <cell r="BZ88">
            <v>41</v>
          </cell>
          <cell r="CA88">
            <v>32</v>
          </cell>
          <cell r="CB88">
            <v>23</v>
          </cell>
          <cell r="CC88">
            <v>7</v>
          </cell>
          <cell r="CD88">
            <v>16</v>
          </cell>
          <cell r="CE88">
            <v>12</v>
          </cell>
          <cell r="CF88">
            <v>7</v>
          </cell>
          <cell r="CG88">
            <v>24</v>
          </cell>
          <cell r="CH88">
            <v>27</v>
          </cell>
          <cell r="CI88">
            <v>149</v>
          </cell>
          <cell r="CJ88">
            <v>167</v>
          </cell>
          <cell r="CK88">
            <v>74</v>
          </cell>
          <cell r="CL88">
            <v>304</v>
          </cell>
          <cell r="CM88">
            <v>95</v>
          </cell>
          <cell r="CN88">
            <v>590</v>
          </cell>
          <cell r="CO88">
            <v>88</v>
          </cell>
          <cell r="CP88">
            <v>164</v>
          </cell>
          <cell r="CQ88">
            <v>98</v>
          </cell>
          <cell r="CR88">
            <v>614</v>
          </cell>
          <cell r="CS88">
            <v>217</v>
          </cell>
          <cell r="CT88">
            <v>947</v>
          </cell>
          <cell r="CU88">
            <v>927</v>
          </cell>
          <cell r="CV88">
            <v>1315</v>
          </cell>
          <cell r="CW88">
            <v>1130</v>
          </cell>
          <cell r="CX88">
            <v>297</v>
          </cell>
          <cell r="CY88">
            <v>928</v>
          </cell>
          <cell r="CZ88">
            <v>437</v>
          </cell>
          <cell r="DA88">
            <v>501</v>
          </cell>
          <cell r="DB88">
            <v>446</v>
          </cell>
          <cell r="DC88">
            <v>527</v>
          </cell>
          <cell r="DD88">
            <v>325</v>
          </cell>
          <cell r="DE88">
            <v>228</v>
          </cell>
          <cell r="DF88">
            <v>4</v>
          </cell>
          <cell r="DG88" t="str">
            <v>ACTIVO</v>
          </cell>
          <cell r="DH88" t="str">
            <v>B</v>
          </cell>
          <cell r="DI88"/>
          <cell r="DJ88">
            <v>415.92</v>
          </cell>
          <cell r="DK88">
            <v>69.320000000000007</v>
          </cell>
          <cell r="DL88">
            <v>106.12707599584023</v>
          </cell>
          <cell r="DM88">
            <v>13</v>
          </cell>
          <cell r="DN88">
            <v>42248.959999999999</v>
          </cell>
          <cell r="DO88">
            <v>3.1256010771302176E-2</v>
          </cell>
          <cell r="DP88" t="str">
            <v>OK</v>
          </cell>
          <cell r="DQ88">
            <v>277.28000000000003</v>
          </cell>
        </row>
        <row r="89">
          <cell r="B89">
            <v>107242</v>
          </cell>
          <cell r="C89" t="str">
            <v>CREMA RELLENO SABOR NARANJA ESP. QUINTA SC 1X5 Kg</v>
          </cell>
          <cell r="D89">
            <v>235</v>
          </cell>
          <cell r="E89">
            <v>200</v>
          </cell>
          <cell r="F89">
            <v>220</v>
          </cell>
          <cell r="G89">
            <v>190</v>
          </cell>
          <cell r="H89">
            <v>175</v>
          </cell>
          <cell r="I89">
            <v>55</v>
          </cell>
          <cell r="J89">
            <v>175</v>
          </cell>
          <cell r="K89">
            <v>165</v>
          </cell>
          <cell r="L89">
            <v>225</v>
          </cell>
          <cell r="M89">
            <v>180</v>
          </cell>
          <cell r="N89">
            <v>180</v>
          </cell>
          <cell r="O89">
            <v>15</v>
          </cell>
          <cell r="P89">
            <v>185</v>
          </cell>
          <cell r="Q89">
            <v>230</v>
          </cell>
          <cell r="R89">
            <v>250</v>
          </cell>
          <cell r="S89">
            <v>155</v>
          </cell>
          <cell r="T89">
            <v>155</v>
          </cell>
          <cell r="U89">
            <v>225</v>
          </cell>
          <cell r="V89">
            <v>245</v>
          </cell>
          <cell r="W89">
            <v>180</v>
          </cell>
          <cell r="X89">
            <v>90</v>
          </cell>
          <cell r="Y89"/>
          <cell r="Z89">
            <v>175</v>
          </cell>
          <cell r="AA89">
            <v>215</v>
          </cell>
          <cell r="AB89">
            <v>190</v>
          </cell>
          <cell r="AC89">
            <v>125</v>
          </cell>
          <cell r="AD89">
            <v>65</v>
          </cell>
          <cell r="AE89">
            <v>75</v>
          </cell>
          <cell r="AF89">
            <v>181</v>
          </cell>
          <cell r="AG89">
            <v>154</v>
          </cell>
          <cell r="AH89">
            <v>145</v>
          </cell>
          <cell r="AI89">
            <v>180</v>
          </cell>
          <cell r="AJ89">
            <v>190</v>
          </cell>
          <cell r="AK89">
            <v>160</v>
          </cell>
          <cell r="AL89">
            <v>205</v>
          </cell>
          <cell r="AM89">
            <v>195</v>
          </cell>
          <cell r="AN89">
            <v>215</v>
          </cell>
          <cell r="AO89">
            <v>220</v>
          </cell>
          <cell r="AP89">
            <v>170</v>
          </cell>
          <cell r="AQ89">
            <v>205</v>
          </cell>
          <cell r="AR89">
            <v>220</v>
          </cell>
          <cell r="AS89">
            <v>205</v>
          </cell>
          <cell r="AT89">
            <v>225</v>
          </cell>
          <cell r="AU89">
            <v>325</v>
          </cell>
          <cell r="AV89">
            <v>185</v>
          </cell>
          <cell r="AW89">
            <v>195</v>
          </cell>
          <cell r="AX89">
            <v>220</v>
          </cell>
          <cell r="AY89">
            <v>185</v>
          </cell>
          <cell r="AZ89">
            <v>225</v>
          </cell>
          <cell r="BA89">
            <v>180</v>
          </cell>
          <cell r="BB89">
            <v>210</v>
          </cell>
          <cell r="BC89">
            <v>220</v>
          </cell>
          <cell r="BD89">
            <v>210</v>
          </cell>
          <cell r="BE89">
            <v>170</v>
          </cell>
          <cell r="BF89">
            <v>165</v>
          </cell>
          <cell r="BG89">
            <v>235</v>
          </cell>
          <cell r="BH89">
            <v>235</v>
          </cell>
          <cell r="BI89">
            <v>200</v>
          </cell>
          <cell r="BJ89">
            <v>185</v>
          </cell>
          <cell r="BK89">
            <v>180</v>
          </cell>
          <cell r="BL89">
            <v>255</v>
          </cell>
          <cell r="BM89">
            <v>235</v>
          </cell>
          <cell r="BN89">
            <v>195</v>
          </cell>
          <cell r="BO89">
            <v>175</v>
          </cell>
          <cell r="BP89">
            <v>15</v>
          </cell>
          <cell r="BQ89">
            <v>230</v>
          </cell>
          <cell r="BR89">
            <v>165</v>
          </cell>
          <cell r="BS89">
            <v>185</v>
          </cell>
          <cell r="BT89">
            <v>145</v>
          </cell>
          <cell r="BU89">
            <v>225</v>
          </cell>
          <cell r="BV89">
            <v>170</v>
          </cell>
          <cell r="BW89">
            <v>190</v>
          </cell>
          <cell r="BX89">
            <v>150</v>
          </cell>
          <cell r="BY89">
            <v>170</v>
          </cell>
          <cell r="BZ89">
            <v>200</v>
          </cell>
          <cell r="CA89">
            <v>290</v>
          </cell>
          <cell r="CB89">
            <v>130</v>
          </cell>
          <cell r="CC89">
            <v>205</v>
          </cell>
          <cell r="CD89">
            <v>115</v>
          </cell>
          <cell r="CE89">
            <v>65</v>
          </cell>
          <cell r="CF89">
            <v>70</v>
          </cell>
          <cell r="CG89">
            <v>160</v>
          </cell>
          <cell r="CH89">
            <v>145</v>
          </cell>
          <cell r="CI89">
            <v>155</v>
          </cell>
          <cell r="CJ89">
            <v>130</v>
          </cell>
          <cell r="CK89">
            <v>165</v>
          </cell>
          <cell r="CL89">
            <v>130</v>
          </cell>
          <cell r="CM89">
            <v>130</v>
          </cell>
          <cell r="CN89">
            <v>130</v>
          </cell>
          <cell r="CO89">
            <v>165</v>
          </cell>
          <cell r="CP89">
            <v>190</v>
          </cell>
          <cell r="CQ89">
            <v>180</v>
          </cell>
          <cell r="CR89">
            <v>170</v>
          </cell>
          <cell r="CS89">
            <v>165</v>
          </cell>
          <cell r="CT89">
            <v>205</v>
          </cell>
          <cell r="CU89">
            <v>205</v>
          </cell>
          <cell r="CV89">
            <v>220</v>
          </cell>
          <cell r="CW89">
            <v>210</v>
          </cell>
          <cell r="CX89">
            <v>190</v>
          </cell>
          <cell r="CY89">
            <v>270</v>
          </cell>
          <cell r="CZ89">
            <v>205</v>
          </cell>
          <cell r="DA89">
            <v>4235</v>
          </cell>
          <cell r="DB89">
            <v>245</v>
          </cell>
          <cell r="DC89">
            <v>210</v>
          </cell>
          <cell r="DD89">
            <v>220</v>
          </cell>
          <cell r="DE89">
            <v>250</v>
          </cell>
          <cell r="DF89">
            <v>30</v>
          </cell>
          <cell r="DG89" t="str">
            <v>ACTIVO</v>
          </cell>
          <cell r="DH89" t="str">
            <v>B</v>
          </cell>
          <cell r="DI89"/>
          <cell r="DJ89">
            <v>340</v>
          </cell>
          <cell r="DK89">
            <v>56.666666666666664</v>
          </cell>
          <cell r="DL89">
            <v>49.990224008015332</v>
          </cell>
          <cell r="DM89">
            <v>305</v>
          </cell>
          <cell r="DN89">
            <v>1302575.7</v>
          </cell>
          <cell r="DO89">
            <v>0.8970588235294118</v>
          </cell>
          <cell r="DP89" t="str">
            <v>OK</v>
          </cell>
          <cell r="DQ89">
            <v>113.33333333333333</v>
          </cell>
        </row>
        <row r="90">
          <cell r="B90">
            <v>107209</v>
          </cell>
          <cell r="C90" t="str">
            <v>CREMA WHIP TOPPIN RICH</v>
          </cell>
          <cell r="D90">
            <v>5264</v>
          </cell>
          <cell r="E90">
            <v>6008</v>
          </cell>
          <cell r="F90">
            <v>5516</v>
          </cell>
          <cell r="G90">
            <v>6032</v>
          </cell>
          <cell r="H90">
            <v>7656</v>
          </cell>
          <cell r="I90">
            <v>5672</v>
          </cell>
          <cell r="J90">
            <v>6740</v>
          </cell>
          <cell r="K90">
            <v>5832</v>
          </cell>
          <cell r="L90">
            <v>6468</v>
          </cell>
          <cell r="M90">
            <v>5832</v>
          </cell>
          <cell r="N90">
            <v>3624</v>
          </cell>
          <cell r="O90">
            <v>3536</v>
          </cell>
          <cell r="P90">
            <v>4484</v>
          </cell>
          <cell r="Q90">
            <v>4912</v>
          </cell>
          <cell r="R90">
            <v>5328</v>
          </cell>
          <cell r="S90">
            <v>4288</v>
          </cell>
          <cell r="T90">
            <v>3936</v>
          </cell>
          <cell r="U90">
            <v>5986</v>
          </cell>
          <cell r="V90">
            <v>7404</v>
          </cell>
          <cell r="W90">
            <v>5496</v>
          </cell>
          <cell r="X90">
            <v>5508</v>
          </cell>
          <cell r="Y90">
            <v>8228</v>
          </cell>
          <cell r="Z90">
            <v>4360</v>
          </cell>
          <cell r="AA90">
            <v>5046</v>
          </cell>
          <cell r="AB90">
            <v>4296</v>
          </cell>
          <cell r="AC90">
            <v>3568</v>
          </cell>
          <cell r="AD90">
            <v>740</v>
          </cell>
          <cell r="AE90">
            <v>1040</v>
          </cell>
          <cell r="AF90">
            <v>4553</v>
          </cell>
          <cell r="AG90">
            <v>4659</v>
          </cell>
          <cell r="AH90">
            <v>5368</v>
          </cell>
          <cell r="AI90">
            <v>5944</v>
          </cell>
          <cell r="AJ90">
            <v>8868</v>
          </cell>
          <cell r="AK90">
            <v>3320</v>
          </cell>
          <cell r="AL90">
            <v>4036</v>
          </cell>
          <cell r="AM90">
            <v>3652</v>
          </cell>
          <cell r="AN90">
            <v>4840</v>
          </cell>
          <cell r="AO90">
            <v>10176</v>
          </cell>
          <cell r="AP90">
            <v>4668</v>
          </cell>
          <cell r="AQ90">
            <v>5676</v>
          </cell>
          <cell r="AR90">
            <v>6024</v>
          </cell>
          <cell r="AS90">
            <v>5280</v>
          </cell>
          <cell r="AT90">
            <v>8264</v>
          </cell>
          <cell r="AU90">
            <v>9224</v>
          </cell>
          <cell r="AV90">
            <v>7456</v>
          </cell>
          <cell r="AW90">
            <v>6304</v>
          </cell>
          <cell r="AX90">
            <v>1360</v>
          </cell>
          <cell r="AY90">
            <v>3688</v>
          </cell>
          <cell r="AZ90">
            <v>6358</v>
          </cell>
          <cell r="BA90">
            <v>9544</v>
          </cell>
          <cell r="BB90">
            <v>3240</v>
          </cell>
          <cell r="BC90">
            <v>4656</v>
          </cell>
          <cell r="BD90">
            <v>4474</v>
          </cell>
          <cell r="BE90">
            <v>4483</v>
          </cell>
          <cell r="BF90">
            <v>5432</v>
          </cell>
          <cell r="BG90">
            <v>4196</v>
          </cell>
          <cell r="BH90">
            <v>6188</v>
          </cell>
          <cell r="BI90">
            <v>4820</v>
          </cell>
          <cell r="BJ90">
            <v>3756</v>
          </cell>
          <cell r="BK90">
            <v>5300</v>
          </cell>
          <cell r="BL90">
            <v>5032</v>
          </cell>
          <cell r="BM90">
            <v>4664</v>
          </cell>
          <cell r="BN90">
            <v>5388</v>
          </cell>
          <cell r="BO90">
            <v>5116</v>
          </cell>
          <cell r="BP90">
            <v>1116</v>
          </cell>
          <cell r="BQ90">
            <v>4496</v>
          </cell>
          <cell r="BR90">
            <v>3916</v>
          </cell>
          <cell r="BS90">
            <v>6448</v>
          </cell>
          <cell r="BT90">
            <v>3204</v>
          </cell>
          <cell r="BU90">
            <v>3756</v>
          </cell>
          <cell r="BV90">
            <v>4116</v>
          </cell>
          <cell r="BW90">
            <v>4016</v>
          </cell>
          <cell r="BX90">
            <v>2800</v>
          </cell>
          <cell r="BY90">
            <v>3240</v>
          </cell>
          <cell r="BZ90">
            <v>3320</v>
          </cell>
          <cell r="CA90">
            <v>2952</v>
          </cell>
          <cell r="CB90">
            <v>2804</v>
          </cell>
          <cell r="CC90">
            <v>4924</v>
          </cell>
          <cell r="CD90">
            <v>3068</v>
          </cell>
          <cell r="CE90">
            <v>2256</v>
          </cell>
          <cell r="CF90">
            <v>1956</v>
          </cell>
          <cell r="CG90">
            <v>4684</v>
          </cell>
          <cell r="CH90">
            <v>3876</v>
          </cell>
          <cell r="CI90">
            <v>4444</v>
          </cell>
          <cell r="CJ90">
            <v>4676</v>
          </cell>
          <cell r="CK90">
            <v>3236</v>
          </cell>
          <cell r="CL90">
            <v>5424</v>
          </cell>
          <cell r="CM90">
            <v>4272</v>
          </cell>
          <cell r="CN90">
            <v>4500</v>
          </cell>
          <cell r="CO90">
            <v>3968</v>
          </cell>
          <cell r="CP90">
            <v>4680</v>
          </cell>
          <cell r="CQ90">
            <v>5340</v>
          </cell>
          <cell r="CR90">
            <v>5624</v>
          </cell>
          <cell r="CS90">
            <v>2828</v>
          </cell>
          <cell r="CT90">
            <v>6256</v>
          </cell>
          <cell r="CU90">
            <v>5660</v>
          </cell>
          <cell r="CV90">
            <v>8620</v>
          </cell>
          <cell r="CW90">
            <v>6524</v>
          </cell>
          <cell r="CX90">
            <v>2128</v>
          </cell>
          <cell r="CY90">
            <v>7952</v>
          </cell>
          <cell r="CZ90">
            <v>5220</v>
          </cell>
          <cell r="DA90">
            <v>5088</v>
          </cell>
          <cell r="DB90">
            <v>4780</v>
          </cell>
          <cell r="DC90">
            <v>5348</v>
          </cell>
          <cell r="DD90">
            <v>4512</v>
          </cell>
          <cell r="DE90">
            <v>3556</v>
          </cell>
          <cell r="DF90">
            <v>12</v>
          </cell>
          <cell r="DG90" t="str">
            <v>ACTIVO</v>
          </cell>
          <cell r="DH90" t="str">
            <v>A</v>
          </cell>
          <cell r="DI90"/>
          <cell r="DJ90">
            <v>4863.84</v>
          </cell>
          <cell r="DK90">
            <v>810.64</v>
          </cell>
          <cell r="DL90">
            <v>1967.9302992114392</v>
          </cell>
          <cell r="DM90">
            <v>1492</v>
          </cell>
          <cell r="DN90">
            <v>3584306.2</v>
          </cell>
          <cell r="DO90">
            <v>0.30675351162867198</v>
          </cell>
          <cell r="DP90" t="str">
            <v>OK</v>
          </cell>
          <cell r="DQ90">
            <v>2431.92</v>
          </cell>
        </row>
        <row r="91">
          <cell r="B91">
            <v>107237</v>
          </cell>
          <cell r="C91" t="str">
            <v>CREMA CHOCOLATE RICHS</v>
          </cell>
          <cell r="D91">
            <v>236</v>
          </cell>
          <cell r="E91">
            <v>392</v>
          </cell>
          <cell r="F91">
            <v>304</v>
          </cell>
          <cell r="G91">
            <v>417</v>
          </cell>
          <cell r="H91">
            <v>529</v>
          </cell>
          <cell r="I91">
            <v>436</v>
          </cell>
          <cell r="J91">
            <v>524</v>
          </cell>
          <cell r="K91">
            <v>276</v>
          </cell>
          <cell r="L91">
            <v>372</v>
          </cell>
          <cell r="M91">
            <v>192</v>
          </cell>
          <cell r="N91">
            <v>440</v>
          </cell>
          <cell r="O91">
            <v>252</v>
          </cell>
          <cell r="P91">
            <v>424</v>
          </cell>
          <cell r="Q91">
            <v>392</v>
          </cell>
          <cell r="R91">
            <v>360</v>
          </cell>
          <cell r="S91">
            <v>380</v>
          </cell>
          <cell r="T91">
            <v>256</v>
          </cell>
          <cell r="U91">
            <v>624</v>
          </cell>
          <cell r="V91">
            <v>397</v>
          </cell>
          <cell r="W91"/>
          <cell r="X91">
            <v>536</v>
          </cell>
          <cell r="Y91">
            <v>880</v>
          </cell>
          <cell r="Z91">
            <v>504</v>
          </cell>
          <cell r="AA91">
            <v>328</v>
          </cell>
          <cell r="AB91">
            <v>252</v>
          </cell>
          <cell r="AC91">
            <v>224</v>
          </cell>
          <cell r="AD91"/>
          <cell r="AE91"/>
          <cell r="AF91">
            <v>421</v>
          </cell>
          <cell r="AG91">
            <v>304</v>
          </cell>
          <cell r="AH91">
            <v>167</v>
          </cell>
          <cell r="AI91">
            <v>12</v>
          </cell>
          <cell r="AJ91">
            <v>4</v>
          </cell>
          <cell r="AK91">
            <v>316</v>
          </cell>
          <cell r="AL91">
            <v>428</v>
          </cell>
          <cell r="AM91">
            <v>372</v>
          </cell>
          <cell r="AN91">
            <v>196</v>
          </cell>
          <cell r="AO91">
            <v>280</v>
          </cell>
          <cell r="AP91">
            <v>220</v>
          </cell>
          <cell r="AQ91">
            <v>456</v>
          </cell>
          <cell r="AR91">
            <v>348</v>
          </cell>
          <cell r="AS91">
            <v>520</v>
          </cell>
          <cell r="AT91">
            <v>14</v>
          </cell>
          <cell r="AU91">
            <v>304</v>
          </cell>
          <cell r="AV91">
            <v>104</v>
          </cell>
          <cell r="AW91">
            <v>152</v>
          </cell>
          <cell r="AX91">
            <v>260</v>
          </cell>
          <cell r="AY91">
            <v>268</v>
          </cell>
          <cell r="AZ91">
            <v>776</v>
          </cell>
          <cell r="BA91">
            <v>432</v>
          </cell>
          <cell r="BB91">
            <v>196</v>
          </cell>
          <cell r="BC91">
            <v>108</v>
          </cell>
          <cell r="BD91">
            <v>162</v>
          </cell>
          <cell r="BE91">
            <v>25</v>
          </cell>
          <cell r="BF91">
            <v>188</v>
          </cell>
          <cell r="BG91">
            <v>60</v>
          </cell>
          <cell r="BH91">
            <v>140</v>
          </cell>
          <cell r="BI91">
            <v>60</v>
          </cell>
          <cell r="BJ91">
            <v>144</v>
          </cell>
          <cell r="BK91">
            <v>136</v>
          </cell>
          <cell r="BL91">
            <v>348</v>
          </cell>
          <cell r="BM91">
            <v>24</v>
          </cell>
          <cell r="BN91">
            <v>216</v>
          </cell>
          <cell r="BO91">
            <v>12</v>
          </cell>
          <cell r="BP91">
            <v>8</v>
          </cell>
          <cell r="BQ91">
            <v>208</v>
          </cell>
          <cell r="BR91">
            <v>92</v>
          </cell>
          <cell r="BS91">
            <v>32</v>
          </cell>
          <cell r="BT91">
            <v>116</v>
          </cell>
          <cell r="BU91">
            <v>8</v>
          </cell>
          <cell r="BV91">
            <v>8</v>
          </cell>
          <cell r="BW91">
            <v>108</v>
          </cell>
          <cell r="BX91">
            <v>16</v>
          </cell>
          <cell r="BY91">
            <v>105</v>
          </cell>
          <cell r="BZ91">
            <v>108</v>
          </cell>
          <cell r="CA91">
            <v>16</v>
          </cell>
          <cell r="CB91">
            <v>104</v>
          </cell>
          <cell r="CC91">
            <v>220</v>
          </cell>
          <cell r="CD91">
            <v>12.5</v>
          </cell>
          <cell r="CE91">
            <v>12</v>
          </cell>
          <cell r="CF91"/>
          <cell r="CG91">
            <v>88</v>
          </cell>
          <cell r="CH91">
            <v>268</v>
          </cell>
          <cell r="CI91">
            <v>478</v>
          </cell>
          <cell r="CJ91">
            <v>8</v>
          </cell>
          <cell r="CK91">
            <v>12</v>
          </cell>
          <cell r="CL91">
            <v>8</v>
          </cell>
          <cell r="CM91">
            <v>12</v>
          </cell>
          <cell r="CN91">
            <v>180</v>
          </cell>
          <cell r="CO91">
            <v>8</v>
          </cell>
          <cell r="CP91">
            <v>8</v>
          </cell>
          <cell r="CQ91">
            <v>12</v>
          </cell>
          <cell r="CR91">
            <v>224</v>
          </cell>
          <cell r="CS91">
            <v>8</v>
          </cell>
          <cell r="CT91">
            <v>16</v>
          </cell>
          <cell r="CU91">
            <v>196</v>
          </cell>
          <cell r="CV91">
            <v>16</v>
          </cell>
          <cell r="CW91"/>
          <cell r="CX91">
            <v>4</v>
          </cell>
          <cell r="CY91">
            <v>116</v>
          </cell>
          <cell r="CZ91">
            <v>108</v>
          </cell>
          <cell r="DA91">
            <v>76</v>
          </cell>
          <cell r="DB91">
            <v>68</v>
          </cell>
          <cell r="DC91">
            <v>36</v>
          </cell>
          <cell r="DD91">
            <v>132</v>
          </cell>
          <cell r="DE91">
            <v>228</v>
          </cell>
          <cell r="DF91"/>
          <cell r="DG91" t="str">
            <v>ACTIVO</v>
          </cell>
          <cell r="DH91" t="str">
            <v>B</v>
          </cell>
          <cell r="DI91"/>
          <cell r="DJ91">
            <v>90.521739130434781</v>
          </cell>
          <cell r="DK91">
            <v>15.086956521739131</v>
          </cell>
          <cell r="DL91">
            <v>163.67020553613699</v>
          </cell>
          <cell r="DM91">
            <v>1216</v>
          </cell>
          <cell r="DN91">
            <v>4982328.96</v>
          </cell>
          <cell r="DO91">
            <v>13.433237271853987</v>
          </cell>
          <cell r="DP91" t="str">
            <v>OK</v>
          </cell>
          <cell r="DQ91">
            <v>45.260869565217391</v>
          </cell>
        </row>
        <row r="92">
          <cell r="B92">
            <v>170179</v>
          </cell>
          <cell r="C92" t="str">
            <v>CREMA AMBIENTE ICING PURATOS</v>
          </cell>
          <cell r="D92"/>
          <cell r="E92"/>
          <cell r="F92"/>
          <cell r="G92"/>
          <cell r="H92">
            <v>166</v>
          </cell>
          <cell r="I92">
            <v>5</v>
          </cell>
          <cell r="J92"/>
          <cell r="K92"/>
          <cell r="L92"/>
          <cell r="M92">
            <v>1172</v>
          </cell>
          <cell r="N92">
            <v>1609</v>
          </cell>
          <cell r="O92">
            <v>203</v>
          </cell>
          <cell r="P92">
            <v>556</v>
          </cell>
          <cell r="Q92">
            <v>1221</v>
          </cell>
          <cell r="R92">
            <v>658</v>
          </cell>
          <cell r="S92">
            <v>1312</v>
          </cell>
          <cell r="T92">
            <v>1192</v>
          </cell>
          <cell r="U92">
            <v>84</v>
          </cell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>
            <v>204</v>
          </cell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>
            <v>271</v>
          </cell>
          <cell r="BD92">
            <v>129</v>
          </cell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>
            <v>400</v>
          </cell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 t="str">
            <v>SIN USO</v>
          </cell>
          <cell r="DH92" t="str">
            <v>C</v>
          </cell>
          <cell r="DI92"/>
          <cell r="DJ92">
            <v>0</v>
          </cell>
          <cell r="DK92">
            <v>0</v>
          </cell>
          <cell r="DL92">
            <v>115.02753293595987</v>
          </cell>
          <cell r="DM92">
            <v>0</v>
          </cell>
          <cell r="DN92" t="str">
            <v>0</v>
          </cell>
          <cell r="DO92">
            <v>0</v>
          </cell>
          <cell r="DP92" t="str">
            <v>INACTIVO</v>
          </cell>
          <cell r="DQ92">
            <v>0</v>
          </cell>
        </row>
        <row r="93">
          <cell r="B93">
            <v>107342</v>
          </cell>
          <cell r="C93" t="str">
            <v>CREMA CHANTYPACK PURATOS</v>
          </cell>
          <cell r="D93">
            <v>78</v>
          </cell>
          <cell r="E93">
            <v>79</v>
          </cell>
          <cell r="F93">
            <v>21</v>
          </cell>
          <cell r="G93">
            <v>2</v>
          </cell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>
            <v>130</v>
          </cell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>
            <v>720</v>
          </cell>
          <cell r="CO93"/>
          <cell r="CP93"/>
          <cell r="CQ93"/>
          <cell r="CR93"/>
          <cell r="CS93"/>
          <cell r="CT93"/>
          <cell r="CU93"/>
          <cell r="CV93"/>
          <cell r="CW93"/>
          <cell r="CX93"/>
          <cell r="CY93"/>
          <cell r="CZ93"/>
          <cell r="DA93"/>
          <cell r="DB93"/>
          <cell r="DC93"/>
          <cell r="DD93"/>
          <cell r="DE93"/>
          <cell r="DF93"/>
          <cell r="DG93" t="str">
            <v>SIN USO</v>
          </cell>
          <cell r="DH93" t="str">
            <v>C</v>
          </cell>
          <cell r="DI93"/>
          <cell r="DJ93">
            <v>720</v>
          </cell>
          <cell r="DK93">
            <v>120</v>
          </cell>
          <cell r="DL93">
            <v>0</v>
          </cell>
          <cell r="DM93">
            <v>0</v>
          </cell>
          <cell r="DN93" t="str">
            <v>0</v>
          </cell>
          <cell r="DO93">
            <v>0</v>
          </cell>
          <cell r="DP93" t="str">
            <v>INACTIVO</v>
          </cell>
          <cell r="DQ93">
            <v>480</v>
          </cell>
        </row>
        <row r="94">
          <cell r="B94">
            <v>107283</v>
          </cell>
          <cell r="C94" t="str">
            <v>CREMA CHANTIFESTA RICHS</v>
          </cell>
          <cell r="D94"/>
          <cell r="E94"/>
          <cell r="F94"/>
          <cell r="G94"/>
          <cell r="H94"/>
          <cell r="I94"/>
          <cell r="J94">
            <v>282</v>
          </cell>
          <cell r="K94">
            <v>34</v>
          </cell>
          <cell r="L94">
            <v>106</v>
          </cell>
          <cell r="M94">
            <v>499</v>
          </cell>
          <cell r="N94">
            <v>94</v>
          </cell>
          <cell r="O94">
            <v>120</v>
          </cell>
          <cell r="P94">
            <v>146</v>
          </cell>
          <cell r="Q94">
            <v>263</v>
          </cell>
          <cell r="R94">
            <v>184</v>
          </cell>
          <cell r="S94">
            <v>379</v>
          </cell>
          <cell r="T94">
            <v>143</v>
          </cell>
          <cell r="U94">
            <v>451</v>
          </cell>
          <cell r="V94">
            <v>331</v>
          </cell>
          <cell r="W94">
            <v>144</v>
          </cell>
          <cell r="X94">
            <v>315</v>
          </cell>
          <cell r="Y94">
            <v>560</v>
          </cell>
          <cell r="Z94">
            <v>286</v>
          </cell>
          <cell r="AA94">
            <v>166</v>
          </cell>
          <cell r="AB94">
            <v>486</v>
          </cell>
          <cell r="AC94">
            <v>190</v>
          </cell>
          <cell r="AD94">
            <v>128</v>
          </cell>
          <cell r="AE94">
            <v>241</v>
          </cell>
          <cell r="AF94">
            <v>374</v>
          </cell>
          <cell r="AG94">
            <v>460</v>
          </cell>
          <cell r="AH94">
            <v>118</v>
          </cell>
          <cell r="AI94">
            <v>535.5</v>
          </cell>
          <cell r="AJ94">
            <v>270</v>
          </cell>
          <cell r="AK94">
            <v>0</v>
          </cell>
          <cell r="AL94">
            <v>299</v>
          </cell>
          <cell r="AM94">
            <v>289</v>
          </cell>
          <cell r="AN94">
            <v>340</v>
          </cell>
          <cell r="AO94">
            <v>321</v>
          </cell>
          <cell r="AP94">
            <v>719</v>
          </cell>
          <cell r="AQ94">
            <v>246</v>
          </cell>
          <cell r="AR94">
            <v>403</v>
          </cell>
          <cell r="AS94">
            <v>288</v>
          </cell>
          <cell r="AT94">
            <v>348</v>
          </cell>
          <cell r="AU94">
            <v>247</v>
          </cell>
          <cell r="AV94">
            <v>377</v>
          </cell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 t="str">
            <v>SIN USO</v>
          </cell>
          <cell r="DH94" t="str">
            <v>B</v>
          </cell>
          <cell r="DI94"/>
          <cell r="DJ94">
            <v>0</v>
          </cell>
          <cell r="DK94">
            <v>0</v>
          </cell>
          <cell r="DL94">
            <v>154.14186074942174</v>
          </cell>
          <cell r="DM94">
            <v>0</v>
          </cell>
          <cell r="DN94" t="str">
            <v>0</v>
          </cell>
          <cell r="DO94">
            <v>0</v>
          </cell>
          <cell r="DP94" t="str">
            <v>INACTIVO</v>
          </cell>
          <cell r="DQ94">
            <v>0</v>
          </cell>
        </row>
        <row r="95">
          <cell r="B95"/>
          <cell r="C95"/>
          <cell r="D95">
            <v>8652</v>
          </cell>
          <cell r="E95">
            <v>9002</v>
          </cell>
          <cell r="F95">
            <v>8157</v>
          </cell>
          <cell r="G95">
            <v>8930</v>
          </cell>
          <cell r="H95">
            <v>11221</v>
          </cell>
          <cell r="I95">
            <v>8043</v>
          </cell>
          <cell r="J95">
            <v>10029</v>
          </cell>
          <cell r="K95">
            <v>8506</v>
          </cell>
          <cell r="L95">
            <v>9793</v>
          </cell>
          <cell r="M95">
            <v>10528</v>
          </cell>
          <cell r="N95">
            <v>8890</v>
          </cell>
          <cell r="O95">
            <v>5426</v>
          </cell>
          <cell r="P95">
            <v>7586</v>
          </cell>
          <cell r="Q95">
            <v>9304</v>
          </cell>
          <cell r="R95">
            <v>9779</v>
          </cell>
          <cell r="S95">
            <v>9183</v>
          </cell>
          <cell r="T95">
            <v>8452</v>
          </cell>
          <cell r="U95">
            <v>10859</v>
          </cell>
          <cell r="V95">
            <v>11600</v>
          </cell>
          <cell r="W95">
            <v>7283</v>
          </cell>
          <cell r="X95">
            <v>10112</v>
          </cell>
          <cell r="Y95">
            <v>12300</v>
          </cell>
          <cell r="Z95">
            <v>7426</v>
          </cell>
          <cell r="AA95">
            <v>8047</v>
          </cell>
          <cell r="AB95">
            <v>8328</v>
          </cell>
          <cell r="AC95">
            <v>5921</v>
          </cell>
          <cell r="AD95">
            <v>1935</v>
          </cell>
          <cell r="AE95">
            <v>2499</v>
          </cell>
          <cell r="AF95">
            <v>8162</v>
          </cell>
          <cell r="AG95">
            <v>9222</v>
          </cell>
          <cell r="AH95">
            <v>9640</v>
          </cell>
          <cell r="AI95">
            <v>12246</v>
          </cell>
          <cell r="AJ95">
            <v>12356</v>
          </cell>
          <cell r="AK95">
            <v>8305</v>
          </cell>
          <cell r="AL95">
            <v>7591</v>
          </cell>
          <cell r="AM95">
            <v>6725</v>
          </cell>
          <cell r="AN95">
            <v>9102</v>
          </cell>
          <cell r="AO95">
            <v>14690</v>
          </cell>
          <cell r="AP95">
            <v>9779</v>
          </cell>
          <cell r="AQ95">
            <v>10283</v>
          </cell>
          <cell r="AR95">
            <v>10664</v>
          </cell>
          <cell r="AS95">
            <v>8792.5</v>
          </cell>
          <cell r="AT95">
            <v>12913</v>
          </cell>
          <cell r="AU95">
            <v>14491</v>
          </cell>
          <cell r="AV95">
            <v>12845</v>
          </cell>
          <cell r="AW95">
            <v>12014</v>
          </cell>
          <cell r="AX95">
            <v>6186</v>
          </cell>
          <cell r="AY95">
            <v>8299</v>
          </cell>
          <cell r="AZ95">
            <v>11009.5</v>
          </cell>
          <cell r="BA95">
            <v>13426</v>
          </cell>
          <cell r="BB95">
            <v>7698</v>
          </cell>
          <cell r="BC95">
            <v>9058</v>
          </cell>
          <cell r="BD95">
            <v>8009</v>
          </cell>
          <cell r="BE95">
            <v>9078</v>
          </cell>
          <cell r="BF95">
            <v>9228</v>
          </cell>
          <cell r="BG95">
            <v>9311</v>
          </cell>
          <cell r="BH95">
            <v>10499</v>
          </cell>
          <cell r="BI95">
            <v>8965</v>
          </cell>
          <cell r="BJ95">
            <v>10031</v>
          </cell>
          <cell r="BK95">
            <v>10166</v>
          </cell>
          <cell r="BL95">
            <v>9971</v>
          </cell>
          <cell r="BM95">
            <v>9289</v>
          </cell>
          <cell r="BN95">
            <v>10038</v>
          </cell>
          <cell r="BO95">
            <v>10049</v>
          </cell>
          <cell r="BP95">
            <v>3627</v>
          </cell>
          <cell r="BQ95">
            <v>9256</v>
          </cell>
          <cell r="BR95">
            <v>7591</v>
          </cell>
          <cell r="BS95">
            <v>11538</v>
          </cell>
          <cell r="BT95">
            <v>9247</v>
          </cell>
          <cell r="BU95">
            <v>9380</v>
          </cell>
          <cell r="BV95">
            <v>8048</v>
          </cell>
          <cell r="BW95">
            <v>7954</v>
          </cell>
          <cell r="BX95">
            <v>6337</v>
          </cell>
          <cell r="BY95">
            <v>5960</v>
          </cell>
          <cell r="BZ95">
            <v>6617</v>
          </cell>
          <cell r="CA95">
            <v>8011</v>
          </cell>
          <cell r="CB95">
            <v>5798</v>
          </cell>
          <cell r="CC95">
            <v>8335</v>
          </cell>
          <cell r="CD95">
            <v>6764.5</v>
          </cell>
          <cell r="CE95">
            <v>4836</v>
          </cell>
          <cell r="CF95">
            <v>2993</v>
          </cell>
          <cell r="CG95">
            <v>8986</v>
          </cell>
          <cell r="CH95">
            <v>8039</v>
          </cell>
          <cell r="CI95">
            <v>9177</v>
          </cell>
          <cell r="CJ95">
            <v>7598</v>
          </cell>
          <cell r="CK95">
            <v>9344</v>
          </cell>
          <cell r="CL95">
            <v>9546</v>
          </cell>
          <cell r="CM95">
            <v>7587</v>
          </cell>
          <cell r="CN95">
            <v>10472</v>
          </cell>
          <cell r="CO95">
            <v>8529</v>
          </cell>
          <cell r="CP95">
            <v>8561</v>
          </cell>
          <cell r="CQ95">
            <v>8045</v>
          </cell>
          <cell r="CR95">
            <v>9158</v>
          </cell>
          <cell r="CS95">
            <v>6150</v>
          </cell>
          <cell r="CT95">
            <v>11843</v>
          </cell>
          <cell r="CU95">
            <v>13305</v>
          </cell>
          <cell r="CV95">
            <v>14976</v>
          </cell>
          <cell r="CW95">
            <v>11559</v>
          </cell>
          <cell r="CX95">
            <v>6378</v>
          </cell>
          <cell r="CY95">
            <v>13228</v>
          </cell>
          <cell r="CZ95">
            <v>8451</v>
          </cell>
          <cell r="DA95">
            <v>15589</v>
          </cell>
          <cell r="DB95">
            <v>9138</v>
          </cell>
          <cell r="DC95">
            <v>9660.5</v>
          </cell>
          <cell r="DD95">
            <v>9622</v>
          </cell>
          <cell r="DE95">
            <v>6382</v>
          </cell>
          <cell r="DF95">
            <v>1966</v>
          </cell>
          <cell r="DG95" t="str">
            <v>ACTIVO</v>
          </cell>
          <cell r="DH95" t="str">
            <v/>
          </cell>
          <cell r="DI95"/>
          <cell r="DJ95">
            <v>9517.3799999999992</v>
          </cell>
          <cell r="DK95">
            <v>1586.2299999999998</v>
          </cell>
          <cell r="DL95">
            <v>2471.0929291170673</v>
          </cell>
          <cell r="DM95">
            <v>0</v>
          </cell>
          <cell r="DN95" t="str">
            <v>0</v>
          </cell>
          <cell r="DO95">
            <v>0</v>
          </cell>
          <cell r="DP95" t="str">
            <v>INACTIVO</v>
          </cell>
          <cell r="DQ95">
            <v>0</v>
          </cell>
        </row>
        <row r="96">
          <cell r="B96">
            <v>403338</v>
          </cell>
          <cell r="C96" t="str">
            <v>BLISTER 7189 1 PASTEL DEANDES</v>
          </cell>
          <cell r="D96">
            <v>33000</v>
          </cell>
          <cell r="E96">
            <v>25800</v>
          </cell>
          <cell r="F96">
            <v>30600</v>
          </cell>
          <cell r="G96">
            <v>24600</v>
          </cell>
          <cell r="H96">
            <v>29400</v>
          </cell>
          <cell r="I96">
            <v>23400</v>
          </cell>
          <cell r="J96">
            <v>26400</v>
          </cell>
          <cell r="K96">
            <v>20400</v>
          </cell>
          <cell r="L96">
            <v>30600</v>
          </cell>
          <cell r="M96">
            <v>27000</v>
          </cell>
          <cell r="N96">
            <v>25800</v>
          </cell>
          <cell r="O96">
            <v>4200</v>
          </cell>
          <cell r="P96">
            <v>19800</v>
          </cell>
          <cell r="Q96">
            <v>31800</v>
          </cell>
          <cell r="R96">
            <v>24600</v>
          </cell>
          <cell r="S96">
            <v>25200</v>
          </cell>
          <cell r="T96">
            <v>19800</v>
          </cell>
          <cell r="U96">
            <v>26400</v>
          </cell>
          <cell r="V96">
            <v>29400</v>
          </cell>
          <cell r="W96">
            <v>19200</v>
          </cell>
          <cell r="X96">
            <v>15600</v>
          </cell>
          <cell r="Y96"/>
          <cell r="Z96">
            <v>31800</v>
          </cell>
          <cell r="AA96">
            <v>25200</v>
          </cell>
          <cell r="AB96">
            <v>27600</v>
          </cell>
          <cell r="AC96">
            <v>18600</v>
          </cell>
          <cell r="AD96">
            <v>6600</v>
          </cell>
          <cell r="AE96">
            <v>6600</v>
          </cell>
          <cell r="AF96">
            <v>29400</v>
          </cell>
          <cell r="AG96">
            <v>24600</v>
          </cell>
          <cell r="AH96">
            <v>21000</v>
          </cell>
          <cell r="AI96">
            <v>29400</v>
          </cell>
          <cell r="AJ96">
            <v>27000</v>
          </cell>
          <cell r="AK96">
            <v>23400</v>
          </cell>
          <cell r="AL96">
            <v>25800</v>
          </cell>
          <cell r="AM96">
            <v>27600</v>
          </cell>
          <cell r="AN96">
            <v>29400</v>
          </cell>
          <cell r="AO96">
            <v>22200</v>
          </cell>
          <cell r="AP96">
            <v>21600</v>
          </cell>
          <cell r="AQ96">
            <v>24000</v>
          </cell>
          <cell r="AR96">
            <v>28800</v>
          </cell>
          <cell r="AS96">
            <v>27000</v>
          </cell>
          <cell r="AT96">
            <v>26400</v>
          </cell>
          <cell r="AU96">
            <v>19200</v>
          </cell>
          <cell r="AV96">
            <v>16200</v>
          </cell>
          <cell r="AW96">
            <v>19800</v>
          </cell>
          <cell r="AX96">
            <v>23400</v>
          </cell>
          <cell r="AY96">
            <v>19800</v>
          </cell>
          <cell r="AZ96">
            <v>23400</v>
          </cell>
          <cell r="BA96">
            <v>22800</v>
          </cell>
          <cell r="BB96">
            <v>20400</v>
          </cell>
          <cell r="BC96">
            <v>22800</v>
          </cell>
          <cell r="BD96">
            <v>27600</v>
          </cell>
          <cell r="BE96">
            <v>26400</v>
          </cell>
          <cell r="BF96">
            <v>21000</v>
          </cell>
          <cell r="BG96">
            <v>25800</v>
          </cell>
          <cell r="BH96">
            <v>30000</v>
          </cell>
          <cell r="BI96">
            <v>24600</v>
          </cell>
          <cell r="BJ96">
            <v>26400</v>
          </cell>
          <cell r="BK96">
            <v>22900</v>
          </cell>
          <cell r="BL96">
            <v>10100</v>
          </cell>
          <cell r="BM96">
            <v>9600</v>
          </cell>
          <cell r="BN96">
            <v>9600</v>
          </cell>
          <cell r="BO96">
            <v>8400</v>
          </cell>
          <cell r="BP96">
            <v>5600</v>
          </cell>
          <cell r="BQ96">
            <v>21400</v>
          </cell>
          <cell r="BR96"/>
          <cell r="BS96">
            <v>7700</v>
          </cell>
          <cell r="BT96">
            <v>12300</v>
          </cell>
          <cell r="BU96">
            <v>9600</v>
          </cell>
          <cell r="BV96">
            <v>18200</v>
          </cell>
          <cell r="BW96">
            <v>8700</v>
          </cell>
          <cell r="BX96">
            <v>9100</v>
          </cell>
          <cell r="BY96">
            <v>16800</v>
          </cell>
          <cell r="BZ96">
            <v>24500</v>
          </cell>
          <cell r="CA96">
            <v>28000</v>
          </cell>
          <cell r="CB96">
            <v>18900</v>
          </cell>
          <cell r="CC96">
            <v>23100</v>
          </cell>
          <cell r="CD96">
            <v>16700</v>
          </cell>
          <cell r="CE96">
            <v>6300</v>
          </cell>
          <cell r="CF96">
            <v>7700</v>
          </cell>
          <cell r="CG96">
            <v>21700</v>
          </cell>
          <cell r="CH96">
            <v>20700</v>
          </cell>
          <cell r="CI96">
            <v>13800</v>
          </cell>
          <cell r="CJ96">
            <v>22400</v>
          </cell>
          <cell r="CK96">
            <v>22400</v>
          </cell>
          <cell r="CL96">
            <v>24000</v>
          </cell>
          <cell r="CM96">
            <v>25200</v>
          </cell>
          <cell r="CN96">
            <v>21300</v>
          </cell>
          <cell r="CO96">
            <v>21600</v>
          </cell>
          <cell r="CP96">
            <v>25200</v>
          </cell>
          <cell r="CQ96">
            <v>22200</v>
          </cell>
          <cell r="CR96">
            <v>25200</v>
          </cell>
          <cell r="CS96">
            <v>22200</v>
          </cell>
          <cell r="CT96">
            <v>27000</v>
          </cell>
          <cell r="CU96">
            <v>34800</v>
          </cell>
          <cell r="CV96">
            <v>33000</v>
          </cell>
          <cell r="CW96">
            <v>28200</v>
          </cell>
          <cell r="CX96">
            <v>21000</v>
          </cell>
          <cell r="CY96">
            <v>31200</v>
          </cell>
          <cell r="CZ96">
            <v>24600</v>
          </cell>
          <cell r="DA96">
            <v>25800</v>
          </cell>
          <cell r="DB96">
            <v>22800</v>
          </cell>
          <cell r="DC96">
            <v>27000</v>
          </cell>
          <cell r="DD96">
            <v>24600</v>
          </cell>
          <cell r="DE96">
            <v>24600</v>
          </cell>
          <cell r="DF96">
            <v>4800</v>
          </cell>
          <cell r="DG96" t="str">
            <v>ACTIVO</v>
          </cell>
          <cell r="DH96" t="str">
            <v>A</v>
          </cell>
          <cell r="DI96"/>
          <cell r="DJ96">
            <v>23824</v>
          </cell>
          <cell r="DK96">
            <v>3970.6666666666665</v>
          </cell>
          <cell r="DL96">
            <v>7270.2650153667137</v>
          </cell>
          <cell r="DM96">
            <v>5400</v>
          </cell>
          <cell r="DN96">
            <v>266976</v>
          </cell>
          <cell r="DO96">
            <v>0.22666218938885158</v>
          </cell>
          <cell r="DP96" t="str">
            <v>OK</v>
          </cell>
          <cell r="DQ96">
            <v>11912</v>
          </cell>
        </row>
        <row r="97">
          <cell r="B97">
            <v>405770</v>
          </cell>
          <cell r="C97" t="str">
            <v>CUPULA TORTA 15 PP H112 ALTA COEXPAN</v>
          </cell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  <cell r="AO97"/>
          <cell r="AP97"/>
          <cell r="AQ97"/>
          <cell r="AR97"/>
          <cell r="AS97"/>
          <cell r="AT97"/>
          <cell r="AU97"/>
          <cell r="AV97"/>
          <cell r="AW97"/>
          <cell r="AX97"/>
          <cell r="AY97"/>
          <cell r="AZ97"/>
          <cell r="BA97"/>
          <cell r="BB97"/>
          <cell r="BC97"/>
          <cell r="BD97"/>
          <cell r="BE97"/>
          <cell r="BF97"/>
          <cell r="BG97"/>
          <cell r="BH97"/>
          <cell r="BI97"/>
          <cell r="BJ97"/>
          <cell r="BK97"/>
          <cell r="BL97"/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  <cell r="CL97"/>
          <cell r="CM97"/>
          <cell r="CN97"/>
          <cell r="CO97"/>
          <cell r="CP97"/>
          <cell r="CQ97"/>
          <cell r="CR97"/>
          <cell r="CS97"/>
          <cell r="CT97"/>
          <cell r="CU97"/>
          <cell r="CV97"/>
          <cell r="CW97"/>
          <cell r="CX97"/>
          <cell r="CY97"/>
          <cell r="CZ97"/>
          <cell r="DA97"/>
          <cell r="DB97">
            <v>1400</v>
          </cell>
          <cell r="DC97">
            <v>2700</v>
          </cell>
          <cell r="DD97">
            <v>3600</v>
          </cell>
          <cell r="DE97">
            <v>3500</v>
          </cell>
          <cell r="DF97">
            <v>2000</v>
          </cell>
          <cell r="DG97" t="str">
            <v>ACTIVO</v>
          </cell>
          <cell r="DH97" t="str">
            <v/>
          </cell>
          <cell r="DI97"/>
          <cell r="DJ97">
            <v>2566.6666666666665</v>
          </cell>
          <cell r="DK97">
            <v>427.77777777777777</v>
          </cell>
          <cell r="DL97">
            <v>0</v>
          </cell>
          <cell r="DM97">
            <v>2100</v>
          </cell>
          <cell r="DN97">
            <v>422604</v>
          </cell>
          <cell r="DO97">
            <v>0.81818181818181823</v>
          </cell>
          <cell r="DP97" t="str">
            <v>OK</v>
          </cell>
          <cell r="DQ97">
            <v>1283.3333333333333</v>
          </cell>
        </row>
        <row r="98">
          <cell r="B98">
            <v>107344</v>
          </cell>
          <cell r="C98" t="str">
            <v>CUPULA TORTA ALTA  15PP (98-5) MOLDESPAC</v>
          </cell>
          <cell r="D98"/>
          <cell r="E98"/>
          <cell r="F98">
            <v>1050</v>
          </cell>
          <cell r="G98">
            <v>1190</v>
          </cell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>
            <v>12110</v>
          </cell>
          <cell r="Z98">
            <v>2030</v>
          </cell>
          <cell r="AA98"/>
          <cell r="AB98">
            <v>490</v>
          </cell>
          <cell r="AC98"/>
          <cell r="AD98">
            <v>420</v>
          </cell>
          <cell r="AE98"/>
          <cell r="AF98">
            <v>7140</v>
          </cell>
          <cell r="AG98">
            <v>2030</v>
          </cell>
          <cell r="AH98">
            <v>4050</v>
          </cell>
          <cell r="AI98">
            <v>3890</v>
          </cell>
          <cell r="AJ98">
            <v>2310</v>
          </cell>
          <cell r="AK98">
            <v>3010</v>
          </cell>
          <cell r="AL98">
            <v>7740</v>
          </cell>
          <cell r="AM98">
            <v>5670</v>
          </cell>
          <cell r="AN98">
            <v>700</v>
          </cell>
          <cell r="AO98">
            <v>8260</v>
          </cell>
          <cell r="AP98">
            <v>10500</v>
          </cell>
          <cell r="AQ98">
            <v>8960</v>
          </cell>
          <cell r="AR98">
            <v>280</v>
          </cell>
          <cell r="AS98">
            <v>1090</v>
          </cell>
          <cell r="AT98">
            <v>1190</v>
          </cell>
          <cell r="AU98">
            <v>210</v>
          </cell>
          <cell r="AV98">
            <v>2590</v>
          </cell>
          <cell r="AW98">
            <v>3640</v>
          </cell>
          <cell r="AX98">
            <v>700</v>
          </cell>
          <cell r="AY98">
            <v>1750</v>
          </cell>
          <cell r="AZ98">
            <v>280</v>
          </cell>
          <cell r="BA98">
            <v>1260</v>
          </cell>
          <cell r="BB98">
            <v>1400</v>
          </cell>
          <cell r="BC98">
            <v>2037</v>
          </cell>
          <cell r="BD98">
            <v>1610</v>
          </cell>
          <cell r="BE98">
            <v>350</v>
          </cell>
          <cell r="BF98">
            <v>420</v>
          </cell>
          <cell r="BG98">
            <v>1820</v>
          </cell>
          <cell r="BH98">
            <v>3360</v>
          </cell>
          <cell r="BI98">
            <v>2870</v>
          </cell>
          <cell r="BJ98">
            <v>630</v>
          </cell>
          <cell r="BK98">
            <v>770</v>
          </cell>
          <cell r="BL98">
            <v>910</v>
          </cell>
          <cell r="BM98">
            <v>1890</v>
          </cell>
          <cell r="BN98"/>
          <cell r="BO98">
            <v>1400</v>
          </cell>
          <cell r="BP98"/>
          <cell r="BQ98">
            <v>2030</v>
          </cell>
          <cell r="BR98">
            <v>4060</v>
          </cell>
          <cell r="BS98">
            <v>2940</v>
          </cell>
          <cell r="BT98">
            <v>2590</v>
          </cell>
          <cell r="BU98">
            <v>910</v>
          </cell>
          <cell r="BV98">
            <v>700</v>
          </cell>
          <cell r="BW98">
            <v>1190</v>
          </cell>
          <cell r="BX98">
            <v>1540</v>
          </cell>
          <cell r="BY98">
            <v>280</v>
          </cell>
          <cell r="BZ98">
            <v>770</v>
          </cell>
          <cell r="CA98"/>
          <cell r="CB98">
            <v>840</v>
          </cell>
          <cell r="CC98">
            <v>700</v>
          </cell>
          <cell r="CD98"/>
          <cell r="CE98">
            <v>420</v>
          </cell>
          <cell r="CF98"/>
          <cell r="CG98">
            <v>3780</v>
          </cell>
          <cell r="CH98">
            <v>4360</v>
          </cell>
          <cell r="CI98">
            <v>1750</v>
          </cell>
          <cell r="CJ98">
            <v>8770</v>
          </cell>
          <cell r="CK98">
            <v>70</v>
          </cell>
          <cell r="CL98">
            <v>140</v>
          </cell>
          <cell r="CM98">
            <v>1750</v>
          </cell>
          <cell r="CN98">
            <v>2730</v>
          </cell>
          <cell r="CO98">
            <v>1890</v>
          </cell>
          <cell r="CP98">
            <v>1960</v>
          </cell>
          <cell r="CQ98">
            <v>3500</v>
          </cell>
          <cell r="CR98">
            <v>2730</v>
          </cell>
          <cell r="CS98">
            <v>1820</v>
          </cell>
          <cell r="CT98">
            <v>4270</v>
          </cell>
          <cell r="CU98">
            <v>4410</v>
          </cell>
          <cell r="CV98"/>
          <cell r="CW98"/>
          <cell r="CX98">
            <v>1540</v>
          </cell>
          <cell r="CY98">
            <v>4200</v>
          </cell>
          <cell r="CZ98">
            <v>1400</v>
          </cell>
          <cell r="DA98">
            <v>910</v>
          </cell>
          <cell r="DB98"/>
          <cell r="DC98">
            <v>1190</v>
          </cell>
          <cell r="DD98">
            <v>1820</v>
          </cell>
          <cell r="DE98">
            <v>840</v>
          </cell>
          <cell r="DF98"/>
          <cell r="DG98" t="str">
            <v>ACTIVO</v>
          </cell>
          <cell r="DH98" t="str">
            <v>B</v>
          </cell>
          <cell r="DI98"/>
          <cell r="DJ98">
            <v>2618.5714285714284</v>
          </cell>
          <cell r="DK98">
            <v>436.42857142857139</v>
          </cell>
          <cell r="DL98">
            <v>2456.9135108010491</v>
          </cell>
          <cell r="DM98">
            <v>8260</v>
          </cell>
          <cell r="DN98">
            <v>1941595.6</v>
          </cell>
          <cell r="DO98">
            <v>3.1543917075831973</v>
          </cell>
          <cell r="DP98" t="str">
            <v>OK</v>
          </cell>
          <cell r="DQ98">
            <v>872.85714285714278</v>
          </cell>
        </row>
        <row r="99">
          <cell r="B99">
            <v>405444</v>
          </cell>
          <cell r="C99" t="str">
            <v>CUPULA TORTA 15 PP ALTA COEXPAN</v>
          </cell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>
            <v>1000</v>
          </cell>
          <cell r="W99">
            <v>1400</v>
          </cell>
          <cell r="X99"/>
          <cell r="Y99">
            <v>800</v>
          </cell>
          <cell r="Z99">
            <v>5100</v>
          </cell>
          <cell r="AA99">
            <v>600</v>
          </cell>
          <cell r="AB99"/>
          <cell r="AC99"/>
          <cell r="AD99"/>
          <cell r="AE99"/>
          <cell r="AF99"/>
          <cell r="AG99"/>
          <cell r="AH99"/>
          <cell r="AI99"/>
          <cell r="AJ99"/>
          <cell r="AK99">
            <v>6000</v>
          </cell>
          <cell r="AL99">
            <v>1000</v>
          </cell>
          <cell r="AM99">
            <v>4500</v>
          </cell>
          <cell r="AN99">
            <v>8600</v>
          </cell>
          <cell r="AO99">
            <v>6800</v>
          </cell>
          <cell r="AP99">
            <v>6200</v>
          </cell>
          <cell r="AQ99">
            <v>9900</v>
          </cell>
          <cell r="AR99">
            <v>10100</v>
          </cell>
          <cell r="AS99">
            <v>7600</v>
          </cell>
          <cell r="AT99">
            <v>17100</v>
          </cell>
          <cell r="AU99">
            <v>9200</v>
          </cell>
          <cell r="AV99">
            <v>13400</v>
          </cell>
          <cell r="AW99">
            <v>10400</v>
          </cell>
          <cell r="AX99">
            <v>11000</v>
          </cell>
          <cell r="AY99">
            <v>10200</v>
          </cell>
          <cell r="AZ99">
            <v>9800</v>
          </cell>
          <cell r="BA99">
            <v>10800</v>
          </cell>
          <cell r="BB99">
            <v>9700</v>
          </cell>
          <cell r="BC99">
            <v>9500</v>
          </cell>
          <cell r="BD99">
            <v>5700</v>
          </cell>
          <cell r="BE99">
            <v>15300</v>
          </cell>
          <cell r="BF99">
            <v>6900</v>
          </cell>
          <cell r="BG99">
            <v>3200</v>
          </cell>
          <cell r="BH99">
            <v>31100</v>
          </cell>
          <cell r="BI99">
            <v>6700</v>
          </cell>
          <cell r="BJ99">
            <v>2100</v>
          </cell>
          <cell r="BK99">
            <v>8200</v>
          </cell>
          <cell r="BL99">
            <v>7800</v>
          </cell>
          <cell r="BM99">
            <v>2100</v>
          </cell>
          <cell r="BN99">
            <v>10000</v>
          </cell>
          <cell r="BO99">
            <v>10900</v>
          </cell>
          <cell r="BP99">
            <v>2300</v>
          </cell>
          <cell r="BQ99">
            <v>14600</v>
          </cell>
          <cell r="BR99">
            <v>4200</v>
          </cell>
          <cell r="BS99">
            <v>6600</v>
          </cell>
          <cell r="BT99">
            <v>5300</v>
          </cell>
          <cell r="BU99">
            <v>7300</v>
          </cell>
          <cell r="BV99">
            <v>9900</v>
          </cell>
          <cell r="BW99">
            <v>2600</v>
          </cell>
          <cell r="BX99">
            <v>1500</v>
          </cell>
          <cell r="BY99">
            <v>400</v>
          </cell>
          <cell r="BZ99"/>
          <cell r="CA99">
            <v>3100</v>
          </cell>
          <cell r="CB99">
            <v>2100</v>
          </cell>
          <cell r="CC99">
            <v>1100</v>
          </cell>
          <cell r="CD99">
            <v>6600</v>
          </cell>
          <cell r="CE99">
            <v>5300</v>
          </cell>
          <cell r="CF99">
            <v>3000</v>
          </cell>
          <cell r="CG99">
            <v>7000</v>
          </cell>
          <cell r="CH99">
            <v>400</v>
          </cell>
          <cell r="CI99">
            <v>7600</v>
          </cell>
          <cell r="CJ99">
            <v>2700</v>
          </cell>
          <cell r="CK99">
            <v>5100</v>
          </cell>
          <cell r="CL99">
            <v>18000</v>
          </cell>
          <cell r="CM99">
            <v>20400</v>
          </cell>
          <cell r="CN99">
            <v>8800</v>
          </cell>
          <cell r="CO99">
            <v>17900</v>
          </cell>
          <cell r="CP99">
            <v>23100</v>
          </cell>
          <cell r="CQ99">
            <v>18200</v>
          </cell>
          <cell r="CR99">
            <v>25500</v>
          </cell>
          <cell r="CS99">
            <v>16800</v>
          </cell>
          <cell r="CT99">
            <v>37400</v>
          </cell>
          <cell r="CU99">
            <v>32500</v>
          </cell>
          <cell r="CV99">
            <v>38400</v>
          </cell>
          <cell r="CW99">
            <v>27900</v>
          </cell>
          <cell r="CX99">
            <v>17200</v>
          </cell>
          <cell r="CY99">
            <v>37000</v>
          </cell>
          <cell r="CZ99">
            <v>30900</v>
          </cell>
          <cell r="DA99">
            <v>24900</v>
          </cell>
          <cell r="DB99">
            <v>22100</v>
          </cell>
          <cell r="DC99">
            <v>24100</v>
          </cell>
          <cell r="DD99">
            <v>18100</v>
          </cell>
          <cell r="DE99">
            <v>12700</v>
          </cell>
          <cell r="DF99">
            <v>2400</v>
          </cell>
          <cell r="DG99" t="str">
            <v>ACTIVO</v>
          </cell>
          <cell r="DH99" t="str">
            <v>A</v>
          </cell>
          <cell r="DI99"/>
          <cell r="DJ99">
            <v>19400</v>
          </cell>
          <cell r="DK99">
            <v>3233.3333333333335</v>
          </cell>
          <cell r="DL99">
            <v>5318.2799333313933</v>
          </cell>
          <cell r="DM99">
            <v>6000</v>
          </cell>
          <cell r="DN99">
            <v>1512000</v>
          </cell>
          <cell r="DO99">
            <v>0.30927835051546393</v>
          </cell>
          <cell r="DP99" t="str">
            <v>COMPRAR</v>
          </cell>
          <cell r="DQ99">
            <v>6466.666666666667</v>
          </cell>
        </row>
        <row r="100">
          <cell r="B100">
            <v>405445</v>
          </cell>
          <cell r="C100" t="str">
            <v>BASE TORTA 15PP ALTA COEXPAN</v>
          </cell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>
            <v>3400</v>
          </cell>
          <cell r="Z100">
            <v>4100</v>
          </cell>
          <cell r="AA100">
            <v>900</v>
          </cell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>
            <v>2600</v>
          </cell>
          <cell r="AO100"/>
          <cell r="AP100">
            <v>1600</v>
          </cell>
          <cell r="AQ100">
            <v>2500</v>
          </cell>
          <cell r="AR100">
            <v>6500</v>
          </cell>
          <cell r="AS100">
            <v>6400</v>
          </cell>
          <cell r="AT100">
            <v>15000</v>
          </cell>
          <cell r="AU100">
            <v>13700</v>
          </cell>
          <cell r="AV100">
            <v>10200</v>
          </cell>
          <cell r="AW100">
            <v>10400</v>
          </cell>
          <cell r="AX100">
            <v>1000</v>
          </cell>
          <cell r="AY100">
            <v>3200</v>
          </cell>
          <cell r="AZ100">
            <v>1600</v>
          </cell>
          <cell r="BA100">
            <v>8400</v>
          </cell>
          <cell r="BB100">
            <v>3900</v>
          </cell>
          <cell r="BC100">
            <v>8000</v>
          </cell>
          <cell r="BD100">
            <v>1200</v>
          </cell>
          <cell r="BE100">
            <v>14400</v>
          </cell>
          <cell r="BF100">
            <v>2000</v>
          </cell>
          <cell r="BG100">
            <v>3000</v>
          </cell>
          <cell r="BH100">
            <v>26000</v>
          </cell>
          <cell r="BI100">
            <v>6800</v>
          </cell>
          <cell r="BJ100">
            <v>2200</v>
          </cell>
          <cell r="BK100">
            <v>8200</v>
          </cell>
          <cell r="BL100">
            <v>7800</v>
          </cell>
          <cell r="BM100">
            <v>1800</v>
          </cell>
          <cell r="BN100">
            <v>7400</v>
          </cell>
          <cell r="BO100">
            <v>1600</v>
          </cell>
          <cell r="BP100"/>
          <cell r="BQ100"/>
          <cell r="BR100">
            <v>3000</v>
          </cell>
          <cell r="BS100">
            <v>4400</v>
          </cell>
          <cell r="BT100">
            <v>2400</v>
          </cell>
          <cell r="BU100">
            <v>6800</v>
          </cell>
          <cell r="BV100">
            <v>9000</v>
          </cell>
          <cell r="BW100"/>
          <cell r="BX100">
            <v>1200</v>
          </cell>
          <cell r="BY100">
            <v>400</v>
          </cell>
          <cell r="BZ100"/>
          <cell r="CA100">
            <v>3200</v>
          </cell>
          <cell r="CB100">
            <v>2000</v>
          </cell>
          <cell r="CC100">
            <v>2200</v>
          </cell>
          <cell r="CD100"/>
          <cell r="CE100">
            <v>3200</v>
          </cell>
          <cell r="CF100"/>
          <cell r="CG100">
            <v>5400</v>
          </cell>
          <cell r="CH100"/>
          <cell r="CI100">
            <v>6400</v>
          </cell>
          <cell r="CJ100">
            <v>1800</v>
          </cell>
          <cell r="CK100">
            <v>4800</v>
          </cell>
          <cell r="CL100">
            <v>18800</v>
          </cell>
          <cell r="CM100">
            <v>16600</v>
          </cell>
          <cell r="CN100">
            <v>8800</v>
          </cell>
          <cell r="CO100">
            <v>16600</v>
          </cell>
          <cell r="CP100">
            <v>22800</v>
          </cell>
          <cell r="CQ100">
            <v>18200</v>
          </cell>
          <cell r="CR100">
            <v>25200</v>
          </cell>
          <cell r="CS100">
            <v>16600</v>
          </cell>
          <cell r="CT100">
            <v>34000</v>
          </cell>
          <cell r="CU100">
            <v>27400</v>
          </cell>
          <cell r="CV100">
            <v>38200</v>
          </cell>
          <cell r="CW100">
            <v>27600</v>
          </cell>
          <cell r="CX100">
            <v>17000</v>
          </cell>
          <cell r="CY100">
            <v>35000</v>
          </cell>
          <cell r="CZ100">
            <v>30400</v>
          </cell>
          <cell r="DA100">
            <v>26000</v>
          </cell>
          <cell r="DB100">
            <v>22600</v>
          </cell>
          <cell r="DC100">
            <v>23000</v>
          </cell>
          <cell r="DD100">
            <v>19800</v>
          </cell>
          <cell r="DE100">
            <v>15600</v>
          </cell>
          <cell r="DF100">
            <v>4400</v>
          </cell>
          <cell r="DG100" t="str">
            <v>ACTIVO</v>
          </cell>
          <cell r="DH100" t="str">
            <v>B</v>
          </cell>
          <cell r="DI100"/>
          <cell r="DJ100">
            <v>20130.434782608696</v>
          </cell>
          <cell r="DK100">
            <v>3355.072463768116</v>
          </cell>
          <cell r="DL100">
            <v>5194.4055692291386</v>
          </cell>
          <cell r="DM100">
            <v>4000</v>
          </cell>
          <cell r="DN100">
            <v>374400</v>
          </cell>
          <cell r="DO100">
            <v>0.19870410367170627</v>
          </cell>
          <cell r="DP100" t="str">
            <v>COMPRAR</v>
          </cell>
          <cell r="DQ100">
            <v>6710.144927536232</v>
          </cell>
        </row>
        <row r="101">
          <cell r="B101">
            <v>403219</v>
          </cell>
          <cell r="C101" t="str">
            <v>CAPSULA OVALADA N° 10 ARRIAZA</v>
          </cell>
          <cell r="D101">
            <v>16000</v>
          </cell>
          <cell r="E101">
            <v>31000</v>
          </cell>
          <cell r="F101">
            <v>21000</v>
          </cell>
          <cell r="G101">
            <v>29000</v>
          </cell>
          <cell r="H101">
            <v>24000</v>
          </cell>
          <cell r="I101">
            <v>24000</v>
          </cell>
          <cell r="J101">
            <v>23000</v>
          </cell>
          <cell r="K101">
            <v>17000</v>
          </cell>
          <cell r="L101">
            <v>32000</v>
          </cell>
          <cell r="M101">
            <v>15000</v>
          </cell>
          <cell r="N101">
            <v>17000</v>
          </cell>
          <cell r="O101"/>
          <cell r="P101">
            <v>33000</v>
          </cell>
          <cell r="Q101">
            <v>18000</v>
          </cell>
          <cell r="R101">
            <v>17000</v>
          </cell>
          <cell r="S101">
            <v>19000</v>
          </cell>
          <cell r="T101">
            <v>31000</v>
          </cell>
          <cell r="U101">
            <v>19000</v>
          </cell>
          <cell r="V101">
            <v>43000</v>
          </cell>
          <cell r="W101">
            <v>14000</v>
          </cell>
          <cell r="X101">
            <v>9000</v>
          </cell>
          <cell r="Y101"/>
          <cell r="Z101">
            <v>17000</v>
          </cell>
          <cell r="AA101">
            <v>36000</v>
          </cell>
          <cell r="AB101">
            <v>19000</v>
          </cell>
          <cell r="AC101">
            <v>34000</v>
          </cell>
          <cell r="AD101"/>
          <cell r="AE101"/>
          <cell r="AF101">
            <v>35000</v>
          </cell>
          <cell r="AG101">
            <v>26000</v>
          </cell>
          <cell r="AH101">
            <v>38000</v>
          </cell>
          <cell r="AI101">
            <v>26000</v>
          </cell>
          <cell r="AJ101">
            <v>13000</v>
          </cell>
          <cell r="AK101">
            <v>22000</v>
          </cell>
          <cell r="AL101">
            <v>17000</v>
          </cell>
          <cell r="AM101">
            <v>19000</v>
          </cell>
          <cell r="AN101">
            <v>39000</v>
          </cell>
          <cell r="AO101">
            <v>35000</v>
          </cell>
          <cell r="AP101">
            <v>28000</v>
          </cell>
          <cell r="AQ101">
            <v>22000</v>
          </cell>
          <cell r="AR101">
            <v>34000</v>
          </cell>
          <cell r="AS101">
            <v>13500</v>
          </cell>
          <cell r="AT101">
            <v>33500</v>
          </cell>
          <cell r="AU101">
            <v>18000</v>
          </cell>
          <cell r="AV101">
            <v>19000</v>
          </cell>
          <cell r="AW101">
            <v>18000</v>
          </cell>
          <cell r="AX101">
            <v>34000</v>
          </cell>
          <cell r="AY101">
            <v>9000</v>
          </cell>
          <cell r="AZ101">
            <v>32000</v>
          </cell>
          <cell r="BA101">
            <v>31000</v>
          </cell>
          <cell r="BB101">
            <v>7000</v>
          </cell>
          <cell r="BC101">
            <v>18000</v>
          </cell>
          <cell r="BD101">
            <v>33000</v>
          </cell>
          <cell r="BE101">
            <v>24000</v>
          </cell>
          <cell r="BF101">
            <v>18000</v>
          </cell>
          <cell r="BG101">
            <v>28000</v>
          </cell>
          <cell r="BH101">
            <v>40000</v>
          </cell>
          <cell r="BI101">
            <v>8000</v>
          </cell>
          <cell r="BJ101">
            <v>37000</v>
          </cell>
          <cell r="BK101">
            <v>28000</v>
          </cell>
          <cell r="BL101">
            <v>52000</v>
          </cell>
          <cell r="BM101">
            <v>25000</v>
          </cell>
          <cell r="BN101">
            <v>39000</v>
          </cell>
          <cell r="BO101">
            <v>10000</v>
          </cell>
          <cell r="BP101">
            <v>16000</v>
          </cell>
          <cell r="BQ101">
            <v>22000</v>
          </cell>
          <cell r="BR101">
            <v>25000</v>
          </cell>
          <cell r="BS101">
            <v>25000</v>
          </cell>
          <cell r="BT101">
            <v>21000</v>
          </cell>
          <cell r="BU101">
            <v>25000</v>
          </cell>
          <cell r="BV101">
            <v>21000</v>
          </cell>
          <cell r="BW101">
            <v>22000</v>
          </cell>
          <cell r="BX101">
            <v>19000</v>
          </cell>
          <cell r="BY101">
            <v>17000</v>
          </cell>
          <cell r="BZ101">
            <v>26000</v>
          </cell>
          <cell r="CA101">
            <v>20000</v>
          </cell>
          <cell r="CB101">
            <v>19000</v>
          </cell>
          <cell r="CC101">
            <v>18000</v>
          </cell>
          <cell r="CD101">
            <v>26000</v>
          </cell>
          <cell r="CE101">
            <v>4000</v>
          </cell>
          <cell r="CF101">
            <v>4000</v>
          </cell>
          <cell r="CG101">
            <v>22000</v>
          </cell>
          <cell r="CH101">
            <v>27000</v>
          </cell>
          <cell r="CI101">
            <v>39000</v>
          </cell>
          <cell r="CJ101">
            <v>17000</v>
          </cell>
          <cell r="CK101">
            <v>27000</v>
          </cell>
          <cell r="CL101">
            <v>14000</v>
          </cell>
          <cell r="CM101">
            <v>22000</v>
          </cell>
          <cell r="CN101">
            <v>18000</v>
          </cell>
          <cell r="CO101">
            <v>20000</v>
          </cell>
          <cell r="CP101">
            <v>23000</v>
          </cell>
          <cell r="CQ101">
            <v>23000</v>
          </cell>
          <cell r="CR101">
            <v>30000</v>
          </cell>
          <cell r="CS101">
            <v>26000</v>
          </cell>
          <cell r="CT101">
            <v>18000</v>
          </cell>
          <cell r="CU101">
            <v>27000</v>
          </cell>
          <cell r="CV101">
            <v>35000</v>
          </cell>
          <cell r="CW101">
            <v>16000</v>
          </cell>
          <cell r="CX101">
            <v>15000</v>
          </cell>
          <cell r="CY101">
            <v>29000</v>
          </cell>
          <cell r="CZ101">
            <v>21000</v>
          </cell>
          <cell r="DA101">
            <v>22000</v>
          </cell>
          <cell r="DB101">
            <v>23000</v>
          </cell>
          <cell r="DC101">
            <v>26000</v>
          </cell>
          <cell r="DD101">
            <v>11000</v>
          </cell>
          <cell r="DE101">
            <v>27000</v>
          </cell>
          <cell r="DF101"/>
          <cell r="DG101" t="str">
            <v>ACTIVO</v>
          </cell>
          <cell r="DH101" t="str">
            <v>C</v>
          </cell>
          <cell r="DI101"/>
          <cell r="DJ101">
            <v>22200</v>
          </cell>
          <cell r="DK101">
            <v>3700</v>
          </cell>
          <cell r="DL101">
            <v>9638.1164178725594</v>
          </cell>
          <cell r="DM101">
            <v>20000</v>
          </cell>
          <cell r="DN101">
            <v>122000</v>
          </cell>
          <cell r="DO101">
            <v>0.90090090090090091</v>
          </cell>
          <cell r="DP101" t="str">
            <v>OK</v>
          </cell>
          <cell r="DQ101">
            <v>11100</v>
          </cell>
        </row>
        <row r="102">
          <cell r="B102">
            <v>107345</v>
          </cell>
          <cell r="C102" t="str">
            <v>CUPULA 170BX DEANDES</v>
          </cell>
          <cell r="D102">
            <v>2040</v>
          </cell>
          <cell r="E102">
            <v>5880</v>
          </cell>
          <cell r="F102">
            <v>4800</v>
          </cell>
          <cell r="G102">
            <v>7200</v>
          </cell>
          <cell r="H102">
            <v>7920</v>
          </cell>
          <cell r="I102">
            <v>7200</v>
          </cell>
          <cell r="J102">
            <v>6720</v>
          </cell>
          <cell r="K102">
            <v>5280</v>
          </cell>
          <cell r="L102">
            <v>7440</v>
          </cell>
          <cell r="M102">
            <v>5280</v>
          </cell>
          <cell r="N102">
            <v>5520</v>
          </cell>
          <cell r="O102">
            <v>1440</v>
          </cell>
          <cell r="P102">
            <v>4800</v>
          </cell>
          <cell r="Q102">
            <v>7920</v>
          </cell>
          <cell r="R102">
            <v>5760</v>
          </cell>
          <cell r="S102">
            <v>5520</v>
          </cell>
          <cell r="T102">
            <v>4800</v>
          </cell>
          <cell r="U102">
            <v>4320</v>
          </cell>
          <cell r="V102">
            <v>7200</v>
          </cell>
          <cell r="W102">
            <v>2880</v>
          </cell>
          <cell r="X102">
            <v>3090</v>
          </cell>
          <cell r="Y102">
            <v>4470</v>
          </cell>
          <cell r="Z102">
            <v>3720</v>
          </cell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>
            <v>1050</v>
          </cell>
          <cell r="AQ102">
            <v>2400</v>
          </cell>
          <cell r="AR102">
            <v>2100</v>
          </cell>
          <cell r="AS102">
            <v>1590</v>
          </cell>
          <cell r="AT102">
            <v>2250</v>
          </cell>
          <cell r="AU102">
            <v>2730</v>
          </cell>
          <cell r="AV102">
            <v>2310</v>
          </cell>
          <cell r="AW102">
            <v>1920</v>
          </cell>
          <cell r="AX102">
            <v>540</v>
          </cell>
          <cell r="AY102"/>
          <cell r="AZ102"/>
          <cell r="BA102"/>
          <cell r="BB102">
            <v>4380</v>
          </cell>
          <cell r="BC102">
            <v>2880</v>
          </cell>
          <cell r="BD102">
            <v>2340</v>
          </cell>
          <cell r="BE102"/>
          <cell r="BF102"/>
          <cell r="BG102"/>
          <cell r="BH102">
            <v>750</v>
          </cell>
          <cell r="BI102">
            <v>740</v>
          </cell>
          <cell r="BJ102">
            <v>900</v>
          </cell>
          <cell r="BK102">
            <v>240</v>
          </cell>
          <cell r="BL102">
            <v>4410</v>
          </cell>
          <cell r="BM102">
            <v>4990</v>
          </cell>
          <cell r="BN102">
            <v>960</v>
          </cell>
          <cell r="BO102">
            <v>1740</v>
          </cell>
          <cell r="BP102">
            <v>720</v>
          </cell>
          <cell r="BQ102">
            <v>1920</v>
          </cell>
          <cell r="BR102"/>
          <cell r="BS102"/>
          <cell r="BT102"/>
          <cell r="BU102"/>
          <cell r="BV102"/>
          <cell r="BW102">
            <v>480</v>
          </cell>
          <cell r="BX102">
            <v>1920</v>
          </cell>
          <cell r="BY102">
            <v>1440</v>
          </cell>
          <cell r="BZ102">
            <v>1680</v>
          </cell>
          <cell r="CA102">
            <v>1440</v>
          </cell>
          <cell r="CB102">
            <v>1200</v>
          </cell>
          <cell r="CC102">
            <v>1440</v>
          </cell>
          <cell r="CD102">
            <v>120</v>
          </cell>
          <cell r="CE102">
            <v>720</v>
          </cell>
          <cell r="CF102">
            <v>480</v>
          </cell>
          <cell r="CG102">
            <v>1440</v>
          </cell>
          <cell r="CH102">
            <v>720</v>
          </cell>
          <cell r="CI102">
            <v>1170</v>
          </cell>
          <cell r="CJ102">
            <v>1680</v>
          </cell>
          <cell r="CK102">
            <v>1440</v>
          </cell>
          <cell r="CL102">
            <v>1680</v>
          </cell>
          <cell r="CM102">
            <v>1680</v>
          </cell>
          <cell r="CN102">
            <v>1920</v>
          </cell>
          <cell r="CO102">
            <v>2400</v>
          </cell>
          <cell r="CP102">
            <v>2400</v>
          </cell>
          <cell r="CQ102">
            <v>3840</v>
          </cell>
          <cell r="CR102">
            <v>2340</v>
          </cell>
          <cell r="CS102">
            <v>3510</v>
          </cell>
          <cell r="CT102">
            <v>3360</v>
          </cell>
          <cell r="CU102">
            <v>2640</v>
          </cell>
          <cell r="CV102">
            <v>2400</v>
          </cell>
          <cell r="CW102">
            <v>2160</v>
          </cell>
          <cell r="CX102">
            <v>2880</v>
          </cell>
          <cell r="CY102">
            <v>2640</v>
          </cell>
          <cell r="CZ102">
            <v>2400</v>
          </cell>
          <cell r="DA102">
            <v>2370</v>
          </cell>
          <cell r="DB102">
            <v>2430</v>
          </cell>
          <cell r="DC102">
            <v>2880</v>
          </cell>
          <cell r="DD102">
            <v>4320</v>
          </cell>
          <cell r="DE102">
            <v>2640</v>
          </cell>
          <cell r="DF102">
            <v>240</v>
          </cell>
          <cell r="DG102" t="str">
            <v>ACTIVO</v>
          </cell>
          <cell r="DH102" t="str">
            <v>B</v>
          </cell>
          <cell r="DI102"/>
          <cell r="DJ102">
            <v>2287.1999999999998</v>
          </cell>
          <cell r="DK102">
            <v>381.2</v>
          </cell>
          <cell r="DL102">
            <v>1195.6116893991782</v>
          </cell>
          <cell r="DM102">
            <v>2160</v>
          </cell>
          <cell r="DN102">
            <v>400464</v>
          </cell>
          <cell r="DO102">
            <v>0.94438614900314799</v>
          </cell>
          <cell r="DP102" t="str">
            <v>OK</v>
          </cell>
          <cell r="DQ102">
            <v>1143.5999999999999</v>
          </cell>
        </row>
        <row r="103">
          <cell r="B103">
            <v>405226</v>
          </cell>
          <cell r="C103" t="str">
            <v>CUPULA 170 BX BUENAVENTURA</v>
          </cell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>
            <v>210</v>
          </cell>
          <cell r="AA103">
            <v>2910</v>
          </cell>
          <cell r="AB103">
            <v>7730</v>
          </cell>
          <cell r="AC103">
            <v>4320</v>
          </cell>
          <cell r="AD103">
            <v>2760</v>
          </cell>
          <cell r="AE103">
            <v>960</v>
          </cell>
          <cell r="AF103">
            <v>7690</v>
          </cell>
          <cell r="AG103">
            <v>3420</v>
          </cell>
          <cell r="AH103">
            <v>5100</v>
          </cell>
          <cell r="AI103">
            <v>3480</v>
          </cell>
          <cell r="AJ103">
            <v>6090</v>
          </cell>
          <cell r="AK103">
            <v>2880</v>
          </cell>
          <cell r="AL103">
            <v>1950</v>
          </cell>
          <cell r="AM103">
            <v>2400</v>
          </cell>
          <cell r="AN103">
            <v>2700</v>
          </cell>
          <cell r="AO103">
            <v>2250</v>
          </cell>
          <cell r="AP103">
            <v>1230</v>
          </cell>
          <cell r="AQ103">
            <v>1920</v>
          </cell>
          <cell r="AR103">
            <v>300</v>
          </cell>
          <cell r="AS103">
            <v>450</v>
          </cell>
          <cell r="AT103"/>
          <cell r="AU103"/>
          <cell r="AV103"/>
          <cell r="AW103"/>
          <cell r="AX103">
            <v>1440</v>
          </cell>
          <cell r="AY103">
            <v>2850</v>
          </cell>
          <cell r="AZ103">
            <v>3840</v>
          </cell>
          <cell r="BA103">
            <v>4920</v>
          </cell>
          <cell r="BB103">
            <v>4200</v>
          </cell>
          <cell r="BC103">
            <v>990</v>
          </cell>
          <cell r="BD103">
            <v>170</v>
          </cell>
          <cell r="BE103">
            <v>4320</v>
          </cell>
          <cell r="BF103">
            <v>2790</v>
          </cell>
          <cell r="BG103">
            <v>5610</v>
          </cell>
          <cell r="BH103">
            <v>1200</v>
          </cell>
          <cell r="BI103"/>
          <cell r="BJ103"/>
          <cell r="BK103">
            <v>3420</v>
          </cell>
          <cell r="BL103">
            <v>1380</v>
          </cell>
          <cell r="BM103">
            <v>600</v>
          </cell>
          <cell r="BN103">
            <v>1800</v>
          </cell>
          <cell r="BO103">
            <v>1650</v>
          </cell>
          <cell r="BP103">
            <v>450</v>
          </cell>
          <cell r="BQ103">
            <v>3060</v>
          </cell>
          <cell r="BR103">
            <v>3330</v>
          </cell>
          <cell r="BS103">
            <v>4080</v>
          </cell>
          <cell r="BT103">
            <v>2940</v>
          </cell>
          <cell r="BU103">
            <v>4650</v>
          </cell>
          <cell r="BV103">
            <v>2900</v>
          </cell>
          <cell r="BW103">
            <v>3220</v>
          </cell>
          <cell r="BX103">
            <v>720</v>
          </cell>
          <cell r="BY103">
            <v>240</v>
          </cell>
          <cell r="BZ103"/>
          <cell r="CA103"/>
          <cell r="CB103"/>
          <cell r="CC103">
            <v>690</v>
          </cell>
          <cell r="CD103">
            <v>2760</v>
          </cell>
          <cell r="CE103">
            <v>870</v>
          </cell>
          <cell r="CF103"/>
          <cell r="CG103">
            <v>1830</v>
          </cell>
          <cell r="CH103">
            <v>390</v>
          </cell>
          <cell r="CI103">
            <v>390</v>
          </cell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 t="str">
            <v>ACTIVO</v>
          </cell>
          <cell r="DH103" t="str">
            <v>B</v>
          </cell>
          <cell r="DI103"/>
          <cell r="DJ103">
            <v>870</v>
          </cell>
          <cell r="DK103">
            <v>145</v>
          </cell>
          <cell r="DL103">
            <v>1742.8781541009353</v>
          </cell>
          <cell r="DM103">
            <v>0</v>
          </cell>
          <cell r="DN103" t="str">
            <v>0</v>
          </cell>
          <cell r="DO103">
            <v>0</v>
          </cell>
          <cell r="DP103" t="str">
            <v>COMPRAR</v>
          </cell>
          <cell r="DQ103">
            <v>290</v>
          </cell>
        </row>
        <row r="104">
          <cell r="B104">
            <v>403244</v>
          </cell>
          <cell r="C104" t="str">
            <v>CUPULA 271 BX DEANDES</v>
          </cell>
          <cell r="D104">
            <v>4500</v>
          </cell>
          <cell r="E104">
            <v>2700</v>
          </cell>
          <cell r="F104">
            <v>4500</v>
          </cell>
          <cell r="G104">
            <v>3600</v>
          </cell>
          <cell r="H104">
            <v>6150</v>
          </cell>
          <cell r="I104">
            <v>4750</v>
          </cell>
          <cell r="J104">
            <v>4800</v>
          </cell>
          <cell r="K104">
            <v>3450</v>
          </cell>
          <cell r="L104">
            <v>4650</v>
          </cell>
          <cell r="M104">
            <v>5700</v>
          </cell>
          <cell r="N104">
            <v>7650</v>
          </cell>
          <cell r="O104">
            <v>4650</v>
          </cell>
          <cell r="P104">
            <v>4350</v>
          </cell>
          <cell r="Q104">
            <v>5700</v>
          </cell>
          <cell r="R104">
            <v>3750</v>
          </cell>
          <cell r="S104">
            <v>4350</v>
          </cell>
          <cell r="T104">
            <v>4350</v>
          </cell>
          <cell r="U104">
            <v>4500</v>
          </cell>
          <cell r="V104">
            <v>6900</v>
          </cell>
          <cell r="W104">
            <v>4500</v>
          </cell>
          <cell r="X104">
            <v>6000</v>
          </cell>
          <cell r="Y104">
            <v>7200</v>
          </cell>
          <cell r="Z104">
            <v>2850</v>
          </cell>
          <cell r="AA104">
            <v>5700</v>
          </cell>
          <cell r="AB104">
            <v>4950</v>
          </cell>
          <cell r="AC104">
            <v>2250</v>
          </cell>
          <cell r="AD104">
            <v>900</v>
          </cell>
          <cell r="AE104">
            <v>1800</v>
          </cell>
          <cell r="AF104">
            <v>4200</v>
          </cell>
          <cell r="AG104">
            <v>3451</v>
          </cell>
          <cell r="AH104">
            <v>8248</v>
          </cell>
          <cell r="AI104">
            <v>4200</v>
          </cell>
          <cell r="AJ104">
            <v>3550</v>
          </cell>
          <cell r="AK104">
            <v>3350</v>
          </cell>
          <cell r="AL104">
            <v>4650</v>
          </cell>
          <cell r="AM104">
            <v>3150</v>
          </cell>
          <cell r="AN104">
            <v>4650</v>
          </cell>
          <cell r="AO104">
            <v>5700</v>
          </cell>
          <cell r="AP104">
            <v>6550</v>
          </cell>
          <cell r="AQ104">
            <v>6675</v>
          </cell>
          <cell r="AR104">
            <v>7050</v>
          </cell>
          <cell r="AS104">
            <v>7650</v>
          </cell>
          <cell r="AT104">
            <v>8850</v>
          </cell>
          <cell r="AU104">
            <v>6450</v>
          </cell>
          <cell r="AV104">
            <v>11850</v>
          </cell>
          <cell r="AW104">
            <v>8250</v>
          </cell>
          <cell r="AX104">
            <v>11550</v>
          </cell>
          <cell r="AY104">
            <v>4950</v>
          </cell>
          <cell r="AZ104">
            <v>8100</v>
          </cell>
          <cell r="BA104">
            <v>4950</v>
          </cell>
          <cell r="BB104">
            <v>1950</v>
          </cell>
          <cell r="BC104">
            <v>5400</v>
          </cell>
          <cell r="BD104">
            <v>5700</v>
          </cell>
          <cell r="BE104">
            <v>4500</v>
          </cell>
          <cell r="BF104">
            <v>6000</v>
          </cell>
          <cell r="BG104">
            <v>2400</v>
          </cell>
          <cell r="BH104">
            <v>5100</v>
          </cell>
          <cell r="BI104">
            <v>7950</v>
          </cell>
          <cell r="BJ104">
            <v>7500</v>
          </cell>
          <cell r="BK104">
            <v>4350</v>
          </cell>
          <cell r="BL104">
            <v>3900</v>
          </cell>
          <cell r="BM104">
            <v>5250</v>
          </cell>
          <cell r="BN104">
            <v>6000</v>
          </cell>
          <cell r="BO104">
            <v>5700</v>
          </cell>
          <cell r="BP104">
            <v>6150</v>
          </cell>
          <cell r="BQ104">
            <v>5250</v>
          </cell>
          <cell r="BR104">
            <v>4050</v>
          </cell>
          <cell r="BS104">
            <v>5250</v>
          </cell>
          <cell r="BT104">
            <v>6900</v>
          </cell>
          <cell r="BU104">
            <v>2700</v>
          </cell>
          <cell r="BV104">
            <v>2400</v>
          </cell>
          <cell r="BW104">
            <v>4800</v>
          </cell>
          <cell r="BX104">
            <v>5100</v>
          </cell>
          <cell r="BY104">
            <v>4500</v>
          </cell>
          <cell r="BZ104">
            <v>6300</v>
          </cell>
          <cell r="CA104">
            <v>4650</v>
          </cell>
          <cell r="CB104">
            <v>5400</v>
          </cell>
          <cell r="CC104">
            <v>2250</v>
          </cell>
          <cell r="CD104">
            <v>1200</v>
          </cell>
          <cell r="CE104">
            <v>1800</v>
          </cell>
          <cell r="CF104">
            <v>900</v>
          </cell>
          <cell r="CG104">
            <v>5250</v>
          </cell>
          <cell r="CH104">
            <v>7050</v>
          </cell>
          <cell r="CI104">
            <v>8100</v>
          </cell>
          <cell r="CJ104">
            <v>6450</v>
          </cell>
          <cell r="CK104">
            <v>7500</v>
          </cell>
          <cell r="CL104">
            <v>7290</v>
          </cell>
          <cell r="CM104">
            <v>7050</v>
          </cell>
          <cell r="CN104">
            <v>8250</v>
          </cell>
          <cell r="CO104">
            <v>6150</v>
          </cell>
          <cell r="CP104">
            <v>2400</v>
          </cell>
          <cell r="CQ104">
            <v>2400</v>
          </cell>
          <cell r="CR104">
            <v>2850</v>
          </cell>
          <cell r="CS104">
            <v>2700</v>
          </cell>
          <cell r="CT104">
            <v>1650</v>
          </cell>
          <cell r="CU104">
            <v>900</v>
          </cell>
          <cell r="CV104">
            <v>1050</v>
          </cell>
          <cell r="CW104">
            <v>1200</v>
          </cell>
          <cell r="CX104">
            <v>1050</v>
          </cell>
          <cell r="CY104">
            <v>1350</v>
          </cell>
          <cell r="CZ104">
            <v>1050</v>
          </cell>
          <cell r="DA104">
            <v>1200</v>
          </cell>
          <cell r="DB104">
            <v>1350</v>
          </cell>
          <cell r="DC104">
            <v>1350</v>
          </cell>
          <cell r="DD104">
            <v>1350</v>
          </cell>
          <cell r="DE104">
            <v>1050</v>
          </cell>
          <cell r="DF104">
            <v>150</v>
          </cell>
          <cell r="DG104" t="str">
            <v>ACTIVO</v>
          </cell>
          <cell r="DH104" t="str">
            <v>A</v>
          </cell>
          <cell r="DI104"/>
          <cell r="DJ104">
            <v>3513.6</v>
          </cell>
          <cell r="DK104">
            <v>585.6</v>
          </cell>
          <cell r="DL104">
            <v>2240.6815919205374</v>
          </cell>
          <cell r="DM104">
            <v>5400</v>
          </cell>
          <cell r="DN104">
            <v>1251450</v>
          </cell>
          <cell r="DO104">
            <v>1.5368852459016393</v>
          </cell>
          <cell r="DP104" t="str">
            <v>OK</v>
          </cell>
          <cell r="DQ104">
            <v>1756.8000000000002</v>
          </cell>
        </row>
        <row r="105">
          <cell r="B105">
            <v>405227</v>
          </cell>
          <cell r="C105" t="str">
            <v>CUPULA 271 BX BUENAVENTURA</v>
          </cell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>
            <v>600</v>
          </cell>
          <cell r="BU105">
            <v>3000</v>
          </cell>
          <cell r="BV105">
            <v>1350</v>
          </cell>
          <cell r="BW105">
            <v>600</v>
          </cell>
          <cell r="BX105">
            <v>300</v>
          </cell>
          <cell r="BY105">
            <v>150</v>
          </cell>
          <cell r="BZ105">
            <v>1050</v>
          </cell>
          <cell r="CA105">
            <v>300</v>
          </cell>
          <cell r="CB105"/>
          <cell r="CC105">
            <v>3450</v>
          </cell>
          <cell r="CD105">
            <v>1350</v>
          </cell>
          <cell r="CE105">
            <v>1260</v>
          </cell>
          <cell r="CF105">
            <v>150</v>
          </cell>
          <cell r="CG105">
            <v>150</v>
          </cell>
          <cell r="CH105">
            <v>1650</v>
          </cell>
          <cell r="CI105">
            <v>450</v>
          </cell>
          <cell r="CJ105">
            <v>450</v>
          </cell>
          <cell r="CK105">
            <v>1200</v>
          </cell>
          <cell r="CL105">
            <v>1050</v>
          </cell>
          <cell r="CM105">
            <v>900</v>
          </cell>
          <cell r="CN105"/>
          <cell r="CO105"/>
          <cell r="CP105"/>
          <cell r="CQ105"/>
          <cell r="CR105"/>
          <cell r="CS105"/>
          <cell r="CT105"/>
          <cell r="CU105"/>
          <cell r="CV105"/>
          <cell r="CW105"/>
          <cell r="CX105"/>
          <cell r="CY105"/>
          <cell r="CZ105"/>
          <cell r="DA105"/>
          <cell r="DB105"/>
          <cell r="DC105"/>
          <cell r="DD105"/>
          <cell r="DE105"/>
          <cell r="DF105"/>
          <cell r="DG105" t="str">
            <v>ACTIVO</v>
          </cell>
          <cell r="DH105" t="str">
            <v>C</v>
          </cell>
          <cell r="DI105"/>
          <cell r="DJ105">
            <v>750</v>
          </cell>
          <cell r="DK105">
            <v>125</v>
          </cell>
          <cell r="DL105">
            <v>1086.8344358314614</v>
          </cell>
          <cell r="DM105">
            <v>0</v>
          </cell>
          <cell r="DN105" t="str">
            <v>0</v>
          </cell>
          <cell r="DO105">
            <v>0</v>
          </cell>
          <cell r="DP105" t="str">
            <v>COMPRAR</v>
          </cell>
          <cell r="DQ105">
            <v>250</v>
          </cell>
        </row>
        <row r="106">
          <cell r="B106">
            <v>107300</v>
          </cell>
          <cell r="C106" t="str">
            <v>COMBO 88 ALTA 12 PP MOLDES PAC</v>
          </cell>
          <cell r="D106">
            <v>12110</v>
          </cell>
          <cell r="E106">
            <v>8050</v>
          </cell>
          <cell r="F106">
            <v>2730</v>
          </cell>
          <cell r="G106">
            <v>9240</v>
          </cell>
          <cell r="H106">
            <v>1960</v>
          </cell>
          <cell r="I106"/>
          <cell r="J106">
            <v>2730</v>
          </cell>
          <cell r="K106">
            <v>1750</v>
          </cell>
          <cell r="L106">
            <v>7280</v>
          </cell>
          <cell r="M106">
            <v>4900</v>
          </cell>
          <cell r="N106">
            <v>6650</v>
          </cell>
          <cell r="O106">
            <v>6020</v>
          </cell>
          <cell r="P106">
            <v>2940</v>
          </cell>
          <cell r="Q106">
            <v>13020</v>
          </cell>
          <cell r="R106">
            <v>7140</v>
          </cell>
          <cell r="S106">
            <v>9100</v>
          </cell>
          <cell r="T106">
            <v>6230</v>
          </cell>
          <cell r="U106">
            <v>11550</v>
          </cell>
          <cell r="V106">
            <v>3990</v>
          </cell>
          <cell r="W106">
            <v>5320</v>
          </cell>
          <cell r="X106">
            <v>10570</v>
          </cell>
          <cell r="Y106">
            <v>8540</v>
          </cell>
          <cell r="Z106">
            <v>9950</v>
          </cell>
          <cell r="AA106">
            <v>4970</v>
          </cell>
          <cell r="AB106">
            <v>5870</v>
          </cell>
          <cell r="AC106">
            <v>490</v>
          </cell>
          <cell r="AD106"/>
          <cell r="AE106">
            <v>140</v>
          </cell>
          <cell r="AF106">
            <v>4300</v>
          </cell>
          <cell r="AG106">
            <v>4060</v>
          </cell>
          <cell r="AH106">
            <v>700</v>
          </cell>
          <cell r="AI106">
            <v>4740</v>
          </cell>
          <cell r="AJ106">
            <v>9450</v>
          </cell>
          <cell r="AK106">
            <v>1410</v>
          </cell>
          <cell r="AL106">
            <v>13170</v>
          </cell>
          <cell r="AM106">
            <v>8740</v>
          </cell>
          <cell r="AN106">
            <v>8880</v>
          </cell>
          <cell r="AO106">
            <v>760</v>
          </cell>
          <cell r="AP106">
            <v>6790</v>
          </cell>
          <cell r="AQ106">
            <v>8160</v>
          </cell>
          <cell r="AR106">
            <v>6180</v>
          </cell>
          <cell r="AS106">
            <v>14650</v>
          </cell>
          <cell r="AT106">
            <v>2720</v>
          </cell>
          <cell r="AU106">
            <v>4100</v>
          </cell>
          <cell r="AV106">
            <v>8610</v>
          </cell>
          <cell r="AW106">
            <v>10390</v>
          </cell>
          <cell r="AX106">
            <v>10280</v>
          </cell>
          <cell r="AY106">
            <v>5340</v>
          </cell>
          <cell r="AZ106">
            <v>5520</v>
          </cell>
          <cell r="BA106">
            <v>8880</v>
          </cell>
          <cell r="BB106">
            <v>12490</v>
          </cell>
          <cell r="BC106">
            <v>15370</v>
          </cell>
          <cell r="BD106">
            <v>4260</v>
          </cell>
          <cell r="BE106">
            <v>5330</v>
          </cell>
          <cell r="BF106">
            <v>3210</v>
          </cell>
          <cell r="BG106">
            <v>17800</v>
          </cell>
          <cell r="BH106">
            <v>4470</v>
          </cell>
          <cell r="BI106">
            <v>13080</v>
          </cell>
          <cell r="BJ106">
            <v>19780</v>
          </cell>
          <cell r="BK106">
            <v>15170</v>
          </cell>
          <cell r="BL106">
            <v>12660</v>
          </cell>
          <cell r="BM106">
            <v>4480</v>
          </cell>
          <cell r="BN106">
            <v>17570</v>
          </cell>
          <cell r="BO106">
            <v>9030</v>
          </cell>
          <cell r="BP106">
            <v>3990</v>
          </cell>
          <cell r="BQ106">
            <v>16240</v>
          </cell>
          <cell r="BR106">
            <v>7000</v>
          </cell>
          <cell r="BS106">
            <v>11480</v>
          </cell>
          <cell r="BT106">
            <v>13580</v>
          </cell>
          <cell r="BU106">
            <v>10220</v>
          </cell>
          <cell r="BV106">
            <v>2240</v>
          </cell>
          <cell r="BW106">
            <v>15120</v>
          </cell>
          <cell r="BX106">
            <v>10080</v>
          </cell>
          <cell r="BY106">
            <v>6720</v>
          </cell>
          <cell r="BZ106">
            <v>5110</v>
          </cell>
          <cell r="CA106">
            <v>9170</v>
          </cell>
          <cell r="CB106">
            <v>8540</v>
          </cell>
          <cell r="CC106">
            <v>12040</v>
          </cell>
          <cell r="CD106">
            <v>11970</v>
          </cell>
          <cell r="CE106">
            <v>3150</v>
          </cell>
          <cell r="CF106"/>
          <cell r="CG106">
            <v>5600</v>
          </cell>
          <cell r="CH106">
            <v>16870</v>
          </cell>
          <cell r="CI106">
            <v>13230</v>
          </cell>
          <cell r="CJ106">
            <v>4690</v>
          </cell>
          <cell r="CK106">
            <v>6370</v>
          </cell>
          <cell r="CL106">
            <v>13930</v>
          </cell>
          <cell r="CM106">
            <v>3220</v>
          </cell>
          <cell r="CN106">
            <v>13980</v>
          </cell>
          <cell r="CO106">
            <v>12970</v>
          </cell>
          <cell r="CP106">
            <v>4340</v>
          </cell>
          <cell r="CQ106">
            <v>10500</v>
          </cell>
          <cell r="CR106">
            <v>9520</v>
          </cell>
          <cell r="CS106">
            <v>1890</v>
          </cell>
          <cell r="CT106">
            <v>6160</v>
          </cell>
          <cell r="CU106">
            <v>4200</v>
          </cell>
          <cell r="CV106">
            <v>1540</v>
          </cell>
          <cell r="CW106">
            <v>1540</v>
          </cell>
          <cell r="CX106">
            <v>1610</v>
          </cell>
          <cell r="CY106">
            <v>13230</v>
          </cell>
          <cell r="CZ106">
            <v>5840</v>
          </cell>
          <cell r="DA106">
            <v>12390</v>
          </cell>
          <cell r="DB106">
            <v>3850</v>
          </cell>
          <cell r="DC106">
            <v>8820</v>
          </cell>
          <cell r="DD106">
            <v>13230</v>
          </cell>
          <cell r="DE106">
            <v>13020</v>
          </cell>
          <cell r="DF106"/>
          <cell r="DG106" t="str">
            <v>ACTIVO</v>
          </cell>
          <cell r="DH106" t="str">
            <v>A</v>
          </cell>
          <cell r="DI106"/>
          <cell r="DJ106">
            <v>7896.666666666667</v>
          </cell>
          <cell r="DK106">
            <v>1316.1111111111111</v>
          </cell>
          <cell r="DL106">
            <v>4892.2838152423692</v>
          </cell>
          <cell r="DM106">
            <v>3150</v>
          </cell>
          <cell r="DN106">
            <v>670950</v>
          </cell>
          <cell r="DO106">
            <v>0.39890249050232163</v>
          </cell>
          <cell r="DP106" t="str">
            <v>OK</v>
          </cell>
          <cell r="DQ106">
            <v>2632.2222222222222</v>
          </cell>
        </row>
        <row r="107">
          <cell r="B107">
            <v>107339</v>
          </cell>
          <cell r="C107" t="str">
            <v>CUPULA TARTA 1025-3 MOLDES PAC</v>
          </cell>
          <cell r="D107">
            <v>70</v>
          </cell>
          <cell r="E107"/>
          <cell r="F107">
            <v>210</v>
          </cell>
          <cell r="G107">
            <v>560</v>
          </cell>
          <cell r="H107">
            <v>770</v>
          </cell>
          <cell r="I107">
            <v>1260</v>
          </cell>
          <cell r="J107">
            <v>1680</v>
          </cell>
          <cell r="K107">
            <v>2450</v>
          </cell>
          <cell r="L107">
            <v>4830</v>
          </cell>
          <cell r="M107">
            <v>3430</v>
          </cell>
          <cell r="N107">
            <v>2450</v>
          </cell>
          <cell r="O107">
            <v>980</v>
          </cell>
          <cell r="P107">
            <v>3430</v>
          </cell>
          <cell r="Q107">
            <v>3780</v>
          </cell>
          <cell r="R107">
            <v>6440</v>
          </cell>
          <cell r="S107">
            <v>3430</v>
          </cell>
          <cell r="T107">
            <v>2900</v>
          </cell>
          <cell r="U107">
            <v>3500</v>
          </cell>
          <cell r="V107">
            <v>5040</v>
          </cell>
          <cell r="W107">
            <v>2730</v>
          </cell>
          <cell r="X107">
            <v>2660</v>
          </cell>
          <cell r="Y107">
            <v>3430</v>
          </cell>
          <cell r="Z107">
            <v>2240</v>
          </cell>
          <cell r="AA107">
            <v>2800</v>
          </cell>
          <cell r="AB107">
            <v>2660</v>
          </cell>
          <cell r="AC107">
            <v>3220</v>
          </cell>
          <cell r="AD107">
            <v>1260</v>
          </cell>
          <cell r="AE107">
            <v>1190</v>
          </cell>
          <cell r="AF107">
            <v>1610</v>
          </cell>
          <cell r="AG107">
            <v>2170</v>
          </cell>
          <cell r="AH107">
            <v>2310</v>
          </cell>
          <cell r="AI107">
            <v>2450</v>
          </cell>
          <cell r="AJ107">
            <v>3990</v>
          </cell>
          <cell r="AK107">
            <v>1750</v>
          </cell>
          <cell r="AL107">
            <v>2800</v>
          </cell>
          <cell r="AM107">
            <v>3430</v>
          </cell>
          <cell r="AN107">
            <v>2310</v>
          </cell>
          <cell r="AO107">
            <v>3920</v>
          </cell>
          <cell r="AP107">
            <v>2520</v>
          </cell>
          <cell r="AQ107">
            <v>3360</v>
          </cell>
          <cell r="AR107">
            <v>3010</v>
          </cell>
          <cell r="AS107">
            <v>3990</v>
          </cell>
          <cell r="AT107">
            <v>3780</v>
          </cell>
          <cell r="AU107">
            <v>2450</v>
          </cell>
          <cell r="AV107">
            <v>3640</v>
          </cell>
          <cell r="AW107">
            <v>2520</v>
          </cell>
          <cell r="AX107">
            <v>2520</v>
          </cell>
          <cell r="AY107">
            <v>3360</v>
          </cell>
          <cell r="AZ107">
            <v>3850</v>
          </cell>
          <cell r="BA107">
            <v>3290</v>
          </cell>
          <cell r="BB107">
            <v>4620</v>
          </cell>
          <cell r="BC107">
            <v>5110</v>
          </cell>
          <cell r="BD107">
            <v>3990</v>
          </cell>
          <cell r="BE107">
            <v>3430</v>
          </cell>
          <cell r="BF107">
            <v>3990</v>
          </cell>
          <cell r="BG107">
            <v>3780</v>
          </cell>
          <cell r="BH107">
            <v>4340</v>
          </cell>
          <cell r="BI107">
            <v>3570</v>
          </cell>
          <cell r="BJ107">
            <v>3220</v>
          </cell>
          <cell r="BK107">
            <v>3290</v>
          </cell>
          <cell r="BL107">
            <v>3640</v>
          </cell>
          <cell r="BM107">
            <v>3640</v>
          </cell>
          <cell r="BN107">
            <v>3360</v>
          </cell>
          <cell r="BO107">
            <v>3780</v>
          </cell>
          <cell r="BP107">
            <v>1400</v>
          </cell>
          <cell r="BQ107">
            <v>4270</v>
          </cell>
          <cell r="BR107">
            <v>4060</v>
          </cell>
          <cell r="BS107">
            <v>4550</v>
          </cell>
          <cell r="BT107">
            <v>3920</v>
          </cell>
          <cell r="BU107">
            <v>2660</v>
          </cell>
          <cell r="BV107">
            <v>2660</v>
          </cell>
          <cell r="BW107">
            <v>2870</v>
          </cell>
          <cell r="BX107">
            <v>1960</v>
          </cell>
          <cell r="BY107">
            <v>2170</v>
          </cell>
          <cell r="BZ107">
            <v>3360</v>
          </cell>
          <cell r="CA107">
            <v>4580</v>
          </cell>
          <cell r="CB107">
            <v>1890</v>
          </cell>
          <cell r="CC107">
            <v>2660</v>
          </cell>
          <cell r="CD107">
            <v>1890</v>
          </cell>
          <cell r="CE107">
            <v>1120</v>
          </cell>
          <cell r="CF107">
            <v>1050</v>
          </cell>
          <cell r="CG107">
            <v>2450</v>
          </cell>
          <cell r="CH107">
            <v>2660</v>
          </cell>
          <cell r="CI107">
            <v>2240</v>
          </cell>
          <cell r="CJ107">
            <v>2170</v>
          </cell>
          <cell r="CK107">
            <v>2590</v>
          </cell>
          <cell r="CL107">
            <v>2170</v>
          </cell>
          <cell r="CM107">
            <v>2240</v>
          </cell>
          <cell r="CN107">
            <v>2660</v>
          </cell>
          <cell r="CO107">
            <v>2520</v>
          </cell>
          <cell r="CP107">
            <v>2730</v>
          </cell>
          <cell r="CQ107">
            <v>2590</v>
          </cell>
          <cell r="CR107">
            <v>2800</v>
          </cell>
          <cell r="CS107">
            <v>2520</v>
          </cell>
          <cell r="CT107">
            <v>6130</v>
          </cell>
          <cell r="CU107">
            <v>12280</v>
          </cell>
          <cell r="CV107">
            <v>8400</v>
          </cell>
          <cell r="CW107">
            <v>5670</v>
          </cell>
          <cell r="CX107">
            <v>6230</v>
          </cell>
          <cell r="CY107">
            <v>3500</v>
          </cell>
          <cell r="CZ107">
            <v>3850</v>
          </cell>
          <cell r="DA107">
            <v>6860</v>
          </cell>
          <cell r="DB107">
            <v>3080</v>
          </cell>
          <cell r="DC107">
            <v>2800</v>
          </cell>
          <cell r="DD107">
            <v>4970</v>
          </cell>
          <cell r="DE107">
            <v>4130</v>
          </cell>
          <cell r="DF107">
            <v>490</v>
          </cell>
          <cell r="DG107" t="str">
            <v>ACTIVO</v>
          </cell>
          <cell r="DH107" t="str">
            <v>B</v>
          </cell>
          <cell r="DI107"/>
          <cell r="DJ107">
            <v>3886.4</v>
          </cell>
          <cell r="DK107">
            <v>647.73333333333335</v>
          </cell>
          <cell r="DL107">
            <v>949.12177724496371</v>
          </cell>
          <cell r="DM107">
            <v>9450</v>
          </cell>
          <cell r="DN107">
            <v>2447172</v>
          </cell>
          <cell r="DO107">
            <v>2.4315561959654177</v>
          </cell>
          <cell r="DP107" t="str">
            <v>OK</v>
          </cell>
          <cell r="DQ107">
            <v>1295.4666666666667</v>
          </cell>
        </row>
        <row r="108">
          <cell r="B108">
            <v>403210</v>
          </cell>
          <cell r="C108" t="str">
            <v>CUPULA TORTA 15PP (98-45) MONSALVE CENCOSUD</v>
          </cell>
          <cell r="D108"/>
          <cell r="E108"/>
          <cell r="F108"/>
          <cell r="G108"/>
          <cell r="H108"/>
          <cell r="I108"/>
          <cell r="J108">
            <v>770</v>
          </cell>
          <cell r="K108">
            <v>210</v>
          </cell>
          <cell r="L108">
            <v>240</v>
          </cell>
          <cell r="M108">
            <v>1190</v>
          </cell>
          <cell r="N108"/>
          <cell r="O108">
            <v>210</v>
          </cell>
          <cell r="P108">
            <v>280</v>
          </cell>
          <cell r="Q108">
            <v>490</v>
          </cell>
          <cell r="R108">
            <v>350</v>
          </cell>
          <cell r="S108">
            <v>5390</v>
          </cell>
          <cell r="T108">
            <v>350</v>
          </cell>
          <cell r="U108">
            <v>1190</v>
          </cell>
          <cell r="V108">
            <v>1150</v>
          </cell>
          <cell r="W108">
            <v>280</v>
          </cell>
          <cell r="X108">
            <v>1190</v>
          </cell>
          <cell r="Y108">
            <v>1530</v>
          </cell>
          <cell r="Z108">
            <v>490</v>
          </cell>
          <cell r="AA108">
            <v>630</v>
          </cell>
          <cell r="AB108">
            <v>1070</v>
          </cell>
          <cell r="AC108">
            <v>420</v>
          </cell>
          <cell r="AD108"/>
          <cell r="AE108">
            <v>100</v>
          </cell>
          <cell r="AF108"/>
          <cell r="AG108"/>
          <cell r="AH108"/>
          <cell r="AI108"/>
          <cell r="AJ108"/>
          <cell r="AK108"/>
          <cell r="AL108"/>
          <cell r="AM108"/>
          <cell r="AN108"/>
          <cell r="AO108"/>
          <cell r="AP108"/>
          <cell r="AQ108"/>
          <cell r="AR108">
            <v>70</v>
          </cell>
          <cell r="AS108"/>
          <cell r="AT108"/>
          <cell r="AU108"/>
          <cell r="AV108"/>
          <cell r="AW108"/>
          <cell r="AX108"/>
          <cell r="AY108">
            <v>70</v>
          </cell>
          <cell r="AZ108">
            <v>420</v>
          </cell>
          <cell r="BA108">
            <v>560</v>
          </cell>
          <cell r="BB108">
            <v>560</v>
          </cell>
          <cell r="BC108"/>
          <cell r="BD108">
            <v>210</v>
          </cell>
          <cell r="BE108"/>
          <cell r="BF108"/>
          <cell r="BG108">
            <v>70</v>
          </cell>
          <cell r="BH108"/>
          <cell r="BI108"/>
          <cell r="BJ108"/>
          <cell r="BK108"/>
          <cell r="BL108"/>
          <cell r="BM108"/>
          <cell r="BN108"/>
          <cell r="BO108"/>
          <cell r="BP108"/>
          <cell r="BQ108"/>
          <cell r="BR108"/>
          <cell r="BS108"/>
          <cell r="BT108"/>
          <cell r="BU108"/>
          <cell r="BV108"/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  <cell r="CJ108"/>
          <cell r="CK108"/>
          <cell r="CL108"/>
          <cell r="CM108"/>
          <cell r="CN108"/>
          <cell r="CO108"/>
          <cell r="CP108"/>
          <cell r="CQ108"/>
          <cell r="CR108"/>
          <cell r="CS108"/>
          <cell r="CT108"/>
          <cell r="CU108"/>
          <cell r="CV108"/>
          <cell r="CW108"/>
          <cell r="CX108"/>
          <cell r="CY108"/>
          <cell r="CZ108"/>
          <cell r="DA108"/>
          <cell r="DB108"/>
          <cell r="DC108"/>
          <cell r="DD108"/>
          <cell r="DE108"/>
          <cell r="DF108"/>
          <cell r="DG108" t="str">
            <v>ACTIVO</v>
          </cell>
          <cell r="DH108" t="str">
            <v>C</v>
          </cell>
          <cell r="DI108"/>
          <cell r="DJ108">
            <v>0</v>
          </cell>
          <cell r="DK108">
            <v>0</v>
          </cell>
          <cell r="DL108">
            <v>221.02036105300343</v>
          </cell>
          <cell r="DM108">
            <v>0</v>
          </cell>
          <cell r="DN108" t="str">
            <v>0</v>
          </cell>
          <cell r="DO108">
            <v>0</v>
          </cell>
          <cell r="DP108" t="str">
            <v>COMPRAR</v>
          </cell>
          <cell r="DQ108">
            <v>0</v>
          </cell>
        </row>
        <row r="109">
          <cell r="B109">
            <v>405278</v>
          </cell>
          <cell r="C109" t="str">
            <v>CUPULA TORTA 15PP (98-45) MOLDESPAC</v>
          </cell>
          <cell r="D109"/>
          <cell r="E109"/>
          <cell r="F109"/>
          <cell r="G109"/>
          <cell r="H109"/>
          <cell r="I109"/>
          <cell r="J109"/>
          <cell r="K109">
            <v>210</v>
          </cell>
          <cell r="L109"/>
          <cell r="M109"/>
          <cell r="N109">
            <v>350</v>
          </cell>
          <cell r="O109"/>
          <cell r="P109">
            <v>560</v>
          </cell>
          <cell r="Q109"/>
          <cell r="R109">
            <v>210</v>
          </cell>
          <cell r="S109">
            <v>70</v>
          </cell>
          <cell r="T109"/>
          <cell r="U109"/>
          <cell r="V109">
            <v>270</v>
          </cell>
          <cell r="W109"/>
          <cell r="X109"/>
          <cell r="Y109">
            <v>10</v>
          </cell>
          <cell r="Z109"/>
          <cell r="AA109"/>
          <cell r="AB109"/>
          <cell r="AC109">
            <v>140</v>
          </cell>
          <cell r="AD109">
            <v>280</v>
          </cell>
          <cell r="AE109">
            <v>140</v>
          </cell>
          <cell r="AF109">
            <v>950</v>
          </cell>
          <cell r="AG109">
            <v>1050</v>
          </cell>
          <cell r="AH109">
            <v>7640</v>
          </cell>
          <cell r="AI109">
            <v>7210</v>
          </cell>
          <cell r="AJ109">
            <v>910</v>
          </cell>
          <cell r="AK109">
            <v>330</v>
          </cell>
          <cell r="AL109">
            <v>720</v>
          </cell>
          <cell r="AM109">
            <v>560</v>
          </cell>
          <cell r="AN109">
            <v>5110</v>
          </cell>
          <cell r="AO109">
            <v>1330</v>
          </cell>
          <cell r="AP109">
            <v>3080</v>
          </cell>
          <cell r="AQ109">
            <v>420</v>
          </cell>
          <cell r="AR109">
            <v>980</v>
          </cell>
          <cell r="AS109">
            <v>980</v>
          </cell>
          <cell r="AT109">
            <v>1050</v>
          </cell>
          <cell r="AU109">
            <v>490</v>
          </cell>
          <cell r="AV109">
            <v>910</v>
          </cell>
          <cell r="AW109">
            <v>770</v>
          </cell>
          <cell r="AX109">
            <v>840</v>
          </cell>
          <cell r="AY109">
            <v>2240</v>
          </cell>
          <cell r="AZ109">
            <v>210</v>
          </cell>
          <cell r="BA109">
            <v>800</v>
          </cell>
          <cell r="BB109">
            <v>2530</v>
          </cell>
          <cell r="BC109">
            <v>2560</v>
          </cell>
          <cell r="BD109">
            <v>1110</v>
          </cell>
          <cell r="BE109">
            <v>1000</v>
          </cell>
          <cell r="BF109">
            <v>1300</v>
          </cell>
          <cell r="BG109">
            <v>3178</v>
          </cell>
          <cell r="BH109">
            <v>1570</v>
          </cell>
          <cell r="BI109">
            <v>1750</v>
          </cell>
          <cell r="BJ109">
            <v>2380</v>
          </cell>
          <cell r="BK109">
            <v>1400</v>
          </cell>
          <cell r="BL109">
            <v>1260</v>
          </cell>
          <cell r="BM109">
            <v>3080</v>
          </cell>
          <cell r="BN109">
            <v>2590</v>
          </cell>
          <cell r="BO109">
            <v>2170</v>
          </cell>
          <cell r="BP109">
            <v>350</v>
          </cell>
          <cell r="BQ109">
            <v>1750</v>
          </cell>
          <cell r="BR109">
            <v>1400</v>
          </cell>
          <cell r="BS109">
            <v>2030</v>
          </cell>
          <cell r="BT109">
            <v>1750</v>
          </cell>
          <cell r="BU109">
            <v>3360</v>
          </cell>
          <cell r="BV109">
            <v>770</v>
          </cell>
          <cell r="BW109">
            <v>1960</v>
          </cell>
          <cell r="BX109">
            <v>420</v>
          </cell>
          <cell r="BY109">
            <v>560</v>
          </cell>
          <cell r="BZ109">
            <v>2030</v>
          </cell>
          <cell r="CA109">
            <v>1540</v>
          </cell>
          <cell r="CB109">
            <v>1260</v>
          </cell>
          <cell r="CC109">
            <v>2590</v>
          </cell>
          <cell r="CD109">
            <v>770</v>
          </cell>
          <cell r="CE109">
            <v>1260</v>
          </cell>
          <cell r="CF109">
            <v>210</v>
          </cell>
          <cell r="CG109">
            <v>840</v>
          </cell>
          <cell r="CH109">
            <v>1330</v>
          </cell>
          <cell r="CI109">
            <v>770</v>
          </cell>
          <cell r="CJ109">
            <v>420</v>
          </cell>
          <cell r="CK109">
            <v>1190</v>
          </cell>
          <cell r="CL109">
            <v>770</v>
          </cell>
          <cell r="CM109">
            <v>980</v>
          </cell>
          <cell r="CN109">
            <v>1120</v>
          </cell>
          <cell r="CO109">
            <v>1120</v>
          </cell>
          <cell r="CP109">
            <v>3150</v>
          </cell>
          <cell r="CQ109">
            <v>700</v>
          </cell>
          <cell r="CR109">
            <v>840</v>
          </cell>
          <cell r="CS109">
            <v>560</v>
          </cell>
          <cell r="CT109">
            <v>770</v>
          </cell>
          <cell r="CU109">
            <v>560</v>
          </cell>
          <cell r="CV109">
            <v>490</v>
          </cell>
          <cell r="CW109"/>
          <cell r="CX109">
            <v>1120</v>
          </cell>
          <cell r="CY109">
            <v>1050</v>
          </cell>
          <cell r="CZ109">
            <v>560</v>
          </cell>
          <cell r="DA109">
            <v>700</v>
          </cell>
          <cell r="DB109">
            <v>770</v>
          </cell>
          <cell r="DC109">
            <v>9870</v>
          </cell>
          <cell r="DD109">
            <v>910</v>
          </cell>
          <cell r="DE109">
            <v>420</v>
          </cell>
          <cell r="DF109">
            <v>350</v>
          </cell>
          <cell r="DG109" t="str">
            <v>ACTIVO</v>
          </cell>
          <cell r="DH109" t="str">
            <v>B</v>
          </cell>
          <cell r="DI109"/>
          <cell r="DJ109">
            <v>1283.3333333333333</v>
          </cell>
          <cell r="DK109">
            <v>213.88888888888889</v>
          </cell>
          <cell r="DL109">
            <v>1498.2567334998043</v>
          </cell>
          <cell r="DM109">
            <v>3640</v>
          </cell>
          <cell r="DN109">
            <v>891800</v>
          </cell>
          <cell r="DO109">
            <v>2.8363636363636364</v>
          </cell>
          <cell r="DP109" t="str">
            <v>OK</v>
          </cell>
          <cell r="DQ109">
            <v>427.77777777777777</v>
          </cell>
        </row>
        <row r="110">
          <cell r="B110">
            <v>403231</v>
          </cell>
          <cell r="C110" t="str">
            <v>CUPULA TORTA ALTA  15PP (98-5) MONSALVE CENCOSUD</v>
          </cell>
          <cell r="D110">
            <v>8540</v>
          </cell>
          <cell r="E110">
            <v>12670</v>
          </cell>
          <cell r="F110">
            <v>12810</v>
          </cell>
          <cell r="G110">
            <v>10790</v>
          </cell>
          <cell r="H110">
            <v>6370</v>
          </cell>
          <cell r="I110"/>
          <cell r="J110">
            <v>5110</v>
          </cell>
          <cell r="K110">
            <v>13860</v>
          </cell>
          <cell r="L110">
            <v>13440</v>
          </cell>
          <cell r="M110">
            <v>9030</v>
          </cell>
          <cell r="N110">
            <v>7420</v>
          </cell>
          <cell r="O110">
            <v>9801.0499999999993</v>
          </cell>
          <cell r="P110">
            <v>9100</v>
          </cell>
          <cell r="Q110">
            <v>6720</v>
          </cell>
          <cell r="R110">
            <v>10080</v>
          </cell>
          <cell r="S110">
            <v>7000</v>
          </cell>
          <cell r="T110">
            <v>5350</v>
          </cell>
          <cell r="U110">
            <v>12530</v>
          </cell>
          <cell r="V110">
            <v>2380</v>
          </cell>
          <cell r="W110">
            <v>210</v>
          </cell>
          <cell r="X110">
            <v>6860</v>
          </cell>
          <cell r="Y110"/>
          <cell r="Z110">
            <v>2940</v>
          </cell>
          <cell r="AA110">
            <v>2720</v>
          </cell>
          <cell r="AB110">
            <v>2520</v>
          </cell>
          <cell r="AC110">
            <v>8330</v>
          </cell>
          <cell r="AD110">
            <v>1260</v>
          </cell>
          <cell r="AE110">
            <v>3150</v>
          </cell>
          <cell r="AF110">
            <v>1120</v>
          </cell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>
            <v>1500</v>
          </cell>
          <cell r="AS110">
            <v>2450</v>
          </cell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>
            <v>1330</v>
          </cell>
          <cell r="BK110">
            <v>980</v>
          </cell>
          <cell r="BL110">
            <v>910</v>
          </cell>
          <cell r="BM110">
            <v>14770</v>
          </cell>
          <cell r="BN110">
            <v>840</v>
          </cell>
          <cell r="BO110">
            <v>2100</v>
          </cell>
          <cell r="BP110">
            <v>1190</v>
          </cell>
          <cell r="BQ110">
            <v>2380</v>
          </cell>
          <cell r="BR110"/>
          <cell r="BS110"/>
          <cell r="BT110"/>
          <cell r="BU110">
            <v>2310</v>
          </cell>
          <cell r="BV110">
            <v>2240</v>
          </cell>
          <cell r="BW110">
            <v>1890</v>
          </cell>
          <cell r="BX110">
            <v>1680</v>
          </cell>
          <cell r="BY110">
            <v>1890</v>
          </cell>
          <cell r="BZ110">
            <v>3570</v>
          </cell>
          <cell r="CA110">
            <v>3010</v>
          </cell>
          <cell r="CB110">
            <v>2170</v>
          </cell>
          <cell r="CC110">
            <v>2870</v>
          </cell>
          <cell r="CD110">
            <v>1680</v>
          </cell>
          <cell r="CE110"/>
          <cell r="CF110">
            <v>1190</v>
          </cell>
          <cell r="CG110">
            <v>630</v>
          </cell>
          <cell r="CH110"/>
          <cell r="CI110">
            <v>1750</v>
          </cell>
          <cell r="CJ110">
            <v>2030</v>
          </cell>
          <cell r="CK110">
            <v>2100</v>
          </cell>
          <cell r="CL110">
            <v>3080</v>
          </cell>
          <cell r="CM110">
            <v>3010</v>
          </cell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 t="str">
            <v>SIN USO</v>
          </cell>
          <cell r="DH110" t="str">
            <v>B</v>
          </cell>
          <cell r="DI110"/>
          <cell r="DJ110">
            <v>1970</v>
          </cell>
          <cell r="DK110">
            <v>328.33333333333331</v>
          </cell>
          <cell r="DL110">
            <v>2832.8941727391434</v>
          </cell>
          <cell r="DM110">
            <v>0</v>
          </cell>
          <cell r="DN110" t="str">
            <v>0</v>
          </cell>
          <cell r="DO110">
            <v>0</v>
          </cell>
          <cell r="DP110" t="str">
            <v>INACTIVO</v>
          </cell>
          <cell r="DQ110">
            <v>656.66666666666663</v>
          </cell>
        </row>
        <row r="111">
          <cell r="B111">
            <v>405375</v>
          </cell>
          <cell r="C111" t="str">
            <v>CUPULA TORTA ALTA  15PP (98-5) FOOD PACK</v>
          </cell>
          <cell r="D111"/>
          <cell r="E111"/>
          <cell r="F111"/>
          <cell r="G111"/>
          <cell r="H111">
            <v>10880</v>
          </cell>
          <cell r="I111">
            <v>11760</v>
          </cell>
          <cell r="J111">
            <v>5950</v>
          </cell>
          <cell r="K111">
            <v>3640</v>
          </cell>
          <cell r="L111"/>
          <cell r="M111">
            <v>3290</v>
          </cell>
          <cell r="N111"/>
          <cell r="O111"/>
          <cell r="P111">
            <v>1260</v>
          </cell>
          <cell r="Q111"/>
          <cell r="R111"/>
          <cell r="S111"/>
          <cell r="T111">
            <v>2240</v>
          </cell>
          <cell r="U111">
            <v>1120</v>
          </cell>
          <cell r="V111">
            <v>3710</v>
          </cell>
          <cell r="W111"/>
          <cell r="X111">
            <v>2940</v>
          </cell>
          <cell r="Y111">
            <v>3690</v>
          </cell>
          <cell r="Z111"/>
          <cell r="AA111">
            <v>2590</v>
          </cell>
          <cell r="AB111">
            <v>1840</v>
          </cell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 t="str">
            <v>SIN USO</v>
          </cell>
          <cell r="DH111" t="str">
            <v/>
          </cell>
          <cell r="DI111"/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 t="str">
            <v>0</v>
          </cell>
          <cell r="DO111">
            <v>0</v>
          </cell>
          <cell r="DP111" t="str">
            <v>INACTIVO</v>
          </cell>
          <cell r="DQ111">
            <v>0</v>
          </cell>
        </row>
        <row r="112">
          <cell r="B112">
            <v>405283</v>
          </cell>
          <cell r="C112" t="str">
            <v>CUPULA TORTA ALTA SISA FPS</v>
          </cell>
          <cell r="D112">
            <v>2800</v>
          </cell>
          <cell r="E112">
            <v>3500</v>
          </cell>
          <cell r="F112">
            <v>2400</v>
          </cell>
          <cell r="G112">
            <v>5700</v>
          </cell>
          <cell r="H112">
            <v>25200</v>
          </cell>
          <cell r="I112">
            <v>200</v>
          </cell>
          <cell r="J112"/>
          <cell r="K112">
            <v>3100</v>
          </cell>
          <cell r="L112">
            <v>5600</v>
          </cell>
          <cell r="M112">
            <v>1200</v>
          </cell>
          <cell r="N112">
            <v>1400</v>
          </cell>
          <cell r="O112">
            <v>1000</v>
          </cell>
          <cell r="P112">
            <v>7000</v>
          </cell>
          <cell r="Q112">
            <v>3000</v>
          </cell>
          <cell r="R112">
            <v>3800</v>
          </cell>
          <cell r="S112">
            <v>2600</v>
          </cell>
          <cell r="T112">
            <v>3400</v>
          </cell>
          <cell r="U112">
            <v>2400</v>
          </cell>
          <cell r="V112">
            <v>1800</v>
          </cell>
          <cell r="W112">
            <v>3000</v>
          </cell>
          <cell r="X112">
            <v>2400</v>
          </cell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 t="str">
            <v>SIN USO</v>
          </cell>
          <cell r="DH112" t="str">
            <v/>
          </cell>
          <cell r="DI112"/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 t="str">
            <v>0</v>
          </cell>
          <cell r="DO112">
            <v>0</v>
          </cell>
          <cell r="DP112" t="str">
            <v>INACTIVO</v>
          </cell>
          <cell r="DQ112">
            <v>0</v>
          </cell>
        </row>
        <row r="113">
          <cell r="B113">
            <v>405284</v>
          </cell>
          <cell r="C113" t="str">
            <v>CUPULA TORTA ALTA CON TOPE WALMART FPS</v>
          </cell>
          <cell r="D113">
            <v>400</v>
          </cell>
          <cell r="E113">
            <v>8000</v>
          </cell>
          <cell r="F113">
            <v>27200</v>
          </cell>
          <cell r="G113">
            <v>19700</v>
          </cell>
          <cell r="H113">
            <v>23300</v>
          </cell>
          <cell r="I113">
            <v>7300</v>
          </cell>
          <cell r="J113">
            <v>8200</v>
          </cell>
          <cell r="K113">
            <v>1400</v>
          </cell>
          <cell r="L113"/>
          <cell r="M113"/>
          <cell r="N113"/>
          <cell r="O113"/>
          <cell r="P113">
            <v>2400</v>
          </cell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  <cell r="CR113"/>
          <cell r="CS113"/>
          <cell r="CT113"/>
          <cell r="CU113"/>
          <cell r="CV113"/>
          <cell r="CW113"/>
          <cell r="CX113"/>
          <cell r="CY113"/>
          <cell r="CZ113"/>
          <cell r="DA113"/>
          <cell r="DB113"/>
          <cell r="DC113"/>
          <cell r="DD113"/>
          <cell r="DE113"/>
          <cell r="DF113"/>
          <cell r="DG113" t="str">
            <v>SIN USO</v>
          </cell>
          <cell r="DH113" t="str">
            <v/>
          </cell>
          <cell r="DI113"/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 t="str">
            <v>0</v>
          </cell>
          <cell r="DO113">
            <v>0</v>
          </cell>
          <cell r="DP113" t="str">
            <v>INACTIVO</v>
          </cell>
          <cell r="DQ113">
            <v>0</v>
          </cell>
        </row>
        <row r="114">
          <cell r="B114">
            <v>405501</v>
          </cell>
          <cell r="C114" t="str">
            <v>BASE TORTA CON TOPE COEXPAN</v>
          </cell>
          <cell r="D114"/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>
            <v>6000</v>
          </cell>
          <cell r="AL114">
            <v>1000</v>
          </cell>
          <cell r="AM114">
            <v>4000</v>
          </cell>
          <cell r="AN114">
            <v>5200</v>
          </cell>
          <cell r="AO114">
            <v>4400</v>
          </cell>
          <cell r="AP114">
            <v>9100</v>
          </cell>
          <cell r="AQ114">
            <v>7300</v>
          </cell>
          <cell r="AR114"/>
          <cell r="AS114"/>
          <cell r="AT114"/>
          <cell r="AU114"/>
          <cell r="AV114"/>
          <cell r="AW114"/>
          <cell r="AX114">
            <v>5000</v>
          </cell>
          <cell r="AY114">
            <v>5600</v>
          </cell>
          <cell r="AZ114">
            <v>1800</v>
          </cell>
          <cell r="BA114">
            <v>600</v>
          </cell>
          <cell r="BB114"/>
          <cell r="BC114"/>
          <cell r="BD114"/>
          <cell r="BE114"/>
          <cell r="BF114"/>
          <cell r="BG114"/>
          <cell r="BH114"/>
          <cell r="BI114"/>
          <cell r="BJ114"/>
          <cell r="BK114"/>
          <cell r="BL114"/>
          <cell r="BM114">
            <v>200</v>
          </cell>
          <cell r="BN114">
            <v>2400</v>
          </cell>
          <cell r="BO114">
            <v>9100</v>
          </cell>
          <cell r="BP114">
            <v>2800</v>
          </cell>
          <cell r="BQ114">
            <v>13400</v>
          </cell>
          <cell r="BR114"/>
          <cell r="BS114">
            <v>2000</v>
          </cell>
          <cell r="BT114">
            <v>3000</v>
          </cell>
          <cell r="BU114">
            <v>400</v>
          </cell>
          <cell r="BV114">
            <v>600</v>
          </cell>
          <cell r="BW114">
            <v>1400</v>
          </cell>
          <cell r="BX114"/>
          <cell r="BY114">
            <v>800</v>
          </cell>
          <cell r="BZ114"/>
          <cell r="CA114"/>
          <cell r="CB114"/>
          <cell r="CC114">
            <v>400</v>
          </cell>
          <cell r="CD114">
            <v>7000</v>
          </cell>
          <cell r="CE114">
            <v>2000</v>
          </cell>
          <cell r="CF114">
            <v>3000</v>
          </cell>
          <cell r="CG114">
            <v>1600</v>
          </cell>
          <cell r="CH114">
            <v>400</v>
          </cell>
          <cell r="CI114">
            <v>1200</v>
          </cell>
          <cell r="CJ114"/>
          <cell r="CK114"/>
          <cell r="CL114"/>
          <cell r="CM114">
            <v>3800</v>
          </cell>
          <cell r="CN114"/>
          <cell r="CO114">
            <v>600</v>
          </cell>
          <cell r="CP114">
            <v>300</v>
          </cell>
          <cell r="CQ114"/>
          <cell r="CR114"/>
          <cell r="CS114"/>
          <cell r="CT114"/>
          <cell r="CU114"/>
          <cell r="CV114"/>
          <cell r="CW114"/>
          <cell r="CX114"/>
          <cell r="CY114">
            <v>200</v>
          </cell>
          <cell r="CZ114"/>
          <cell r="DA114"/>
          <cell r="DB114"/>
          <cell r="DC114"/>
          <cell r="DD114"/>
          <cell r="DE114"/>
          <cell r="DF114"/>
          <cell r="DG114" t="str">
            <v>SIN USO</v>
          </cell>
          <cell r="DH114" t="str">
            <v>C</v>
          </cell>
          <cell r="DI114"/>
          <cell r="DJ114">
            <v>1387.5</v>
          </cell>
          <cell r="DK114">
            <v>231.25</v>
          </cell>
          <cell r="DL114">
            <v>3390.7963666371948</v>
          </cell>
          <cell r="DM114">
            <v>0</v>
          </cell>
          <cell r="DN114" t="str">
            <v>0</v>
          </cell>
          <cell r="DO114">
            <v>0</v>
          </cell>
          <cell r="DP114" t="str">
            <v>INACTIVO</v>
          </cell>
          <cell r="DQ114">
            <v>462.5</v>
          </cell>
        </row>
        <row r="115">
          <cell r="B115">
            <v>107281</v>
          </cell>
          <cell r="C115" t="str">
            <v>BLISTER 7189 1 PASTEL BUENAVENTURA</v>
          </cell>
          <cell r="D115"/>
          <cell r="E115"/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>
            <v>4800</v>
          </cell>
          <cell r="BI115">
            <v>6000</v>
          </cell>
          <cell r="BJ115"/>
          <cell r="BK115">
            <v>5700</v>
          </cell>
          <cell r="BL115">
            <v>20700</v>
          </cell>
          <cell r="BM115">
            <v>17700</v>
          </cell>
          <cell r="BN115">
            <v>14900</v>
          </cell>
          <cell r="BO115">
            <v>16100</v>
          </cell>
          <cell r="BP115">
            <v>3500</v>
          </cell>
          <cell r="BQ115">
            <v>9400</v>
          </cell>
          <cell r="BR115">
            <v>21700</v>
          </cell>
          <cell r="BS115">
            <v>10100</v>
          </cell>
          <cell r="BT115">
            <v>15000</v>
          </cell>
          <cell r="BU115">
            <v>13500</v>
          </cell>
          <cell r="BV115">
            <v>2800</v>
          </cell>
          <cell r="BW115">
            <v>16500</v>
          </cell>
          <cell r="BX115">
            <v>8400</v>
          </cell>
          <cell r="BY115">
            <v>7000</v>
          </cell>
          <cell r="BZ115"/>
          <cell r="CA115"/>
          <cell r="CB115"/>
          <cell r="CC115">
            <v>1800</v>
          </cell>
          <cell r="CD115">
            <v>2900</v>
          </cell>
          <cell r="CE115">
            <v>2800</v>
          </cell>
          <cell r="CF115"/>
          <cell r="CG115"/>
          <cell r="CH115">
            <v>2400</v>
          </cell>
          <cell r="CI115">
            <v>7400</v>
          </cell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 t="str">
            <v>SIN USO</v>
          </cell>
          <cell r="DH115" t="str">
            <v>C</v>
          </cell>
          <cell r="DI115"/>
          <cell r="DJ115">
            <v>4900</v>
          </cell>
          <cell r="DK115">
            <v>816.66666666666663</v>
          </cell>
          <cell r="DL115">
            <v>6441.4181995157433</v>
          </cell>
          <cell r="DM115">
            <v>0</v>
          </cell>
          <cell r="DN115" t="str">
            <v>0</v>
          </cell>
          <cell r="DO115">
            <v>0</v>
          </cell>
          <cell r="DP115" t="str">
            <v>INACTIVO</v>
          </cell>
          <cell r="DQ115">
            <v>1633.3333333333333</v>
          </cell>
        </row>
        <row r="116">
          <cell r="B116">
            <v>405489</v>
          </cell>
          <cell r="C116" t="str">
            <v>CUPULA TARTA 1025-5 MOLDES PAC</v>
          </cell>
          <cell r="D116"/>
          <cell r="E116"/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>
            <v>1120</v>
          </cell>
          <cell r="AG116">
            <v>840</v>
          </cell>
          <cell r="AH116"/>
          <cell r="AI116"/>
          <cell r="AJ116"/>
          <cell r="AK116"/>
          <cell r="AL116"/>
          <cell r="AM116"/>
          <cell r="AN116">
            <v>350</v>
          </cell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>
            <v>140</v>
          </cell>
          <cell r="AZ116"/>
          <cell r="BA116"/>
          <cell r="BB116">
            <v>350</v>
          </cell>
          <cell r="BC116"/>
          <cell r="BD116"/>
          <cell r="BE116"/>
          <cell r="BF116"/>
          <cell r="BG116">
            <v>210</v>
          </cell>
          <cell r="BH116"/>
          <cell r="BI116">
            <v>280</v>
          </cell>
          <cell r="BJ116"/>
          <cell r="BK116">
            <v>280</v>
          </cell>
          <cell r="BL116"/>
          <cell r="BM116">
            <v>1400</v>
          </cell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>
            <v>490</v>
          </cell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>
            <v>1300</v>
          </cell>
          <cell r="CV116">
            <v>70</v>
          </cell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 t="str">
            <v>SIN USO</v>
          </cell>
          <cell r="DH116" t="str">
            <v>C</v>
          </cell>
          <cell r="DI116"/>
          <cell r="DJ116">
            <v>685</v>
          </cell>
          <cell r="DK116">
            <v>114.16666666666667</v>
          </cell>
          <cell r="DL116">
            <v>427.4524015087008</v>
          </cell>
          <cell r="DM116">
            <v>2170</v>
          </cell>
          <cell r="DN116">
            <v>535990</v>
          </cell>
          <cell r="DO116">
            <v>3.167883211678832</v>
          </cell>
          <cell r="DP116" t="str">
            <v>INACTIVO</v>
          </cell>
          <cell r="DQ116">
            <v>228.33333333333334</v>
          </cell>
        </row>
        <row r="117">
          <cell r="B117">
            <v>403208</v>
          </cell>
          <cell r="C117" t="str">
            <v>BLISTER PARA BERLINES ART 401-A DEANDES</v>
          </cell>
          <cell r="D117"/>
          <cell r="E117"/>
          <cell r="F117"/>
          <cell r="G117">
            <v>3150</v>
          </cell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/>
          <cell r="BA117"/>
          <cell r="BB117"/>
          <cell r="BC117"/>
          <cell r="BD117"/>
          <cell r="BE117"/>
          <cell r="BF117"/>
          <cell r="BG117"/>
          <cell r="BH117"/>
          <cell r="BI117"/>
          <cell r="BJ117"/>
          <cell r="BK117"/>
          <cell r="BL117"/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  <cell r="CO117"/>
          <cell r="CP117"/>
          <cell r="CQ117"/>
          <cell r="CR117"/>
          <cell r="CS117"/>
          <cell r="CT117"/>
          <cell r="CU117"/>
          <cell r="CV117"/>
          <cell r="CW117"/>
          <cell r="CX117"/>
          <cell r="CY117"/>
          <cell r="CZ117"/>
          <cell r="DA117"/>
          <cell r="DB117"/>
          <cell r="DC117"/>
          <cell r="DD117"/>
          <cell r="DE117"/>
          <cell r="DF117"/>
          <cell r="DG117" t="str">
            <v>SIN USO</v>
          </cell>
          <cell r="DH117" t="str">
            <v/>
          </cell>
          <cell r="DI117"/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 t="str">
            <v>0</v>
          </cell>
          <cell r="DO117">
            <v>0</v>
          </cell>
          <cell r="DP117" t="str">
            <v>INACTIVO</v>
          </cell>
          <cell r="DQ117">
            <v>0</v>
          </cell>
        </row>
        <row r="118">
          <cell r="B118">
            <v>405635</v>
          </cell>
          <cell r="C118" t="str">
            <v>CLAMSHELL 3-3 BAT RECT. ECOPLASTIC</v>
          </cell>
          <cell r="D118"/>
          <cell r="E118"/>
          <cell r="F118"/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>
            <v>2000</v>
          </cell>
          <cell r="BV118"/>
          <cell r="BW118">
            <v>2000</v>
          </cell>
          <cell r="BX118">
            <v>800</v>
          </cell>
          <cell r="BY118">
            <v>1600</v>
          </cell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 t="str">
            <v>SIN USO</v>
          </cell>
          <cell r="DH118" t="str">
            <v>C</v>
          </cell>
          <cell r="DI118"/>
          <cell r="DJ118">
            <v>0</v>
          </cell>
          <cell r="DK118">
            <v>0</v>
          </cell>
          <cell r="DL118">
            <v>565.68542494923804</v>
          </cell>
          <cell r="DM118">
            <v>0</v>
          </cell>
          <cell r="DN118" t="str">
            <v>0</v>
          </cell>
          <cell r="DO118">
            <v>0</v>
          </cell>
          <cell r="DP118" t="str">
            <v>INACTIVO</v>
          </cell>
          <cell r="DQ118">
            <v>0</v>
          </cell>
        </row>
        <row r="119">
          <cell r="B119">
            <v>405594</v>
          </cell>
          <cell r="C119" t="str">
            <v>CUPULA TORTA 15PP OSKUPACK</v>
          </cell>
          <cell r="D119"/>
          <cell r="E119"/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/>
          <cell r="BG119"/>
          <cell r="BH119"/>
          <cell r="BI119"/>
          <cell r="BJ119"/>
          <cell r="BK119"/>
          <cell r="BL119"/>
          <cell r="BM119"/>
          <cell r="BN119"/>
          <cell r="BO119"/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BZ119"/>
          <cell r="CA119"/>
          <cell r="CB119">
            <v>0</v>
          </cell>
          <cell r="CC119"/>
          <cell r="CD119"/>
          <cell r="CE119"/>
          <cell r="CF119"/>
          <cell r="CG119"/>
          <cell r="CH119"/>
          <cell r="CI119"/>
          <cell r="CJ119"/>
          <cell r="CK119"/>
          <cell r="CL119"/>
          <cell r="CM119"/>
          <cell r="CN119"/>
          <cell r="CO119"/>
          <cell r="CP119"/>
          <cell r="CQ119"/>
          <cell r="CR119"/>
          <cell r="CS119"/>
          <cell r="CT119"/>
          <cell r="CU119"/>
          <cell r="CV119"/>
          <cell r="CW119"/>
          <cell r="CX119"/>
          <cell r="CY119"/>
          <cell r="CZ119"/>
          <cell r="DA119"/>
          <cell r="DB119"/>
          <cell r="DC119"/>
          <cell r="DD119"/>
          <cell r="DE119"/>
          <cell r="DF119"/>
          <cell r="DG119" t="str">
            <v>SIN USO</v>
          </cell>
          <cell r="DH119">
            <v>0</v>
          </cell>
          <cell r="DI119"/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 t="str">
            <v>0</v>
          </cell>
          <cell r="DO119">
            <v>0</v>
          </cell>
          <cell r="DP119" t="str">
            <v>INACTIVO</v>
          </cell>
          <cell r="DQ119">
            <v>0</v>
          </cell>
        </row>
        <row r="120">
          <cell r="B120">
            <v>403225</v>
          </cell>
          <cell r="C120" t="str">
            <v>CUPULA 170B DEANDES</v>
          </cell>
          <cell r="D120">
            <v>5160</v>
          </cell>
          <cell r="E120">
            <v>120</v>
          </cell>
          <cell r="F120">
            <v>960</v>
          </cell>
          <cell r="G120"/>
          <cell r="H120"/>
          <cell r="I120">
            <v>720</v>
          </cell>
          <cell r="J120">
            <v>720</v>
          </cell>
          <cell r="K120"/>
          <cell r="L120"/>
          <cell r="M120">
            <v>1200</v>
          </cell>
          <cell r="N120"/>
          <cell r="O120"/>
          <cell r="P120">
            <v>960</v>
          </cell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P120"/>
          <cell r="AQ120"/>
          <cell r="AR120"/>
          <cell r="AS120"/>
          <cell r="AT120"/>
          <cell r="AU120"/>
          <cell r="AV120"/>
          <cell r="AW120"/>
          <cell r="AX120"/>
          <cell r="AY120"/>
          <cell r="AZ120"/>
          <cell r="BA120"/>
          <cell r="BB120"/>
          <cell r="BC120"/>
          <cell r="BD120"/>
          <cell r="BE120"/>
          <cell r="BF120"/>
          <cell r="BG120"/>
          <cell r="BH120"/>
          <cell r="BI120"/>
          <cell r="BJ120"/>
          <cell r="BK120"/>
          <cell r="BL120"/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  <cell r="CL120"/>
          <cell r="CM120"/>
          <cell r="CN120"/>
          <cell r="CO120"/>
          <cell r="CP120"/>
          <cell r="CQ120"/>
          <cell r="CR120"/>
          <cell r="CS120"/>
          <cell r="CT120"/>
          <cell r="CU120"/>
          <cell r="CV120"/>
          <cell r="CW120"/>
          <cell r="CX120"/>
          <cell r="CY120"/>
          <cell r="CZ120"/>
          <cell r="DA120"/>
          <cell r="DB120"/>
          <cell r="DC120"/>
          <cell r="DD120"/>
          <cell r="DE120"/>
          <cell r="DF120"/>
          <cell r="DG120" t="str">
            <v>SIN USO</v>
          </cell>
          <cell r="DH120" t="str">
            <v/>
          </cell>
          <cell r="DI120"/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 t="str">
            <v>0</v>
          </cell>
          <cell r="DO120">
            <v>0</v>
          </cell>
          <cell r="DP120" t="str">
            <v>INACTIVO</v>
          </cell>
          <cell r="DQ120">
            <v>0</v>
          </cell>
        </row>
        <row r="121">
          <cell r="B121">
            <v>403248</v>
          </cell>
          <cell r="C121" t="str">
            <v>CUPULA 15 PP ALTA WALMART</v>
          </cell>
          <cell r="D121">
            <v>25200</v>
          </cell>
          <cell r="E121">
            <v>11200</v>
          </cell>
          <cell r="F121">
            <v>600</v>
          </cell>
          <cell r="G121"/>
          <cell r="H121">
            <v>12500</v>
          </cell>
          <cell r="I121">
            <v>20900</v>
          </cell>
          <cell r="J121">
            <v>16000</v>
          </cell>
          <cell r="K121">
            <v>13300</v>
          </cell>
          <cell r="L121">
            <v>27700</v>
          </cell>
          <cell r="M121">
            <v>24500</v>
          </cell>
          <cell r="N121">
            <v>39000</v>
          </cell>
          <cell r="O121">
            <v>7400</v>
          </cell>
          <cell r="P121">
            <v>25200</v>
          </cell>
          <cell r="Q121">
            <v>24100</v>
          </cell>
          <cell r="R121">
            <v>25200</v>
          </cell>
          <cell r="S121">
            <v>27300</v>
          </cell>
          <cell r="T121">
            <v>30400</v>
          </cell>
          <cell r="U121">
            <v>23600</v>
          </cell>
          <cell r="V121">
            <v>38300</v>
          </cell>
          <cell r="W121">
            <v>27800</v>
          </cell>
          <cell r="X121">
            <v>25700</v>
          </cell>
          <cell r="Y121">
            <v>40900</v>
          </cell>
          <cell r="Z121">
            <v>12700</v>
          </cell>
          <cell r="AA121">
            <v>22200</v>
          </cell>
          <cell r="AB121">
            <v>33100</v>
          </cell>
          <cell r="AC121">
            <v>13100</v>
          </cell>
          <cell r="AD121">
            <v>10400</v>
          </cell>
          <cell r="AE121">
            <v>6200</v>
          </cell>
          <cell r="AF121">
            <v>22800</v>
          </cell>
          <cell r="AG121">
            <v>22800</v>
          </cell>
          <cell r="AH121">
            <v>28701</v>
          </cell>
          <cell r="AI121">
            <v>33804</v>
          </cell>
          <cell r="AJ121">
            <v>25000</v>
          </cell>
          <cell r="AK121">
            <v>20000</v>
          </cell>
          <cell r="AL121">
            <v>13100</v>
          </cell>
          <cell r="AM121">
            <v>12700</v>
          </cell>
          <cell r="AN121">
            <v>9200</v>
          </cell>
          <cell r="AO121">
            <v>17300</v>
          </cell>
          <cell r="AP121">
            <v>7000</v>
          </cell>
          <cell r="AQ121">
            <v>20700</v>
          </cell>
          <cell r="AR121">
            <v>23100</v>
          </cell>
          <cell r="AS121">
            <v>37900</v>
          </cell>
          <cell r="AT121">
            <v>20900</v>
          </cell>
          <cell r="AU121">
            <v>31600</v>
          </cell>
          <cell r="AV121">
            <v>40000</v>
          </cell>
          <cell r="AW121">
            <v>22900</v>
          </cell>
          <cell r="AX121">
            <v>23800</v>
          </cell>
          <cell r="AY121">
            <v>20700</v>
          </cell>
          <cell r="AZ121">
            <v>31000</v>
          </cell>
          <cell r="BA121">
            <v>34900</v>
          </cell>
          <cell r="BB121">
            <v>16400</v>
          </cell>
          <cell r="BC121">
            <v>22200</v>
          </cell>
          <cell r="BD121">
            <v>27600</v>
          </cell>
          <cell r="BE121">
            <v>18000</v>
          </cell>
          <cell r="BF121">
            <v>18600</v>
          </cell>
          <cell r="BG121">
            <v>14700</v>
          </cell>
          <cell r="BH121">
            <v>36000</v>
          </cell>
          <cell r="BI121">
            <v>17500</v>
          </cell>
          <cell r="BJ121">
            <v>18100</v>
          </cell>
          <cell r="BK121">
            <v>14900</v>
          </cell>
          <cell r="BL121">
            <v>18700</v>
          </cell>
          <cell r="BM121">
            <v>23300</v>
          </cell>
          <cell r="BN121">
            <v>8700</v>
          </cell>
          <cell r="BO121">
            <v>17100</v>
          </cell>
          <cell r="BP121">
            <v>3700</v>
          </cell>
          <cell r="BQ121">
            <v>29000</v>
          </cell>
          <cell r="BR121">
            <v>18700</v>
          </cell>
          <cell r="BS121">
            <v>28400</v>
          </cell>
          <cell r="BT121">
            <v>15100</v>
          </cell>
          <cell r="BU121">
            <v>11900</v>
          </cell>
          <cell r="BV121">
            <v>14000</v>
          </cell>
          <cell r="BW121">
            <v>12400</v>
          </cell>
          <cell r="BX121">
            <v>10200</v>
          </cell>
          <cell r="BY121">
            <v>17000</v>
          </cell>
          <cell r="BZ121">
            <v>19000</v>
          </cell>
          <cell r="CA121">
            <v>12300</v>
          </cell>
          <cell r="CB121">
            <v>8900</v>
          </cell>
          <cell r="CC121">
            <v>18700</v>
          </cell>
          <cell r="CD121">
            <v>5200</v>
          </cell>
          <cell r="CE121">
            <v>6800</v>
          </cell>
          <cell r="CF121">
            <v>6800</v>
          </cell>
          <cell r="CG121">
            <v>16700</v>
          </cell>
          <cell r="CH121">
            <v>14600</v>
          </cell>
          <cell r="CI121">
            <v>14000</v>
          </cell>
          <cell r="CJ121">
            <v>11800</v>
          </cell>
          <cell r="CK121">
            <v>11600</v>
          </cell>
          <cell r="CL121">
            <v>5200</v>
          </cell>
          <cell r="CM121"/>
          <cell r="CN121">
            <v>5600</v>
          </cell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 t="str">
            <v>SIN USO</v>
          </cell>
          <cell r="DH121" t="str">
            <v>A</v>
          </cell>
          <cell r="DI121"/>
          <cell r="DJ121">
            <v>10787.5</v>
          </cell>
          <cell r="DK121">
            <v>1797.9166666666667</v>
          </cell>
          <cell r="DL121">
            <v>8706.2474914950599</v>
          </cell>
          <cell r="DM121">
            <v>0</v>
          </cell>
          <cell r="DN121" t="str">
            <v>0</v>
          </cell>
          <cell r="DO121">
            <v>0</v>
          </cell>
          <cell r="DP121" t="str">
            <v>INACTIVO</v>
          </cell>
          <cell r="DQ121">
            <v>3595.8333333333335</v>
          </cell>
        </row>
        <row r="122">
          <cell r="B122">
            <v>403249</v>
          </cell>
          <cell r="C122" t="str">
            <v>CUPULA 15 PP BAJA WALMART</v>
          </cell>
          <cell r="D122"/>
          <cell r="E122"/>
          <cell r="F122"/>
          <cell r="G122"/>
          <cell r="H122"/>
          <cell r="I122"/>
          <cell r="J122">
            <v>700</v>
          </cell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 t="str">
            <v>SIN USO</v>
          </cell>
          <cell r="DH122" t="str">
            <v/>
          </cell>
          <cell r="DI122"/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 t="str">
            <v>0</v>
          </cell>
          <cell r="DO122">
            <v>0</v>
          </cell>
          <cell r="DP122" t="str">
            <v>INACTIVO</v>
          </cell>
          <cell r="DQ122">
            <v>0</v>
          </cell>
        </row>
        <row r="123">
          <cell r="B123">
            <v>405380</v>
          </cell>
          <cell r="C123" t="str">
            <v>CUPULA TORTA ALTA  15PP (98-5) FPS</v>
          </cell>
          <cell r="D123"/>
          <cell r="E123"/>
          <cell r="F123"/>
          <cell r="G123"/>
          <cell r="H123"/>
          <cell r="I123"/>
          <cell r="J123">
            <v>1330</v>
          </cell>
          <cell r="K123">
            <v>3500</v>
          </cell>
          <cell r="L123"/>
          <cell r="M123">
            <v>1610</v>
          </cell>
          <cell r="N123">
            <v>1750</v>
          </cell>
          <cell r="O123"/>
          <cell r="P123">
            <v>350</v>
          </cell>
          <cell r="Q123">
            <v>1330</v>
          </cell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 t="str">
            <v>SIN USO</v>
          </cell>
          <cell r="DH123" t="str">
            <v/>
          </cell>
          <cell r="DI123"/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 t="str">
            <v>0</v>
          </cell>
          <cell r="DO123">
            <v>0</v>
          </cell>
          <cell r="DP123" t="str">
            <v>INACTIVO</v>
          </cell>
          <cell r="DQ123">
            <v>0</v>
          </cell>
        </row>
        <row r="124">
          <cell r="B124">
            <v>403251</v>
          </cell>
          <cell r="C124" t="str">
            <v>CUPULA 98-9 ALTA 12 PP MONSALVE</v>
          </cell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>
            <v>980</v>
          </cell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 t="str">
            <v>SIN USO</v>
          </cell>
          <cell r="DH124" t="str">
            <v/>
          </cell>
          <cell r="DI124"/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 t="str">
            <v>0</v>
          </cell>
          <cell r="DO124">
            <v>0</v>
          </cell>
          <cell r="DP124" t="str">
            <v>INACTIVO</v>
          </cell>
          <cell r="DQ124">
            <v>0</v>
          </cell>
        </row>
        <row r="125">
          <cell r="B125">
            <v>405374</v>
          </cell>
          <cell r="C125" t="str">
            <v>COMBO 88 ALTA 12 PP FOOD PACK</v>
          </cell>
          <cell r="D125"/>
          <cell r="E125"/>
          <cell r="F125"/>
          <cell r="G125"/>
          <cell r="H125">
            <v>2100</v>
          </cell>
          <cell r="I125">
            <v>9170</v>
          </cell>
          <cell r="J125">
            <v>4900</v>
          </cell>
          <cell r="K125">
            <v>8050</v>
          </cell>
          <cell r="L125">
            <v>5110</v>
          </cell>
          <cell r="M125">
            <v>420</v>
          </cell>
          <cell r="N125"/>
          <cell r="O125"/>
          <cell r="P125"/>
          <cell r="Q125"/>
          <cell r="R125"/>
          <cell r="S125"/>
          <cell r="T125">
            <v>70</v>
          </cell>
          <cell r="U125"/>
          <cell r="V125">
            <v>2310</v>
          </cell>
          <cell r="W125"/>
          <cell r="X125">
            <v>700</v>
          </cell>
          <cell r="Y125">
            <v>140</v>
          </cell>
          <cell r="Z125"/>
          <cell r="AA125">
            <v>980</v>
          </cell>
          <cell r="AB125"/>
          <cell r="AC125"/>
          <cell r="AD125"/>
          <cell r="AE125">
            <v>3290</v>
          </cell>
          <cell r="AF125"/>
          <cell r="AG125">
            <v>2460</v>
          </cell>
          <cell r="AH125">
            <v>1290</v>
          </cell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 t="str">
            <v>SIN USO</v>
          </cell>
          <cell r="DH125" t="str">
            <v>C</v>
          </cell>
          <cell r="DI125"/>
          <cell r="DJ125">
            <v>0</v>
          </cell>
          <cell r="DK125">
            <v>0</v>
          </cell>
          <cell r="DL125">
            <v>1004.8051220676241</v>
          </cell>
          <cell r="DM125">
            <v>0</v>
          </cell>
          <cell r="DN125" t="str">
            <v>0</v>
          </cell>
          <cell r="DO125">
            <v>0</v>
          </cell>
          <cell r="DP125" t="str">
            <v>INACTIVO</v>
          </cell>
          <cell r="DQ125">
            <v>0</v>
          </cell>
        </row>
        <row r="126">
          <cell r="B126">
            <v>107402</v>
          </cell>
          <cell r="C126" t="str">
            <v>CUPULA MINI TORTA BASE NEGRA 15,5x7,5 FOOD PACK</v>
          </cell>
          <cell r="D126"/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>
            <v>2000</v>
          </cell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 t="str">
            <v>SIN USO</v>
          </cell>
          <cell r="DH126" t="str">
            <v/>
          </cell>
          <cell r="DI126"/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 t="str">
            <v>0</v>
          </cell>
          <cell r="DO126">
            <v>0</v>
          </cell>
          <cell r="DP126" t="str">
            <v>INACTIVO</v>
          </cell>
          <cell r="DQ126">
            <v>0</v>
          </cell>
        </row>
        <row r="127">
          <cell r="B127"/>
          <cell r="C127"/>
          <cell r="D127">
            <v>109820</v>
          </cell>
          <cell r="E127">
            <v>108920</v>
          </cell>
          <cell r="F127">
            <v>108860</v>
          </cell>
          <cell r="G127">
            <v>114730</v>
          </cell>
          <cell r="H127">
            <v>150550</v>
          </cell>
          <cell r="I127">
            <v>110660</v>
          </cell>
          <cell r="J127">
            <v>109010</v>
          </cell>
          <cell r="K127">
            <v>97600</v>
          </cell>
          <cell r="L127">
            <v>138890</v>
          </cell>
          <cell r="M127">
            <v>103750</v>
          </cell>
          <cell r="N127">
            <v>115970</v>
          </cell>
          <cell r="O127">
            <v>35701.050000000003</v>
          </cell>
          <cell r="P127">
            <v>115430</v>
          </cell>
          <cell r="Q127">
            <v>115860</v>
          </cell>
          <cell r="R127">
            <v>104330</v>
          </cell>
          <cell r="S127">
            <v>108960</v>
          </cell>
          <cell r="T127">
            <v>110890</v>
          </cell>
          <cell r="U127">
            <v>110110</v>
          </cell>
          <cell r="V127">
            <v>148450</v>
          </cell>
          <cell r="W127">
            <v>81320</v>
          </cell>
          <cell r="X127">
            <v>86710</v>
          </cell>
          <cell r="Y127">
            <v>86220</v>
          </cell>
          <cell r="Z127">
            <v>95130</v>
          </cell>
          <cell r="AA127">
            <v>108200</v>
          </cell>
          <cell r="AB127">
            <v>106830</v>
          </cell>
          <cell r="AC127">
            <v>84870</v>
          </cell>
          <cell r="AD127">
            <v>23880</v>
          </cell>
          <cell r="AE127">
            <v>23570</v>
          </cell>
          <cell r="AF127">
            <v>115330</v>
          </cell>
          <cell r="AG127">
            <v>92881</v>
          </cell>
          <cell r="AH127">
            <v>117039</v>
          </cell>
          <cell r="AI127">
            <v>115174</v>
          </cell>
          <cell r="AJ127">
            <v>91300</v>
          </cell>
          <cell r="AK127">
            <v>90130</v>
          </cell>
          <cell r="AL127">
            <v>88930</v>
          </cell>
          <cell r="AM127">
            <v>91750</v>
          </cell>
          <cell r="AN127">
            <v>118700</v>
          </cell>
          <cell r="AO127">
            <v>107920</v>
          </cell>
          <cell r="AP127">
            <v>105220</v>
          </cell>
          <cell r="AQ127">
            <v>118295</v>
          </cell>
          <cell r="AR127">
            <v>123970</v>
          </cell>
          <cell r="AS127">
            <v>125250</v>
          </cell>
          <cell r="AT127">
            <v>132740</v>
          </cell>
          <cell r="AU127">
            <v>108130</v>
          </cell>
          <cell r="AV127">
            <v>128710</v>
          </cell>
          <cell r="AW127">
            <v>108990</v>
          </cell>
          <cell r="AX127">
            <v>126070</v>
          </cell>
          <cell r="AY127">
            <v>89200</v>
          </cell>
          <cell r="AZ127">
            <v>121820</v>
          </cell>
          <cell r="BA127">
            <v>133160</v>
          </cell>
          <cell r="BB127">
            <v>89880</v>
          </cell>
          <cell r="BC127">
            <v>114847</v>
          </cell>
          <cell r="BD127">
            <v>114490</v>
          </cell>
          <cell r="BE127">
            <v>117030</v>
          </cell>
          <cell r="BF127">
            <v>84210</v>
          </cell>
          <cell r="BG127">
            <v>109568</v>
          </cell>
          <cell r="BH127">
            <v>188690</v>
          </cell>
          <cell r="BI127">
            <v>99840</v>
          </cell>
          <cell r="BJ127">
            <v>121540</v>
          </cell>
          <cell r="BK127">
            <v>117800</v>
          </cell>
          <cell r="BL127">
            <v>146170</v>
          </cell>
          <cell r="BM127">
            <v>119800</v>
          </cell>
          <cell r="BN127">
            <v>125120</v>
          </cell>
          <cell r="BO127">
            <v>100770</v>
          </cell>
          <cell r="BP127">
            <v>48150</v>
          </cell>
          <cell r="BQ127">
            <v>146700</v>
          </cell>
          <cell r="BR127">
            <v>96500</v>
          </cell>
          <cell r="BS127">
            <v>114530</v>
          </cell>
          <cell r="BT127">
            <v>106380</v>
          </cell>
          <cell r="BU127">
            <v>106310</v>
          </cell>
          <cell r="BV127">
            <v>90760</v>
          </cell>
          <cell r="BW127">
            <v>97730</v>
          </cell>
          <cell r="BX127">
            <v>73920</v>
          </cell>
          <cell r="BY127">
            <v>78950</v>
          </cell>
          <cell r="BZ127">
            <v>93370</v>
          </cell>
          <cell r="CA127">
            <v>91290</v>
          </cell>
          <cell r="CB127">
            <v>72200</v>
          </cell>
          <cell r="CC127">
            <v>93990</v>
          </cell>
          <cell r="CD127">
            <v>86630</v>
          </cell>
          <cell r="CE127">
            <v>41000</v>
          </cell>
          <cell r="CF127">
            <v>28480</v>
          </cell>
          <cell r="CG127">
            <v>96370</v>
          </cell>
          <cell r="CH127">
            <v>100530</v>
          </cell>
          <cell r="CI127">
            <v>119250</v>
          </cell>
          <cell r="CJ127">
            <v>82360</v>
          </cell>
          <cell r="CK127">
            <v>93360</v>
          </cell>
          <cell r="CL127">
            <v>110110</v>
          </cell>
          <cell r="CM127">
            <v>108830</v>
          </cell>
          <cell r="CN127">
            <v>93160</v>
          </cell>
          <cell r="CO127">
            <v>103750</v>
          </cell>
          <cell r="CP127">
            <v>111380</v>
          </cell>
          <cell r="CQ127">
            <v>105130</v>
          </cell>
          <cell r="CR127">
            <v>126980</v>
          </cell>
          <cell r="CS127">
            <v>94600</v>
          </cell>
          <cell r="CT127">
            <v>138740</v>
          </cell>
          <cell r="CU127">
            <v>147990</v>
          </cell>
          <cell r="CV127">
            <v>158550</v>
          </cell>
          <cell r="CW127">
            <v>110270</v>
          </cell>
          <cell r="CX127">
            <v>84630</v>
          </cell>
          <cell r="CY127">
            <v>158370</v>
          </cell>
          <cell r="CZ127">
            <v>122000</v>
          </cell>
          <cell r="DA127">
            <v>123130</v>
          </cell>
          <cell r="DB127">
            <v>103380</v>
          </cell>
          <cell r="DC127">
            <v>129710</v>
          </cell>
          <cell r="DD127">
            <v>103700</v>
          </cell>
          <cell r="DE127">
            <v>105500</v>
          </cell>
          <cell r="DF127">
            <v>14830</v>
          </cell>
          <cell r="DG127" t="str">
            <v>ACTIVO</v>
          </cell>
          <cell r="DH127" t="str">
            <v/>
          </cell>
          <cell r="DI127"/>
          <cell r="DJ127">
            <v>110190.39999999999</v>
          </cell>
          <cell r="DK127">
            <v>18365.066666666666</v>
          </cell>
          <cell r="DL127">
            <v>26331.773710044297</v>
          </cell>
          <cell r="DM127">
            <v>0</v>
          </cell>
          <cell r="DN127" t="str">
            <v>0</v>
          </cell>
          <cell r="DO127">
            <v>0</v>
          </cell>
          <cell r="DP127" t="str">
            <v>INACTIVO</v>
          </cell>
          <cell r="DQ127">
            <v>0</v>
          </cell>
        </row>
        <row r="128">
          <cell r="B128">
            <v>405721</v>
          </cell>
          <cell r="C128" t="str">
            <v>ETIQUETA COLOR CREMA 245X40 OPP</v>
          </cell>
          <cell r="D128"/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>
            <v>39000</v>
          </cell>
          <cell r="CS128">
            <v>41000</v>
          </cell>
          <cell r="CT128">
            <v>71000</v>
          </cell>
          <cell r="CU128">
            <v>82000</v>
          </cell>
          <cell r="CV128">
            <v>65000</v>
          </cell>
          <cell r="CW128">
            <v>80000</v>
          </cell>
          <cell r="CX128">
            <v>11000</v>
          </cell>
          <cell r="CY128">
            <v>42000</v>
          </cell>
          <cell r="CZ128">
            <v>46000</v>
          </cell>
          <cell r="DA128">
            <v>38000</v>
          </cell>
          <cell r="DB128">
            <v>56000</v>
          </cell>
          <cell r="DC128">
            <v>43000</v>
          </cell>
          <cell r="DD128">
            <v>32000</v>
          </cell>
          <cell r="DE128">
            <v>22000</v>
          </cell>
          <cell r="DF128"/>
          <cell r="DG128" t="str">
            <v>ACTIVO</v>
          </cell>
          <cell r="DH128" t="str">
            <v/>
          </cell>
          <cell r="DI128"/>
          <cell r="DJ128">
            <v>49692.307692307695</v>
          </cell>
          <cell r="DK128">
            <v>8282.0512820512831</v>
          </cell>
          <cell r="DL128">
            <v>0</v>
          </cell>
          <cell r="DM128">
            <v>82000</v>
          </cell>
          <cell r="DN128">
            <v>1697400</v>
          </cell>
          <cell r="DO128">
            <v>1.6501547987616099</v>
          </cell>
          <cell r="DP128" t="str">
            <v>OK</v>
          </cell>
          <cell r="DQ128">
            <v>49692.307692307702</v>
          </cell>
        </row>
        <row r="129">
          <cell r="B129">
            <v>405717</v>
          </cell>
          <cell r="C129" t="str">
            <v>ETIQ. CIRCULAR 90cm IMPR. OPP TORTA SELVA NEGRA WALMART</v>
          </cell>
          <cell r="D129"/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>
            <v>10000</v>
          </cell>
          <cell r="CS129"/>
          <cell r="CT129">
            <v>5000</v>
          </cell>
          <cell r="CU129">
            <v>5000</v>
          </cell>
          <cell r="CV129"/>
          <cell r="CW129">
            <v>7000</v>
          </cell>
          <cell r="CX129"/>
          <cell r="CY129"/>
          <cell r="CZ129">
            <v>7000</v>
          </cell>
          <cell r="DA129">
            <v>3000</v>
          </cell>
          <cell r="DB129">
            <v>5000</v>
          </cell>
          <cell r="DC129"/>
          <cell r="DD129">
            <v>5000</v>
          </cell>
          <cell r="DE129"/>
          <cell r="DF129"/>
          <cell r="DG129" t="str">
            <v>ACTIVO</v>
          </cell>
          <cell r="DH129" t="str">
            <v/>
          </cell>
          <cell r="DI129"/>
          <cell r="DJ129">
            <v>5875</v>
          </cell>
          <cell r="DK129">
            <v>979.16666666666663</v>
          </cell>
          <cell r="DL129">
            <v>0</v>
          </cell>
          <cell r="DM129">
            <v>0</v>
          </cell>
          <cell r="DN129" t="str">
            <v>0</v>
          </cell>
          <cell r="DO129">
            <v>0</v>
          </cell>
          <cell r="DP129" t="str">
            <v>COMPRAR</v>
          </cell>
          <cell r="DQ129">
            <v>5875</v>
          </cell>
        </row>
        <row r="130">
          <cell r="B130">
            <v>405709</v>
          </cell>
          <cell r="C130" t="str">
            <v>ETIQ. CIRCULAR 90cm IMPR. OPP TORTA PIÑA WALMART</v>
          </cell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>
            <v>7000</v>
          </cell>
          <cell r="CS130"/>
          <cell r="CT130"/>
          <cell r="CU130">
            <v>2000</v>
          </cell>
          <cell r="CV130">
            <v>2000</v>
          </cell>
          <cell r="CW130"/>
          <cell r="CX130"/>
          <cell r="CY130">
            <v>3000</v>
          </cell>
          <cell r="CZ130">
            <v>2000</v>
          </cell>
          <cell r="DA130">
            <v>3000</v>
          </cell>
          <cell r="DB130">
            <v>6000</v>
          </cell>
          <cell r="DC130"/>
          <cell r="DD130"/>
          <cell r="DE130"/>
          <cell r="DF130"/>
          <cell r="DG130" t="str">
            <v>ACTIVO</v>
          </cell>
          <cell r="DH130" t="str">
            <v/>
          </cell>
          <cell r="DI130"/>
          <cell r="DJ130">
            <v>3571.4285714285716</v>
          </cell>
          <cell r="DK130">
            <v>595.2380952380953</v>
          </cell>
          <cell r="DL130">
            <v>0</v>
          </cell>
          <cell r="DM130">
            <v>12000</v>
          </cell>
          <cell r="DN130">
            <v>272400</v>
          </cell>
          <cell r="DO130">
            <v>3.36</v>
          </cell>
          <cell r="DP130" t="str">
            <v>OK</v>
          </cell>
          <cell r="DQ130">
            <v>3571.4285714285716</v>
          </cell>
        </row>
        <row r="131">
          <cell r="B131">
            <v>405720</v>
          </cell>
          <cell r="C131" t="str">
            <v>ETIQ. CIRCULAR 80cm IMPR. OPP TORTA CHOCOLATE WALMART</v>
          </cell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>
            <v>5000</v>
          </cell>
          <cell r="CS131"/>
          <cell r="CT131"/>
          <cell r="CU131">
            <v>4000</v>
          </cell>
          <cell r="CV131"/>
          <cell r="CW131"/>
          <cell r="CX131"/>
          <cell r="CY131">
            <v>3000</v>
          </cell>
          <cell r="CZ131">
            <v>4000</v>
          </cell>
          <cell r="DA131">
            <v>3000</v>
          </cell>
          <cell r="DB131">
            <v>3000</v>
          </cell>
          <cell r="DC131">
            <v>6000</v>
          </cell>
          <cell r="DD131">
            <v>6000</v>
          </cell>
          <cell r="DE131"/>
          <cell r="DF131"/>
          <cell r="DG131" t="str">
            <v>ACTIVO</v>
          </cell>
          <cell r="DH131" t="str">
            <v/>
          </cell>
          <cell r="DI131"/>
          <cell r="DJ131">
            <v>4250</v>
          </cell>
          <cell r="DK131">
            <v>708.33333333333337</v>
          </cell>
          <cell r="DL131">
            <v>0</v>
          </cell>
          <cell r="DM131">
            <v>5000</v>
          </cell>
          <cell r="DN131">
            <v>91700</v>
          </cell>
          <cell r="DO131">
            <v>1.1764705882352942</v>
          </cell>
          <cell r="DP131" t="str">
            <v>COMPRAR</v>
          </cell>
          <cell r="DQ131">
            <v>4250</v>
          </cell>
        </row>
        <row r="132">
          <cell r="B132">
            <v>405714</v>
          </cell>
          <cell r="C132" t="str">
            <v>ETIQ. CIRCULAR 90cm IMPR. OPP TORTA TRES LECHES WALMART</v>
          </cell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>
            <v>8000</v>
          </cell>
          <cell r="CS132">
            <v>2000</v>
          </cell>
          <cell r="CT132">
            <v>7000</v>
          </cell>
          <cell r="CU132">
            <v>5000</v>
          </cell>
          <cell r="CV132">
            <v>10000</v>
          </cell>
          <cell r="CW132">
            <v>12000</v>
          </cell>
          <cell r="CX132"/>
          <cell r="CY132">
            <v>5000</v>
          </cell>
          <cell r="CZ132">
            <v>5000</v>
          </cell>
          <cell r="DA132">
            <v>6000</v>
          </cell>
          <cell r="DB132">
            <v>5000</v>
          </cell>
          <cell r="DC132">
            <v>4000</v>
          </cell>
          <cell r="DD132">
            <v>5000</v>
          </cell>
          <cell r="DE132">
            <v>5000</v>
          </cell>
          <cell r="DF132"/>
          <cell r="DG132" t="str">
            <v>ACTIVO</v>
          </cell>
          <cell r="DH132" t="str">
            <v/>
          </cell>
          <cell r="DI132"/>
          <cell r="DJ132">
            <v>6166.666666666667</v>
          </cell>
          <cell r="DK132">
            <v>1027.7777777777778</v>
          </cell>
          <cell r="DL132">
            <v>0</v>
          </cell>
          <cell r="DM132">
            <v>5000</v>
          </cell>
          <cell r="DN132">
            <v>113500</v>
          </cell>
          <cell r="DO132">
            <v>0.81081081081081074</v>
          </cell>
          <cell r="DP132" t="str">
            <v>COMPRAR</v>
          </cell>
          <cell r="DQ132">
            <v>6166.666666666667</v>
          </cell>
        </row>
        <row r="133">
          <cell r="B133">
            <v>405713</v>
          </cell>
          <cell r="C133" t="str">
            <v>ETIQ. CIRCULAR 90cm IMPR. OPP TORTA PANQUEQUE NARANJA WALMART</v>
          </cell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>
            <v>4000</v>
          </cell>
          <cell r="CS133">
            <v>2000</v>
          </cell>
          <cell r="CT133">
            <v>2500</v>
          </cell>
          <cell r="CU133">
            <v>2000</v>
          </cell>
          <cell r="CV133">
            <v>3000</v>
          </cell>
          <cell r="CW133">
            <v>4500</v>
          </cell>
          <cell r="CX133"/>
          <cell r="CY133">
            <v>6000</v>
          </cell>
          <cell r="CZ133">
            <v>4000</v>
          </cell>
          <cell r="DA133">
            <v>2000</v>
          </cell>
          <cell r="DB133">
            <v>3000</v>
          </cell>
          <cell r="DC133">
            <v>2000</v>
          </cell>
          <cell r="DD133">
            <v>2000</v>
          </cell>
          <cell r="DE133">
            <v>3000</v>
          </cell>
          <cell r="DF133"/>
          <cell r="DG133" t="str">
            <v>ACTIVO</v>
          </cell>
          <cell r="DH133" t="str">
            <v/>
          </cell>
          <cell r="DI133"/>
          <cell r="DJ133">
            <v>3083.3333333333335</v>
          </cell>
          <cell r="DK133">
            <v>513.88888888888891</v>
          </cell>
          <cell r="DL133">
            <v>0</v>
          </cell>
          <cell r="DM133">
            <v>2000</v>
          </cell>
          <cell r="DN133">
            <v>45400</v>
          </cell>
          <cell r="DO133">
            <v>0.64864864864864857</v>
          </cell>
          <cell r="DP133" t="str">
            <v>COMPRAR</v>
          </cell>
          <cell r="DQ133">
            <v>3083.3333333333335</v>
          </cell>
        </row>
        <row r="134">
          <cell r="B134">
            <v>405718</v>
          </cell>
          <cell r="C134" t="str">
            <v>ETIQ. CIRCULAR 90cm IMPR. OPP KUCHEN FRAMBUESA TRADICIONAL WALMART</v>
          </cell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>
            <v>2000</v>
          </cell>
          <cell r="CS134"/>
          <cell r="CT134">
            <v>9000</v>
          </cell>
          <cell r="CU134">
            <v>7000</v>
          </cell>
          <cell r="CV134">
            <v>5500</v>
          </cell>
          <cell r="CW134">
            <v>9000</v>
          </cell>
          <cell r="CX134"/>
          <cell r="CY134">
            <v>3000</v>
          </cell>
          <cell r="CZ134">
            <v>4000</v>
          </cell>
          <cell r="DA134"/>
          <cell r="DB134"/>
          <cell r="DC134">
            <v>1000</v>
          </cell>
          <cell r="DD134">
            <v>2000</v>
          </cell>
          <cell r="DE134">
            <v>2000</v>
          </cell>
          <cell r="DF134"/>
          <cell r="DG134" t="str">
            <v>ACTIVO</v>
          </cell>
          <cell r="DH134" t="str">
            <v/>
          </cell>
          <cell r="DI134"/>
          <cell r="DJ134">
            <v>4722.2222222222226</v>
          </cell>
          <cell r="DK134">
            <v>787.03703703703707</v>
          </cell>
          <cell r="DL134">
            <v>0</v>
          </cell>
          <cell r="DM134">
            <v>10000</v>
          </cell>
          <cell r="DN134">
            <v>227000</v>
          </cell>
          <cell r="DO134">
            <v>2.1176470588235294</v>
          </cell>
          <cell r="DP134" t="str">
            <v>OK</v>
          </cell>
          <cell r="DQ134">
            <v>4722.2222222222226</v>
          </cell>
        </row>
        <row r="135">
          <cell r="B135">
            <v>405772</v>
          </cell>
          <cell r="C135" t="str">
            <v>ETIQUETA 300X57 TORTA SAN JORGE SMU</v>
          </cell>
          <cell r="D135"/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>
            <v>1000</v>
          </cell>
          <cell r="DF135"/>
          <cell r="DG135" t="str">
            <v>ACTIVO</v>
          </cell>
          <cell r="DH135" t="str">
            <v/>
          </cell>
          <cell r="DI135"/>
          <cell r="DJ135">
            <v>0</v>
          </cell>
          <cell r="DK135">
            <v>0</v>
          </cell>
          <cell r="DL135">
            <v>0</v>
          </cell>
          <cell r="DM135">
            <v>9500</v>
          </cell>
          <cell r="DN135">
            <v>432250</v>
          </cell>
          <cell r="DO135">
            <v>0</v>
          </cell>
          <cell r="DP135" t="str">
            <v>OK</v>
          </cell>
          <cell r="DQ135">
            <v>0</v>
          </cell>
        </row>
        <row r="136">
          <cell r="B136">
            <v>405356</v>
          </cell>
          <cell r="C136" t="str">
            <v>ETIQ. CIRCULAR 90cm IMPR. JUMBO KUCHEN DE MANZANA TRENZADO</v>
          </cell>
          <cell r="D136"/>
          <cell r="E136"/>
          <cell r="F136"/>
          <cell r="G136"/>
          <cell r="H136"/>
          <cell r="I136"/>
          <cell r="J136">
            <v>2000</v>
          </cell>
          <cell r="K136"/>
          <cell r="L136"/>
          <cell r="M136">
            <v>1000</v>
          </cell>
          <cell r="N136">
            <v>1000</v>
          </cell>
          <cell r="O136">
            <v>2000</v>
          </cell>
          <cell r="P136"/>
          <cell r="Q136">
            <v>1000</v>
          </cell>
          <cell r="R136">
            <v>1000</v>
          </cell>
          <cell r="S136">
            <v>1000</v>
          </cell>
          <cell r="T136">
            <v>1000</v>
          </cell>
          <cell r="U136"/>
          <cell r="V136">
            <v>2000</v>
          </cell>
          <cell r="W136">
            <v>2000</v>
          </cell>
          <cell r="X136">
            <v>2000</v>
          </cell>
          <cell r="Y136">
            <v>1000</v>
          </cell>
          <cell r="Z136"/>
          <cell r="AA136">
            <v>3000</v>
          </cell>
          <cell r="AB136">
            <v>3000</v>
          </cell>
          <cell r="AC136">
            <v>1000</v>
          </cell>
          <cell r="AD136">
            <v>1000</v>
          </cell>
          <cell r="AE136"/>
          <cell r="AF136">
            <v>2000</v>
          </cell>
          <cell r="AG136">
            <v>1000</v>
          </cell>
          <cell r="AH136">
            <v>1000</v>
          </cell>
          <cell r="AI136">
            <v>1000</v>
          </cell>
          <cell r="AJ136"/>
          <cell r="AK136">
            <v>1000</v>
          </cell>
          <cell r="AL136"/>
          <cell r="AM136">
            <v>1000</v>
          </cell>
          <cell r="AN136"/>
          <cell r="AO136">
            <v>1000</v>
          </cell>
          <cell r="AP136"/>
          <cell r="AQ136"/>
          <cell r="AR136"/>
          <cell r="AS136"/>
          <cell r="AT136"/>
          <cell r="AU136"/>
          <cell r="AV136">
            <v>2000</v>
          </cell>
          <cell r="AW136"/>
          <cell r="AX136"/>
          <cell r="AY136">
            <v>1000</v>
          </cell>
          <cell r="AZ136">
            <v>1000</v>
          </cell>
          <cell r="BA136">
            <v>1000</v>
          </cell>
          <cell r="BB136">
            <v>2000</v>
          </cell>
          <cell r="BC136"/>
          <cell r="BD136"/>
          <cell r="BE136">
            <v>2000</v>
          </cell>
          <cell r="BF136"/>
          <cell r="BG136">
            <v>1000</v>
          </cell>
          <cell r="BH136">
            <v>2000</v>
          </cell>
          <cell r="BI136"/>
          <cell r="BJ136">
            <v>3000</v>
          </cell>
          <cell r="BK136">
            <v>1000</v>
          </cell>
          <cell r="BL136">
            <v>1000</v>
          </cell>
          <cell r="BM136">
            <v>1000</v>
          </cell>
          <cell r="BN136">
            <v>2000</v>
          </cell>
          <cell r="BO136"/>
          <cell r="BP136"/>
          <cell r="BQ136">
            <v>4000</v>
          </cell>
          <cell r="BR136"/>
          <cell r="BS136">
            <v>2000</v>
          </cell>
          <cell r="BT136"/>
          <cell r="BU136">
            <v>1000</v>
          </cell>
          <cell r="BV136">
            <v>1000</v>
          </cell>
          <cell r="BW136">
            <v>2000</v>
          </cell>
          <cell r="BX136"/>
          <cell r="BY136">
            <v>1000</v>
          </cell>
          <cell r="BZ136">
            <v>1000</v>
          </cell>
          <cell r="CA136">
            <v>2000</v>
          </cell>
          <cell r="CB136">
            <v>1000</v>
          </cell>
          <cell r="CC136"/>
          <cell r="CD136">
            <v>4000</v>
          </cell>
          <cell r="CE136"/>
          <cell r="CF136">
            <v>1000</v>
          </cell>
          <cell r="CG136"/>
          <cell r="CH136">
            <v>1000</v>
          </cell>
          <cell r="CI136">
            <v>2000</v>
          </cell>
          <cell r="CJ136"/>
          <cell r="CK136"/>
          <cell r="CL136"/>
          <cell r="CM136">
            <v>4000</v>
          </cell>
          <cell r="CN136"/>
          <cell r="CO136"/>
          <cell r="CP136"/>
          <cell r="CQ136">
            <v>1000</v>
          </cell>
          <cell r="CR136">
            <v>1000</v>
          </cell>
          <cell r="CS136">
            <v>1000</v>
          </cell>
          <cell r="CT136">
            <v>1000</v>
          </cell>
          <cell r="CU136">
            <v>1000</v>
          </cell>
          <cell r="CV136">
            <v>500</v>
          </cell>
          <cell r="CW136">
            <v>2000</v>
          </cell>
          <cell r="CX136"/>
          <cell r="CY136"/>
          <cell r="CZ136">
            <v>1000</v>
          </cell>
          <cell r="DA136">
            <v>1000</v>
          </cell>
          <cell r="DB136"/>
          <cell r="DC136"/>
          <cell r="DD136"/>
          <cell r="DE136">
            <v>2000</v>
          </cell>
          <cell r="DF136"/>
          <cell r="DG136" t="str">
            <v>ACTIVO</v>
          </cell>
          <cell r="DH136" t="str">
            <v>C</v>
          </cell>
          <cell r="DI136"/>
          <cell r="DJ136">
            <v>1346.1538461538462</v>
          </cell>
          <cell r="DK136">
            <v>224.35897435897436</v>
          </cell>
          <cell r="DL136">
            <v>858.35983666257505</v>
          </cell>
          <cell r="DM136">
            <v>11000</v>
          </cell>
          <cell r="DN136">
            <v>213180</v>
          </cell>
          <cell r="DO136">
            <v>8.1714285714285708</v>
          </cell>
          <cell r="DP136" t="str">
            <v>OK</v>
          </cell>
          <cell r="DQ136">
            <v>1346.1538461538462</v>
          </cell>
        </row>
        <row r="137">
          <cell r="B137">
            <v>405357</v>
          </cell>
          <cell r="C137" t="str">
            <v>ETIQ. CIRCULAR 90cm IMPR. JUMBO KUCHEN DE STROISSEL MANZANA</v>
          </cell>
          <cell r="D137"/>
          <cell r="E137"/>
          <cell r="F137"/>
          <cell r="G137"/>
          <cell r="H137"/>
          <cell r="I137"/>
          <cell r="J137">
            <v>1000</v>
          </cell>
          <cell r="K137"/>
          <cell r="L137"/>
          <cell r="M137"/>
          <cell r="N137"/>
          <cell r="O137"/>
          <cell r="P137">
            <v>2000</v>
          </cell>
          <cell r="Q137">
            <v>1000</v>
          </cell>
          <cell r="R137">
            <v>1000</v>
          </cell>
          <cell r="S137">
            <v>1000</v>
          </cell>
          <cell r="T137">
            <v>1000</v>
          </cell>
          <cell r="U137"/>
          <cell r="V137"/>
          <cell r="W137">
            <v>1000</v>
          </cell>
          <cell r="X137"/>
          <cell r="Y137"/>
          <cell r="Z137"/>
          <cell r="AA137"/>
          <cell r="AB137">
            <v>1000</v>
          </cell>
          <cell r="AC137"/>
          <cell r="AD137">
            <v>1000</v>
          </cell>
          <cell r="AE137"/>
          <cell r="AF137">
            <v>1000</v>
          </cell>
          <cell r="AG137"/>
          <cell r="AH137">
            <v>1000</v>
          </cell>
          <cell r="AI137">
            <v>1000</v>
          </cell>
          <cell r="AJ137">
            <v>1000</v>
          </cell>
          <cell r="AK137">
            <v>1000</v>
          </cell>
          <cell r="AL137"/>
          <cell r="AM137"/>
          <cell r="AN137"/>
          <cell r="AO137"/>
          <cell r="AP137"/>
          <cell r="AQ137"/>
          <cell r="AR137">
            <v>2000</v>
          </cell>
          <cell r="AS137"/>
          <cell r="AT137">
            <v>1000</v>
          </cell>
          <cell r="AU137"/>
          <cell r="AV137">
            <v>2000</v>
          </cell>
          <cell r="AW137">
            <v>2000</v>
          </cell>
          <cell r="AX137"/>
          <cell r="AY137">
            <v>1000</v>
          </cell>
          <cell r="AZ137"/>
          <cell r="BA137"/>
          <cell r="BB137"/>
          <cell r="BC137"/>
          <cell r="BD137">
            <v>2000</v>
          </cell>
          <cell r="BE137"/>
          <cell r="BF137"/>
          <cell r="BG137">
            <v>1000</v>
          </cell>
          <cell r="BH137">
            <v>2000</v>
          </cell>
          <cell r="BI137"/>
          <cell r="BJ137">
            <v>1000</v>
          </cell>
          <cell r="BK137">
            <v>1000</v>
          </cell>
          <cell r="BL137">
            <v>1000</v>
          </cell>
          <cell r="BM137">
            <v>1000</v>
          </cell>
          <cell r="BN137">
            <v>2000</v>
          </cell>
          <cell r="BO137"/>
          <cell r="BP137"/>
          <cell r="BQ137">
            <v>2000</v>
          </cell>
          <cell r="BR137"/>
          <cell r="BS137">
            <v>2000</v>
          </cell>
          <cell r="BT137"/>
          <cell r="BU137">
            <v>1000</v>
          </cell>
          <cell r="BV137">
            <v>1000</v>
          </cell>
          <cell r="BW137">
            <v>2000</v>
          </cell>
          <cell r="BX137"/>
          <cell r="BY137">
            <v>1000</v>
          </cell>
          <cell r="BZ137">
            <v>1000</v>
          </cell>
          <cell r="CA137">
            <v>2000</v>
          </cell>
          <cell r="CB137">
            <v>1000</v>
          </cell>
          <cell r="CC137"/>
          <cell r="CD137">
            <v>5000</v>
          </cell>
          <cell r="CE137"/>
          <cell r="CF137">
            <v>1000</v>
          </cell>
          <cell r="CG137"/>
          <cell r="CH137">
            <v>1000</v>
          </cell>
          <cell r="CI137">
            <v>1000</v>
          </cell>
          <cell r="CJ137"/>
          <cell r="CK137"/>
          <cell r="CL137"/>
          <cell r="CM137">
            <v>2000</v>
          </cell>
          <cell r="CN137"/>
          <cell r="CO137"/>
          <cell r="CP137"/>
          <cell r="CQ137">
            <v>1000</v>
          </cell>
          <cell r="CR137"/>
          <cell r="CS137"/>
          <cell r="CT137">
            <v>1000</v>
          </cell>
          <cell r="CU137">
            <v>1000</v>
          </cell>
          <cell r="CV137">
            <v>500</v>
          </cell>
          <cell r="CW137">
            <v>2000</v>
          </cell>
          <cell r="CX137"/>
          <cell r="CY137"/>
          <cell r="CZ137"/>
          <cell r="DA137"/>
          <cell r="DB137"/>
          <cell r="DC137"/>
          <cell r="DD137"/>
          <cell r="DE137">
            <v>2000</v>
          </cell>
          <cell r="DF137"/>
          <cell r="DG137" t="str">
            <v>ACTIVO</v>
          </cell>
          <cell r="DH137" t="str">
            <v>C</v>
          </cell>
          <cell r="DI137"/>
          <cell r="DJ137">
            <v>1166.6666666666667</v>
          </cell>
          <cell r="DK137">
            <v>194.44444444444446</v>
          </cell>
          <cell r="DL137">
            <v>838.87049280786107</v>
          </cell>
          <cell r="DM137">
            <v>7000</v>
          </cell>
          <cell r="DN137">
            <v>143430</v>
          </cell>
          <cell r="DO137">
            <v>6</v>
          </cell>
          <cell r="DP137" t="str">
            <v>OK</v>
          </cell>
          <cell r="DQ137">
            <v>1166.6666666666667</v>
          </cell>
        </row>
        <row r="138">
          <cell r="B138">
            <v>405049</v>
          </cell>
          <cell r="C138" t="str">
            <v>ETIQUETA AUTOADHESIVA 22X32 POLIPROPILENO (OPP)</v>
          </cell>
          <cell r="D138"/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>
            <v>10000</v>
          </cell>
          <cell r="BG138"/>
          <cell r="BH138"/>
          <cell r="BI138"/>
          <cell r="BJ138"/>
          <cell r="BK138"/>
          <cell r="BL138"/>
          <cell r="BM138"/>
          <cell r="BN138"/>
          <cell r="BO138">
            <v>50000</v>
          </cell>
          <cell r="BP138"/>
          <cell r="BQ138"/>
          <cell r="BR138"/>
          <cell r="BS138"/>
          <cell r="BT138"/>
          <cell r="BU138"/>
          <cell r="BV138">
            <v>70000</v>
          </cell>
          <cell r="BW138">
            <v>80000</v>
          </cell>
          <cell r="BX138">
            <v>20000</v>
          </cell>
          <cell r="BY138">
            <v>90000</v>
          </cell>
          <cell r="BZ138">
            <v>80000</v>
          </cell>
          <cell r="CA138">
            <v>50000</v>
          </cell>
          <cell r="CB138"/>
          <cell r="CC138"/>
          <cell r="CD138"/>
          <cell r="CE138"/>
          <cell r="CF138"/>
          <cell r="CG138">
            <v>100000</v>
          </cell>
          <cell r="CH138">
            <v>120000</v>
          </cell>
          <cell r="CI138">
            <v>150000</v>
          </cell>
          <cell r="CJ138">
            <v>60000</v>
          </cell>
          <cell r="CK138">
            <v>80000</v>
          </cell>
          <cell r="CL138">
            <v>100000</v>
          </cell>
          <cell r="CM138">
            <v>60000</v>
          </cell>
          <cell r="CN138">
            <v>110000</v>
          </cell>
          <cell r="CO138">
            <v>130000</v>
          </cell>
          <cell r="CP138">
            <v>30000</v>
          </cell>
          <cell r="CQ138">
            <v>30000</v>
          </cell>
          <cell r="CR138">
            <v>20000</v>
          </cell>
          <cell r="CS138">
            <v>70000</v>
          </cell>
          <cell r="CT138">
            <v>20000</v>
          </cell>
          <cell r="CU138">
            <v>10000</v>
          </cell>
          <cell r="CV138">
            <v>90000</v>
          </cell>
          <cell r="CW138">
            <v>15000</v>
          </cell>
          <cell r="CX138"/>
          <cell r="CY138"/>
          <cell r="CZ138">
            <v>50000</v>
          </cell>
          <cell r="DA138">
            <v>10000</v>
          </cell>
          <cell r="DB138"/>
          <cell r="DC138">
            <v>30000</v>
          </cell>
          <cell r="DD138">
            <v>10000</v>
          </cell>
          <cell r="DE138">
            <v>10000</v>
          </cell>
          <cell r="DF138"/>
          <cell r="DG138" t="str">
            <v>ACTIVO</v>
          </cell>
          <cell r="DH138" t="str">
            <v>C</v>
          </cell>
          <cell r="DI138"/>
          <cell r="DJ138">
            <v>61666.666666666664</v>
          </cell>
          <cell r="DK138">
            <v>10277.777777777777</v>
          </cell>
          <cell r="DL138">
            <v>29246.489410818915</v>
          </cell>
          <cell r="DM138">
            <v>100000</v>
          </cell>
          <cell r="DN138">
            <v>154000</v>
          </cell>
          <cell r="DO138">
            <v>1.6216216216216217</v>
          </cell>
          <cell r="DP138" t="str">
            <v>OK</v>
          </cell>
          <cell r="DQ138">
            <v>61666.666666666664</v>
          </cell>
        </row>
        <row r="139">
          <cell r="B139">
            <v>405722</v>
          </cell>
          <cell r="C139" t="str">
            <v>ETIQUETA CONSUMO</v>
          </cell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>
            <v>10000</v>
          </cell>
          <cell r="CS139">
            <v>16000</v>
          </cell>
          <cell r="CT139">
            <v>44000</v>
          </cell>
          <cell r="CU139">
            <v>48000</v>
          </cell>
          <cell r="CV139">
            <v>22000</v>
          </cell>
          <cell r="CW139">
            <v>27000</v>
          </cell>
          <cell r="CX139">
            <v>10000</v>
          </cell>
          <cell r="CY139">
            <v>25000</v>
          </cell>
          <cell r="CZ139">
            <v>21000</v>
          </cell>
          <cell r="DA139">
            <v>14000</v>
          </cell>
          <cell r="DB139">
            <v>10000</v>
          </cell>
          <cell r="DC139">
            <v>48000</v>
          </cell>
          <cell r="DD139">
            <v>6000</v>
          </cell>
          <cell r="DE139">
            <v>20000</v>
          </cell>
          <cell r="DF139"/>
          <cell r="DG139" t="str">
            <v>ACTIVO</v>
          </cell>
          <cell r="DH139" t="str">
            <v/>
          </cell>
          <cell r="DI139"/>
          <cell r="DJ139">
            <v>23153.846153846152</v>
          </cell>
          <cell r="DK139">
            <v>3858.9743589743589</v>
          </cell>
          <cell r="DL139">
            <v>0</v>
          </cell>
          <cell r="DM139">
            <v>124000</v>
          </cell>
          <cell r="DN139">
            <v>1760800</v>
          </cell>
          <cell r="DO139">
            <v>5.3554817275747508</v>
          </cell>
          <cell r="DP139" t="str">
            <v>OK</v>
          </cell>
          <cell r="DQ139">
            <v>23153.846153846152</v>
          </cell>
        </row>
        <row r="140">
          <cell r="B140">
            <v>405712</v>
          </cell>
          <cell r="C140" t="str">
            <v>ETIQ. CIRCULAR 90cm IMPR. OPP TORTA MIL HOJAS MANJAR ARTESANAL WALMART</v>
          </cell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>
            <v>10000</v>
          </cell>
          <cell r="CS140"/>
          <cell r="CT140">
            <v>30000</v>
          </cell>
          <cell r="CU140">
            <v>20000</v>
          </cell>
          <cell r="CV140"/>
          <cell r="CW140"/>
          <cell r="CX140"/>
          <cell r="CY140"/>
          <cell r="CZ140"/>
          <cell r="DA140"/>
          <cell r="DB140"/>
          <cell r="DC140">
            <v>5000</v>
          </cell>
          <cell r="DD140"/>
          <cell r="DE140"/>
          <cell r="DF140"/>
          <cell r="DG140" t="str">
            <v>ACTIVO</v>
          </cell>
          <cell r="DH140" t="str">
            <v/>
          </cell>
          <cell r="DI140"/>
          <cell r="DJ140">
            <v>16250</v>
          </cell>
          <cell r="DK140">
            <v>2708.3333333333335</v>
          </cell>
          <cell r="DL140">
            <v>0</v>
          </cell>
          <cell r="DM140">
            <v>7000</v>
          </cell>
          <cell r="DN140">
            <v>158900</v>
          </cell>
          <cell r="DO140">
            <v>0.43076923076923079</v>
          </cell>
          <cell r="DP140" t="str">
            <v>COMPRAR</v>
          </cell>
          <cell r="DQ140">
            <v>16250</v>
          </cell>
        </row>
        <row r="141">
          <cell r="B141">
            <v>405719</v>
          </cell>
          <cell r="C141" t="str">
            <v>ETIQ. CIRCULAR 80cm IMPR. OPP TORTA FRUTOS DEL BOSQUE WALMART</v>
          </cell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>
            <v>5000</v>
          </cell>
          <cell r="CS141"/>
          <cell r="CT141">
            <v>5000</v>
          </cell>
          <cell r="CU141">
            <v>5000</v>
          </cell>
          <cell r="CV141"/>
          <cell r="CW141"/>
          <cell r="CX141"/>
          <cell r="CY141">
            <v>3000</v>
          </cell>
          <cell r="CZ141">
            <v>1000</v>
          </cell>
          <cell r="DA141">
            <v>5000</v>
          </cell>
          <cell r="DB141">
            <v>1000</v>
          </cell>
          <cell r="DC141">
            <v>8000</v>
          </cell>
          <cell r="DD141"/>
          <cell r="DE141"/>
          <cell r="DF141"/>
          <cell r="DG141" t="str">
            <v>ACTIVO</v>
          </cell>
          <cell r="DH141" t="str">
            <v/>
          </cell>
          <cell r="DI141"/>
          <cell r="DJ141">
            <v>4125</v>
          </cell>
          <cell r="DK141">
            <v>687.5</v>
          </cell>
          <cell r="DL141">
            <v>0</v>
          </cell>
          <cell r="DM141">
            <v>9000</v>
          </cell>
          <cell r="DN141">
            <v>165060</v>
          </cell>
          <cell r="DO141">
            <v>2.1818181818181817</v>
          </cell>
          <cell r="DP141" t="str">
            <v>OK</v>
          </cell>
          <cell r="DQ141">
            <v>4125</v>
          </cell>
        </row>
        <row r="142">
          <cell r="B142">
            <v>405733</v>
          </cell>
          <cell r="C142" t="str">
            <v>ETIQ. CIRCULAR 90cm IMPR. OPP TORTA PIÑA MARKETSIDE</v>
          </cell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>
            <v>3000</v>
          </cell>
          <cell r="CT142">
            <v>6000</v>
          </cell>
          <cell r="CU142">
            <v>3000</v>
          </cell>
          <cell r="CV142">
            <v>5000</v>
          </cell>
          <cell r="CW142">
            <v>14000</v>
          </cell>
          <cell r="CX142">
            <v>2000</v>
          </cell>
          <cell r="CY142"/>
          <cell r="CZ142">
            <v>3000</v>
          </cell>
          <cell r="DA142">
            <v>5000</v>
          </cell>
          <cell r="DB142">
            <v>3000</v>
          </cell>
          <cell r="DC142">
            <v>7000</v>
          </cell>
          <cell r="DD142"/>
          <cell r="DE142">
            <v>3000</v>
          </cell>
          <cell r="DF142"/>
          <cell r="DG142" t="str">
            <v>ACTIVO</v>
          </cell>
          <cell r="DH142" t="str">
            <v/>
          </cell>
          <cell r="DI142"/>
          <cell r="DJ142">
            <v>5100</v>
          </cell>
          <cell r="DK142">
            <v>850</v>
          </cell>
          <cell r="DL142">
            <v>0</v>
          </cell>
          <cell r="DM142">
            <v>12000</v>
          </cell>
          <cell r="DN142">
            <v>272400</v>
          </cell>
          <cell r="DO142">
            <v>2.3529411764705883</v>
          </cell>
          <cell r="DP142" t="str">
            <v>OK</v>
          </cell>
          <cell r="DQ142">
            <v>5100</v>
          </cell>
        </row>
        <row r="143">
          <cell r="B143">
            <v>405734</v>
          </cell>
          <cell r="C143" t="str">
            <v>ETIQ. CIRCULAR 90cm IMPR. OPP TORTA SELVA NEGRA MARKETSIDE</v>
          </cell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>
            <v>4000</v>
          </cell>
          <cell r="CT143"/>
          <cell r="CU143">
            <v>9000</v>
          </cell>
          <cell r="CV143">
            <v>5000</v>
          </cell>
          <cell r="CW143">
            <v>16000</v>
          </cell>
          <cell r="CX143"/>
          <cell r="CY143">
            <v>3000</v>
          </cell>
          <cell r="CZ143">
            <v>1000</v>
          </cell>
          <cell r="DA143">
            <v>5000</v>
          </cell>
          <cell r="DB143">
            <v>6000</v>
          </cell>
          <cell r="DC143">
            <v>6000</v>
          </cell>
          <cell r="DD143">
            <v>3000</v>
          </cell>
          <cell r="DE143"/>
          <cell r="DF143"/>
          <cell r="DG143" t="str">
            <v>ACTIVO</v>
          </cell>
          <cell r="DH143" t="str">
            <v/>
          </cell>
          <cell r="DI143"/>
          <cell r="DJ143">
            <v>5800</v>
          </cell>
          <cell r="DK143">
            <v>966.66666666666663</v>
          </cell>
          <cell r="DL143">
            <v>0</v>
          </cell>
          <cell r="DM143">
            <v>12000</v>
          </cell>
          <cell r="DN143">
            <v>272400</v>
          </cell>
          <cell r="DO143">
            <v>2.0689655172413794</v>
          </cell>
          <cell r="DP143" t="str">
            <v>OK</v>
          </cell>
          <cell r="DQ143">
            <v>5800</v>
          </cell>
        </row>
        <row r="144">
          <cell r="B144">
            <v>405736</v>
          </cell>
          <cell r="C144" t="str">
            <v>ETIQ. CIRCULAR 90cm IMPR. OPP TORTA AMOR MARKETSIDE</v>
          </cell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>
            <v>1000</v>
          </cell>
          <cell r="CT144">
            <v>5000</v>
          </cell>
          <cell r="CU144"/>
          <cell r="CV144">
            <v>5000</v>
          </cell>
          <cell r="CW144">
            <v>4000</v>
          </cell>
          <cell r="CX144">
            <v>6000</v>
          </cell>
          <cell r="CY144"/>
          <cell r="CZ144"/>
          <cell r="DA144"/>
          <cell r="DB144">
            <v>3000</v>
          </cell>
          <cell r="DC144">
            <v>2000</v>
          </cell>
          <cell r="DD144">
            <v>1000</v>
          </cell>
          <cell r="DE144">
            <v>3000</v>
          </cell>
          <cell r="DF144"/>
          <cell r="DG144" t="str">
            <v>ACTIVO</v>
          </cell>
          <cell r="DH144" t="str">
            <v/>
          </cell>
          <cell r="DI144"/>
          <cell r="DJ144">
            <v>3375</v>
          </cell>
          <cell r="DK144">
            <v>562.5</v>
          </cell>
          <cell r="DL144">
            <v>0</v>
          </cell>
          <cell r="DM144">
            <v>0</v>
          </cell>
          <cell r="DN144" t="str">
            <v>0</v>
          </cell>
          <cell r="DO144">
            <v>0</v>
          </cell>
          <cell r="DP144" t="str">
            <v>COMPRAR</v>
          </cell>
          <cell r="DQ144">
            <v>3375</v>
          </cell>
        </row>
        <row r="145">
          <cell r="B145">
            <v>405737</v>
          </cell>
          <cell r="C145" t="str">
            <v>ETIQ. CIRCULAR 90cm IMPR. OPP TORTA SAN JORGE MARKETSIDE</v>
          </cell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>
            <v>1000</v>
          </cell>
          <cell r="CT145">
            <v>13000</v>
          </cell>
          <cell r="CU145">
            <v>3000</v>
          </cell>
          <cell r="CV145">
            <v>7000</v>
          </cell>
          <cell r="CW145">
            <v>2000</v>
          </cell>
          <cell r="CX145"/>
          <cell r="CY145">
            <v>1000</v>
          </cell>
          <cell r="CZ145">
            <v>3000</v>
          </cell>
          <cell r="DA145"/>
          <cell r="DB145">
            <v>6000</v>
          </cell>
          <cell r="DC145">
            <v>3000</v>
          </cell>
          <cell r="DD145">
            <v>2000</v>
          </cell>
          <cell r="DE145">
            <v>2000</v>
          </cell>
          <cell r="DF145"/>
          <cell r="DG145" t="str">
            <v>ACTIVO</v>
          </cell>
          <cell r="DH145" t="str">
            <v/>
          </cell>
          <cell r="DI145"/>
          <cell r="DJ145">
            <v>4100</v>
          </cell>
          <cell r="DK145">
            <v>683.33333333333337</v>
          </cell>
          <cell r="DL145">
            <v>0</v>
          </cell>
          <cell r="DM145">
            <v>4000</v>
          </cell>
          <cell r="DN145">
            <v>90800</v>
          </cell>
          <cell r="DO145">
            <v>0.97560975609756095</v>
          </cell>
          <cell r="DP145" t="str">
            <v>OK</v>
          </cell>
          <cell r="DQ145">
            <v>4100</v>
          </cell>
        </row>
        <row r="146">
          <cell r="B146">
            <v>405735</v>
          </cell>
          <cell r="C146" t="str">
            <v>ETIQ. CIRCULAR 90cm IMPR. OPP TORTA VIENA MARKETSIDE</v>
          </cell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>
            <v>3000</v>
          </cell>
          <cell r="CT146">
            <v>5000</v>
          </cell>
          <cell r="CU146">
            <v>4000</v>
          </cell>
          <cell r="CV146">
            <v>3000</v>
          </cell>
          <cell r="CW146">
            <v>6000</v>
          </cell>
          <cell r="CX146"/>
          <cell r="CY146"/>
          <cell r="CZ146">
            <v>1000</v>
          </cell>
          <cell r="DA146">
            <v>6000</v>
          </cell>
          <cell r="DB146">
            <v>3000</v>
          </cell>
          <cell r="DC146">
            <v>3000</v>
          </cell>
          <cell r="DD146">
            <v>2000</v>
          </cell>
          <cell r="DE146">
            <v>4000</v>
          </cell>
          <cell r="DF146"/>
          <cell r="DG146" t="str">
            <v>ACTIVO</v>
          </cell>
          <cell r="DH146" t="str">
            <v/>
          </cell>
          <cell r="DI146"/>
          <cell r="DJ146">
            <v>3600</v>
          </cell>
          <cell r="DK146">
            <v>600</v>
          </cell>
          <cell r="DL146">
            <v>0</v>
          </cell>
          <cell r="DM146">
            <v>10000</v>
          </cell>
          <cell r="DN146">
            <v>227000</v>
          </cell>
          <cell r="DO146">
            <v>2.7777777777777777</v>
          </cell>
          <cell r="DP146" t="str">
            <v>OK</v>
          </cell>
          <cell r="DQ146">
            <v>3600</v>
          </cell>
        </row>
        <row r="147">
          <cell r="B147">
            <v>405738</v>
          </cell>
          <cell r="C147" t="str">
            <v>ETIQUETA CONSUMO MARKETSIDE</v>
          </cell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>
            <v>18000</v>
          </cell>
          <cell r="CT147">
            <v>54000</v>
          </cell>
          <cell r="CU147">
            <v>30000</v>
          </cell>
          <cell r="CV147">
            <v>18000</v>
          </cell>
          <cell r="CW147">
            <v>16000</v>
          </cell>
          <cell r="CX147">
            <v>6000</v>
          </cell>
          <cell r="CY147">
            <v>12000</v>
          </cell>
          <cell r="CZ147">
            <v>6000</v>
          </cell>
          <cell r="DA147">
            <v>1000</v>
          </cell>
          <cell r="DB147">
            <v>24000</v>
          </cell>
          <cell r="DC147">
            <v>59000</v>
          </cell>
          <cell r="DD147">
            <v>10000</v>
          </cell>
          <cell r="DE147">
            <v>6000</v>
          </cell>
          <cell r="DF147"/>
          <cell r="DG147" t="str">
            <v>ACTIVO</v>
          </cell>
          <cell r="DH147" t="str">
            <v/>
          </cell>
          <cell r="DI147"/>
          <cell r="DJ147">
            <v>21166.666666666668</v>
          </cell>
          <cell r="DK147">
            <v>3527.7777777777778</v>
          </cell>
          <cell r="DL147">
            <v>0</v>
          </cell>
          <cell r="DM147">
            <v>132000</v>
          </cell>
          <cell r="DN147">
            <v>1874400</v>
          </cell>
          <cell r="DO147">
            <v>6.2362204724409445</v>
          </cell>
          <cell r="DP147" t="str">
            <v>OK</v>
          </cell>
          <cell r="DQ147">
            <v>21166.666666666668</v>
          </cell>
        </row>
        <row r="148">
          <cell r="B148">
            <v>405711</v>
          </cell>
          <cell r="C148" t="str">
            <v>ETIQ. CIRCULAR 90cm IMPR. OPP TORTA HOJA MANJAR MERENGUE WALMART</v>
          </cell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>
            <v>1000</v>
          </cell>
          <cell r="CT148"/>
          <cell r="CU148">
            <v>1000</v>
          </cell>
          <cell r="CV148">
            <v>1500</v>
          </cell>
          <cell r="CW148"/>
          <cell r="CX148">
            <v>1000</v>
          </cell>
          <cell r="CY148">
            <v>1000</v>
          </cell>
          <cell r="CZ148"/>
          <cell r="DA148">
            <v>1000</v>
          </cell>
          <cell r="DB148"/>
          <cell r="DC148"/>
          <cell r="DD148">
            <v>1000</v>
          </cell>
          <cell r="DE148">
            <v>8000</v>
          </cell>
          <cell r="DF148"/>
          <cell r="DG148" t="str">
            <v>ACTIVO</v>
          </cell>
          <cell r="DH148" t="str">
            <v/>
          </cell>
          <cell r="DI148"/>
          <cell r="DJ148">
            <v>1071.4285714285713</v>
          </cell>
          <cell r="DK148">
            <v>178.57142857142856</v>
          </cell>
          <cell r="DL148">
            <v>0</v>
          </cell>
          <cell r="DM148">
            <v>18000</v>
          </cell>
          <cell r="DN148">
            <v>408600</v>
          </cell>
          <cell r="DO148">
            <v>16.8</v>
          </cell>
          <cell r="DP148" t="str">
            <v>OK</v>
          </cell>
          <cell r="DQ148">
            <v>1071.4285714285713</v>
          </cell>
        </row>
        <row r="149">
          <cell r="B149">
            <v>405710</v>
          </cell>
          <cell r="C149" t="str">
            <v>ETIQ. CIRCULAR 90cm IMPR. OPP TORTA AMOR WALMART</v>
          </cell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>
            <v>3000</v>
          </cell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 t="str">
            <v>ACTIVO</v>
          </cell>
          <cell r="DH149" t="str">
            <v/>
          </cell>
          <cell r="DI149"/>
          <cell r="DJ149">
            <v>3000</v>
          </cell>
          <cell r="DK149">
            <v>500</v>
          </cell>
          <cell r="DL149">
            <v>0</v>
          </cell>
          <cell r="DM149">
            <v>0</v>
          </cell>
          <cell r="DN149" t="str">
            <v>0</v>
          </cell>
          <cell r="DO149">
            <v>0</v>
          </cell>
          <cell r="DP149" t="str">
            <v>COMPRAR</v>
          </cell>
          <cell r="DQ149">
            <v>3000</v>
          </cell>
        </row>
        <row r="150">
          <cell r="B150">
            <v>405704</v>
          </cell>
          <cell r="C150" t="str">
            <v>ETIQ. CIRCULAR 90cm IMPR. JUMBO KUCHEN DE MANZANA</v>
          </cell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>
            <v>1000</v>
          </cell>
          <cell r="CX150"/>
          <cell r="CY150"/>
          <cell r="CZ150"/>
          <cell r="DA150"/>
          <cell r="DB150"/>
          <cell r="DC150"/>
          <cell r="DD150"/>
          <cell r="DE150">
            <v>1000</v>
          </cell>
          <cell r="DF150"/>
          <cell r="DG150" t="str">
            <v>ACTIVO</v>
          </cell>
          <cell r="DH150" t="str">
            <v/>
          </cell>
          <cell r="DI150"/>
          <cell r="DJ150">
            <v>1000</v>
          </cell>
          <cell r="DK150">
            <v>166.66666666666666</v>
          </cell>
          <cell r="DL150">
            <v>0</v>
          </cell>
          <cell r="DM150">
            <v>3000</v>
          </cell>
          <cell r="DN150">
            <v>62100</v>
          </cell>
          <cell r="DO150">
            <v>3</v>
          </cell>
          <cell r="DP150" t="str">
            <v>OK</v>
          </cell>
          <cell r="DQ150">
            <v>1000</v>
          </cell>
        </row>
        <row r="151">
          <cell r="B151">
            <v>405773</v>
          </cell>
          <cell r="C151" t="str">
            <v>ETIQ. CIRCULAR 80cm IMPR. OPP TORTA SAN JORGE SMU</v>
          </cell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>
            <v>1000</v>
          </cell>
          <cell r="CZ151"/>
          <cell r="DA151"/>
          <cell r="DB151"/>
          <cell r="DC151"/>
          <cell r="DD151"/>
          <cell r="DE151">
            <v>1000</v>
          </cell>
          <cell r="DF151"/>
          <cell r="DG151" t="str">
            <v>ACTIVO</v>
          </cell>
          <cell r="DH151" t="str">
            <v/>
          </cell>
          <cell r="DI151"/>
          <cell r="DJ151">
            <v>1000</v>
          </cell>
          <cell r="DK151">
            <v>166.66666666666666</v>
          </cell>
          <cell r="DL151">
            <v>0</v>
          </cell>
          <cell r="DM151">
            <v>9000</v>
          </cell>
          <cell r="DN151">
            <v>183600</v>
          </cell>
          <cell r="DO151">
            <v>9</v>
          </cell>
          <cell r="DP151" t="str">
            <v>OK</v>
          </cell>
          <cell r="DQ151">
            <v>1000</v>
          </cell>
        </row>
        <row r="152">
          <cell r="B152">
            <v>405771</v>
          </cell>
          <cell r="C152" t="str">
            <v>ETIQUETA 300X57 TORTA HOJA MERENGUE SMU</v>
          </cell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>
            <v>2000</v>
          </cell>
          <cell r="DB152">
            <v>1000</v>
          </cell>
          <cell r="DC152">
            <v>3000</v>
          </cell>
          <cell r="DD152"/>
          <cell r="DE152"/>
          <cell r="DF152"/>
          <cell r="DG152" t="str">
            <v>ACTIVO</v>
          </cell>
          <cell r="DH152" t="str">
            <v/>
          </cell>
          <cell r="DI152"/>
          <cell r="DJ152">
            <v>2000</v>
          </cell>
          <cell r="DK152">
            <v>333.33333333333331</v>
          </cell>
          <cell r="DL152">
            <v>0</v>
          </cell>
          <cell r="DM152">
            <v>1500</v>
          </cell>
          <cell r="DN152">
            <v>68250</v>
          </cell>
          <cell r="DO152">
            <v>0.75</v>
          </cell>
          <cell r="DP152" t="str">
            <v>COMPRAR</v>
          </cell>
          <cell r="DQ152">
            <v>2000</v>
          </cell>
        </row>
        <row r="153">
          <cell r="B153">
            <v>405479</v>
          </cell>
          <cell r="C153" t="str">
            <v>ETIQUETA BLANCA 180X50 PAPEL SEMIBRILLO CRISME</v>
          </cell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>
            <v>2000</v>
          </cell>
          <cell r="AC153">
            <v>2000</v>
          </cell>
          <cell r="AD153"/>
          <cell r="AE153"/>
          <cell r="AF153"/>
          <cell r="AG153">
            <v>4000</v>
          </cell>
          <cell r="AH153">
            <v>11000</v>
          </cell>
          <cell r="AI153">
            <v>4000</v>
          </cell>
          <cell r="AJ153">
            <v>9000</v>
          </cell>
          <cell r="AK153">
            <v>3000</v>
          </cell>
          <cell r="AL153">
            <v>5000</v>
          </cell>
          <cell r="AM153"/>
          <cell r="AN153"/>
          <cell r="AO153">
            <v>2500</v>
          </cell>
          <cell r="AP153"/>
          <cell r="AQ153">
            <v>2500</v>
          </cell>
          <cell r="AR153"/>
          <cell r="AS153">
            <v>4800</v>
          </cell>
          <cell r="AT153"/>
          <cell r="AU153"/>
          <cell r="AV153"/>
          <cell r="AW153"/>
          <cell r="AX153"/>
          <cell r="AY153"/>
          <cell r="AZ153">
            <v>4800</v>
          </cell>
          <cell r="BA153">
            <v>3200</v>
          </cell>
          <cell r="BB153">
            <v>2000</v>
          </cell>
          <cell r="BC153">
            <v>2000</v>
          </cell>
          <cell r="BD153">
            <v>4800</v>
          </cell>
          <cell r="BE153">
            <v>3200</v>
          </cell>
          <cell r="BF153"/>
          <cell r="BG153">
            <v>2000</v>
          </cell>
          <cell r="BH153">
            <v>8000</v>
          </cell>
          <cell r="BI153"/>
          <cell r="BJ153"/>
          <cell r="BK153">
            <v>2000</v>
          </cell>
          <cell r="BL153"/>
          <cell r="BM153"/>
          <cell r="BN153"/>
          <cell r="BO153"/>
          <cell r="BP153"/>
          <cell r="BQ153"/>
          <cell r="BR153">
            <v>7500</v>
          </cell>
          <cell r="BS153">
            <v>6000</v>
          </cell>
          <cell r="BT153">
            <v>3000</v>
          </cell>
          <cell r="BU153">
            <v>4100</v>
          </cell>
          <cell r="BV153">
            <v>4000</v>
          </cell>
          <cell r="BW153">
            <v>4000</v>
          </cell>
          <cell r="BX153"/>
          <cell r="BY153">
            <v>2000</v>
          </cell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 t="str">
            <v>ACTIVO</v>
          </cell>
          <cell r="DH153" t="str">
            <v>C</v>
          </cell>
          <cell r="DI153"/>
          <cell r="DJ153">
            <v>0</v>
          </cell>
          <cell r="DK153">
            <v>0</v>
          </cell>
          <cell r="DL153">
            <v>2364.1206962984497</v>
          </cell>
          <cell r="DM153">
            <v>42000</v>
          </cell>
          <cell r="DN153">
            <v>459900</v>
          </cell>
          <cell r="DO153">
            <v>0</v>
          </cell>
          <cell r="DP153" t="str">
            <v>OK</v>
          </cell>
          <cell r="DQ153">
            <v>0</v>
          </cell>
        </row>
        <row r="154">
          <cell r="B154">
            <v>405493</v>
          </cell>
          <cell r="C154" t="str">
            <v>ETIQUETA DECORATIVA PASTEL MIL HOJAS PASTELERA JUMBO</v>
          </cell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>
            <v>2500</v>
          </cell>
          <cell r="BJ154">
            <v>2500</v>
          </cell>
          <cell r="BK154"/>
          <cell r="BL154"/>
          <cell r="BM154"/>
          <cell r="BN154">
            <v>2500</v>
          </cell>
          <cell r="BO154"/>
          <cell r="BP154"/>
          <cell r="BQ154">
            <v>2500</v>
          </cell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 t="str">
            <v>ACTIVO</v>
          </cell>
          <cell r="DH154" t="str">
            <v>C</v>
          </cell>
          <cell r="DI154"/>
          <cell r="DJ154">
            <v>0</v>
          </cell>
          <cell r="DK154">
            <v>0</v>
          </cell>
          <cell r="DL154">
            <v>0</v>
          </cell>
          <cell r="DM154">
            <v>7500</v>
          </cell>
          <cell r="DN154">
            <v>58050</v>
          </cell>
          <cell r="DO154">
            <v>0</v>
          </cell>
          <cell r="DP154" t="str">
            <v>OK</v>
          </cell>
          <cell r="DQ154">
            <v>0</v>
          </cell>
        </row>
        <row r="155">
          <cell r="B155">
            <v>405494</v>
          </cell>
          <cell r="C155" t="str">
            <v>ETIQUETA DECORATIVA PASTEL PIÑA JUMBO</v>
          </cell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>
            <v>2500</v>
          </cell>
          <cell r="BJ155">
            <v>2500</v>
          </cell>
          <cell r="BK155"/>
          <cell r="BL155"/>
          <cell r="BM155"/>
          <cell r="BN155">
            <v>2500</v>
          </cell>
          <cell r="BO155"/>
          <cell r="BP155"/>
          <cell r="BQ155">
            <v>2500</v>
          </cell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 t="str">
            <v>ACTIVO</v>
          </cell>
          <cell r="DH155" t="str">
            <v>C</v>
          </cell>
          <cell r="DI155"/>
          <cell r="DJ155">
            <v>0</v>
          </cell>
          <cell r="DK155">
            <v>0</v>
          </cell>
          <cell r="DL155">
            <v>0</v>
          </cell>
          <cell r="DM155">
            <v>17500</v>
          </cell>
          <cell r="DN155">
            <v>135450</v>
          </cell>
          <cell r="DO155">
            <v>0</v>
          </cell>
          <cell r="DP155" t="str">
            <v>OK</v>
          </cell>
          <cell r="DQ155">
            <v>0</v>
          </cell>
        </row>
        <row r="156">
          <cell r="B156">
            <v>405495</v>
          </cell>
          <cell r="C156" t="str">
            <v>ETIQUETA DECORATIVA PASTEL TRES LECHES JUMBO</v>
          </cell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>
            <v>2500</v>
          </cell>
          <cell r="BJ156">
            <v>2500</v>
          </cell>
          <cell r="BK156"/>
          <cell r="BL156"/>
          <cell r="BM156"/>
          <cell r="BN156">
            <v>2500</v>
          </cell>
          <cell r="BO156"/>
          <cell r="BP156"/>
          <cell r="BQ156">
            <v>2500</v>
          </cell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 t="str">
            <v>ACTIVO</v>
          </cell>
          <cell r="DH156" t="str">
            <v>C</v>
          </cell>
          <cell r="DI156"/>
          <cell r="DJ156">
            <v>0</v>
          </cell>
          <cell r="DK156">
            <v>0</v>
          </cell>
          <cell r="DL156">
            <v>0</v>
          </cell>
          <cell r="DM156">
            <v>17500</v>
          </cell>
          <cell r="DN156">
            <v>135450</v>
          </cell>
          <cell r="DO156">
            <v>0</v>
          </cell>
          <cell r="DP156" t="str">
            <v>OK</v>
          </cell>
          <cell r="DQ156">
            <v>0</v>
          </cell>
        </row>
        <row r="157">
          <cell r="B157">
            <v>405497</v>
          </cell>
          <cell r="C157" t="str">
            <v>ETIQUETA DECORATIVA PASTEL SELVA NEGRA JUMBO</v>
          </cell>
          <cell r="D157"/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>
            <v>2500</v>
          </cell>
          <cell r="BJ157">
            <v>2500</v>
          </cell>
          <cell r="BK157"/>
          <cell r="BL157"/>
          <cell r="BM157"/>
          <cell r="BN157">
            <v>2500</v>
          </cell>
          <cell r="BO157"/>
          <cell r="BP157"/>
          <cell r="BQ157">
            <v>2500</v>
          </cell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 t="str">
            <v>ACTIVO</v>
          </cell>
          <cell r="DH157" t="str">
            <v>C</v>
          </cell>
          <cell r="DI157"/>
          <cell r="DJ157">
            <v>0</v>
          </cell>
          <cell r="DK157">
            <v>0</v>
          </cell>
          <cell r="DL157">
            <v>0</v>
          </cell>
          <cell r="DM157">
            <v>20000</v>
          </cell>
          <cell r="DN157">
            <v>154800</v>
          </cell>
          <cell r="DO157">
            <v>0</v>
          </cell>
          <cell r="DP157" t="str">
            <v>OK</v>
          </cell>
          <cell r="DQ157">
            <v>0</v>
          </cell>
        </row>
        <row r="158">
          <cell r="B158">
            <v>405498</v>
          </cell>
          <cell r="C158" t="str">
            <v>ETIQUETA DECORATIVA PASTEL TRUFA JUMBO</v>
          </cell>
          <cell r="D158"/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>
            <v>2500</v>
          </cell>
          <cell r="BJ158">
            <v>2500</v>
          </cell>
          <cell r="BK158"/>
          <cell r="BL158"/>
          <cell r="BM158"/>
          <cell r="BN158">
            <v>2500</v>
          </cell>
          <cell r="BO158"/>
          <cell r="BP158"/>
          <cell r="BQ158">
            <v>2500</v>
          </cell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 t="str">
            <v>ACTIVO</v>
          </cell>
          <cell r="DH158" t="str">
            <v>C</v>
          </cell>
          <cell r="DI158"/>
          <cell r="DJ158">
            <v>0</v>
          </cell>
          <cell r="DK158">
            <v>0</v>
          </cell>
          <cell r="DL158">
            <v>0</v>
          </cell>
          <cell r="DM158">
            <v>17500</v>
          </cell>
          <cell r="DN158">
            <v>135450</v>
          </cell>
          <cell r="DO158">
            <v>0</v>
          </cell>
          <cell r="DP158" t="str">
            <v>OK</v>
          </cell>
          <cell r="DQ158">
            <v>0</v>
          </cell>
        </row>
        <row r="159">
          <cell r="B159">
            <v>404718</v>
          </cell>
          <cell r="C159" t="str">
            <v>ETIQUETA BLANCA 100x80 SISA</v>
          </cell>
          <cell r="D159">
            <v>25000</v>
          </cell>
          <cell r="E159">
            <v>22500</v>
          </cell>
          <cell r="F159">
            <v>22000</v>
          </cell>
          <cell r="G159">
            <v>38000</v>
          </cell>
          <cell r="H159">
            <v>4000</v>
          </cell>
          <cell r="I159">
            <v>8000</v>
          </cell>
          <cell r="J159">
            <v>24000</v>
          </cell>
          <cell r="K159">
            <v>24000</v>
          </cell>
          <cell r="L159">
            <v>22000</v>
          </cell>
          <cell r="M159">
            <v>20000</v>
          </cell>
          <cell r="N159">
            <v>12000</v>
          </cell>
          <cell r="O159">
            <v>34000</v>
          </cell>
          <cell r="P159"/>
          <cell r="Q159">
            <v>2000</v>
          </cell>
          <cell r="R159">
            <v>14000</v>
          </cell>
          <cell r="S159">
            <v>20000</v>
          </cell>
          <cell r="T159">
            <v>18000</v>
          </cell>
          <cell r="U159"/>
          <cell r="V159">
            <v>22000</v>
          </cell>
          <cell r="W159">
            <v>18000</v>
          </cell>
          <cell r="X159">
            <v>18000</v>
          </cell>
          <cell r="Y159"/>
          <cell r="Z159"/>
          <cell r="AA159"/>
          <cell r="AB159">
            <v>16000</v>
          </cell>
          <cell r="AC159">
            <v>18000</v>
          </cell>
          <cell r="AD159">
            <v>16000</v>
          </cell>
          <cell r="AE159"/>
          <cell r="AF159">
            <v>20000</v>
          </cell>
          <cell r="AG159">
            <v>12000</v>
          </cell>
          <cell r="AH159">
            <v>12000</v>
          </cell>
          <cell r="AI159">
            <v>12000</v>
          </cell>
          <cell r="AJ159">
            <v>16000</v>
          </cell>
          <cell r="AK159">
            <v>17000</v>
          </cell>
          <cell r="AL159">
            <v>15000</v>
          </cell>
          <cell r="AM159">
            <v>15000</v>
          </cell>
          <cell r="AN159"/>
          <cell r="AO159">
            <v>23000</v>
          </cell>
          <cell r="AP159">
            <v>22000</v>
          </cell>
          <cell r="AQ159">
            <v>16000</v>
          </cell>
          <cell r="AR159">
            <v>35000</v>
          </cell>
          <cell r="AS159"/>
          <cell r="AT159">
            <v>20500</v>
          </cell>
          <cell r="AU159">
            <v>42000</v>
          </cell>
          <cell r="AV159">
            <v>20000</v>
          </cell>
          <cell r="AW159">
            <v>54000</v>
          </cell>
          <cell r="AX159">
            <v>24000</v>
          </cell>
          <cell r="AY159">
            <v>7000</v>
          </cell>
          <cell r="AZ159"/>
          <cell r="BA159">
            <v>16000</v>
          </cell>
          <cell r="BB159">
            <v>20000</v>
          </cell>
          <cell r="BC159">
            <v>16000</v>
          </cell>
          <cell r="BD159">
            <v>31000</v>
          </cell>
          <cell r="BE159">
            <v>15000</v>
          </cell>
          <cell r="BF159"/>
          <cell r="BG159">
            <v>16000</v>
          </cell>
          <cell r="BH159">
            <v>40000</v>
          </cell>
          <cell r="BI159"/>
          <cell r="BJ159">
            <v>18000</v>
          </cell>
          <cell r="BK159">
            <v>18000</v>
          </cell>
          <cell r="BL159">
            <v>18000</v>
          </cell>
          <cell r="BM159">
            <v>16000</v>
          </cell>
          <cell r="BN159">
            <v>36000</v>
          </cell>
          <cell r="BO159"/>
          <cell r="BP159"/>
          <cell r="BQ159">
            <v>28000</v>
          </cell>
          <cell r="BR159">
            <v>10000</v>
          </cell>
          <cell r="BS159">
            <v>32000</v>
          </cell>
          <cell r="BT159"/>
          <cell r="BU159">
            <v>16000</v>
          </cell>
          <cell r="BV159">
            <v>16000</v>
          </cell>
          <cell r="BW159">
            <v>32000</v>
          </cell>
          <cell r="BX159"/>
          <cell r="BY159">
            <v>18000</v>
          </cell>
          <cell r="BZ159">
            <v>16000</v>
          </cell>
          <cell r="CA159">
            <v>30000</v>
          </cell>
          <cell r="CB159">
            <v>16000</v>
          </cell>
          <cell r="CC159">
            <v>2000</v>
          </cell>
          <cell r="CD159">
            <v>90000</v>
          </cell>
          <cell r="CE159"/>
          <cell r="CF159">
            <v>14000</v>
          </cell>
          <cell r="CG159"/>
          <cell r="CH159">
            <v>16000</v>
          </cell>
          <cell r="CI159">
            <v>26000</v>
          </cell>
          <cell r="CJ159">
            <v>4000</v>
          </cell>
          <cell r="CK159">
            <v>9000</v>
          </cell>
          <cell r="CL159">
            <v>14000</v>
          </cell>
          <cell r="CM159">
            <v>14000</v>
          </cell>
          <cell r="CN159">
            <v>14000</v>
          </cell>
          <cell r="CO159">
            <v>24000</v>
          </cell>
          <cell r="CP159"/>
          <cell r="CQ159">
            <v>13000</v>
          </cell>
          <cell r="CR159">
            <v>14000</v>
          </cell>
          <cell r="CS159">
            <v>10000</v>
          </cell>
          <cell r="CT159">
            <v>18000</v>
          </cell>
          <cell r="CU159">
            <v>19000</v>
          </cell>
          <cell r="CV159">
            <v>23000</v>
          </cell>
          <cell r="CW159">
            <v>39000</v>
          </cell>
          <cell r="CX159"/>
          <cell r="CY159">
            <v>17000</v>
          </cell>
          <cell r="CZ159">
            <v>35000</v>
          </cell>
          <cell r="DA159">
            <v>18000</v>
          </cell>
          <cell r="DB159">
            <v>22000</v>
          </cell>
          <cell r="DC159">
            <v>22000</v>
          </cell>
          <cell r="DD159">
            <v>20000</v>
          </cell>
          <cell r="DE159">
            <v>17000</v>
          </cell>
          <cell r="DF159"/>
          <cell r="DG159" t="str">
            <v>ACTIVO</v>
          </cell>
          <cell r="DH159" t="str">
            <v>C</v>
          </cell>
          <cell r="DI159"/>
          <cell r="DJ159">
            <v>18409.090909090908</v>
          </cell>
          <cell r="DK159">
            <v>3068.181818181818</v>
          </cell>
          <cell r="DL159">
            <v>14640.370458238805</v>
          </cell>
          <cell r="DM159">
            <v>176000</v>
          </cell>
          <cell r="DN159">
            <v>1399200</v>
          </cell>
          <cell r="DO159">
            <v>9.560493827160494</v>
          </cell>
          <cell r="DP159" t="str">
            <v>OK</v>
          </cell>
          <cell r="DQ159">
            <v>18409.090909090908</v>
          </cell>
        </row>
        <row r="160">
          <cell r="B160">
            <v>404720</v>
          </cell>
          <cell r="C160" t="str">
            <v>ETIQUETA BLANCA 100x50</v>
          </cell>
          <cell r="D160">
            <v>45000</v>
          </cell>
          <cell r="E160">
            <v>30000</v>
          </cell>
          <cell r="F160">
            <v>37500</v>
          </cell>
          <cell r="G160">
            <v>65000</v>
          </cell>
          <cell r="H160">
            <v>7500</v>
          </cell>
          <cell r="I160">
            <v>40000</v>
          </cell>
          <cell r="J160">
            <v>52500</v>
          </cell>
          <cell r="K160">
            <v>42500</v>
          </cell>
          <cell r="L160">
            <v>27000</v>
          </cell>
          <cell r="M160">
            <v>30000</v>
          </cell>
          <cell r="N160">
            <v>30000</v>
          </cell>
          <cell r="O160">
            <v>50000</v>
          </cell>
          <cell r="P160"/>
          <cell r="Q160">
            <v>15000</v>
          </cell>
          <cell r="R160">
            <v>30500</v>
          </cell>
          <cell r="S160">
            <v>30000</v>
          </cell>
          <cell r="T160">
            <v>42500</v>
          </cell>
          <cell r="U160">
            <v>5000</v>
          </cell>
          <cell r="V160">
            <v>40000</v>
          </cell>
          <cell r="W160">
            <v>32500</v>
          </cell>
          <cell r="X160">
            <v>40000</v>
          </cell>
          <cell r="Y160">
            <v>45000</v>
          </cell>
          <cell r="Z160"/>
          <cell r="AA160">
            <v>35000</v>
          </cell>
          <cell r="AB160">
            <v>25000</v>
          </cell>
          <cell r="AC160">
            <v>12500</v>
          </cell>
          <cell r="AD160">
            <v>20000</v>
          </cell>
          <cell r="AE160">
            <v>12500</v>
          </cell>
          <cell r="AF160">
            <v>27000</v>
          </cell>
          <cell r="AG160">
            <v>27500</v>
          </cell>
          <cell r="AH160">
            <v>30000</v>
          </cell>
          <cell r="AI160">
            <v>32500</v>
          </cell>
          <cell r="AJ160">
            <v>25000</v>
          </cell>
          <cell r="AK160">
            <v>30500</v>
          </cell>
          <cell r="AL160">
            <v>25000</v>
          </cell>
          <cell r="AM160">
            <v>25000</v>
          </cell>
          <cell r="AN160">
            <v>40500</v>
          </cell>
          <cell r="AO160">
            <v>22500</v>
          </cell>
          <cell r="AP160">
            <v>47500</v>
          </cell>
          <cell r="AQ160">
            <v>25000</v>
          </cell>
          <cell r="AR160">
            <v>58500</v>
          </cell>
          <cell r="AS160">
            <v>10000</v>
          </cell>
          <cell r="AT160">
            <v>42500</v>
          </cell>
          <cell r="AU160">
            <v>42500</v>
          </cell>
          <cell r="AV160">
            <v>37000</v>
          </cell>
          <cell r="AW160">
            <v>72500</v>
          </cell>
          <cell r="AX160">
            <v>37500</v>
          </cell>
          <cell r="AY160">
            <v>41000</v>
          </cell>
          <cell r="AZ160">
            <v>22500</v>
          </cell>
          <cell r="BA160">
            <v>30000</v>
          </cell>
          <cell r="BB160">
            <v>34500</v>
          </cell>
          <cell r="BC160">
            <v>37500</v>
          </cell>
          <cell r="BD160">
            <v>67500</v>
          </cell>
          <cell r="BE160">
            <v>31500</v>
          </cell>
          <cell r="BF160"/>
          <cell r="BG160">
            <v>27500</v>
          </cell>
          <cell r="BH160">
            <v>47500</v>
          </cell>
          <cell r="BI160">
            <v>15000</v>
          </cell>
          <cell r="BJ160">
            <v>25000</v>
          </cell>
          <cell r="BK160">
            <v>40000</v>
          </cell>
          <cell r="BL160">
            <v>45000</v>
          </cell>
          <cell r="BM160">
            <v>32500</v>
          </cell>
          <cell r="BN160">
            <v>50000</v>
          </cell>
          <cell r="BO160">
            <v>12500</v>
          </cell>
          <cell r="BP160">
            <v>7500</v>
          </cell>
          <cell r="BQ160">
            <v>75000</v>
          </cell>
          <cell r="BR160">
            <v>7500</v>
          </cell>
          <cell r="BS160">
            <v>52500</v>
          </cell>
          <cell r="BT160">
            <v>7500</v>
          </cell>
          <cell r="BU160">
            <v>37500</v>
          </cell>
          <cell r="BV160">
            <v>20000</v>
          </cell>
          <cell r="BW160">
            <v>42500</v>
          </cell>
          <cell r="BX160">
            <v>25000</v>
          </cell>
          <cell r="BY160">
            <v>7500</v>
          </cell>
          <cell r="BZ160">
            <v>33000</v>
          </cell>
          <cell r="CA160">
            <v>30000</v>
          </cell>
          <cell r="CB160">
            <v>42500</v>
          </cell>
          <cell r="CC160">
            <v>15000</v>
          </cell>
          <cell r="CD160">
            <v>68500</v>
          </cell>
          <cell r="CE160">
            <v>5000</v>
          </cell>
          <cell r="CF160">
            <v>15000</v>
          </cell>
          <cell r="CG160">
            <v>17500</v>
          </cell>
          <cell r="CH160">
            <v>27500</v>
          </cell>
          <cell r="CI160">
            <v>50000</v>
          </cell>
          <cell r="CJ160">
            <v>18000</v>
          </cell>
          <cell r="CK160">
            <v>66500</v>
          </cell>
          <cell r="CL160">
            <v>31000</v>
          </cell>
          <cell r="CM160">
            <v>29500</v>
          </cell>
          <cell r="CN160">
            <v>34000</v>
          </cell>
          <cell r="CO160">
            <v>59000</v>
          </cell>
          <cell r="CP160">
            <v>7500</v>
          </cell>
          <cell r="CQ160">
            <v>26000</v>
          </cell>
          <cell r="CR160"/>
          <cell r="CS160"/>
          <cell r="CT160">
            <v>42500</v>
          </cell>
          <cell r="CU160">
            <v>34500</v>
          </cell>
          <cell r="CV160">
            <v>49500</v>
          </cell>
          <cell r="CW160">
            <v>55000</v>
          </cell>
          <cell r="CX160">
            <v>12500</v>
          </cell>
          <cell r="CY160">
            <v>37500</v>
          </cell>
          <cell r="CZ160">
            <v>54000</v>
          </cell>
          <cell r="DA160">
            <v>35000</v>
          </cell>
          <cell r="DB160">
            <v>7500</v>
          </cell>
          <cell r="DC160">
            <v>52500</v>
          </cell>
          <cell r="DD160">
            <v>40000</v>
          </cell>
          <cell r="DE160">
            <v>26000</v>
          </cell>
          <cell r="DF160"/>
          <cell r="DG160" t="str">
            <v>ACTIVO</v>
          </cell>
          <cell r="DH160" t="str">
            <v>B</v>
          </cell>
          <cell r="DI160"/>
          <cell r="DJ160">
            <v>34869.565217391304</v>
          </cell>
          <cell r="DK160">
            <v>5811.594202898551</v>
          </cell>
          <cell r="DL160">
            <v>16905.122966242237</v>
          </cell>
          <cell r="DM160">
            <v>170000</v>
          </cell>
          <cell r="DN160">
            <v>1115200</v>
          </cell>
          <cell r="DO160">
            <v>4.8753117206982548</v>
          </cell>
          <cell r="DP160" t="str">
            <v>OK</v>
          </cell>
          <cell r="DQ160">
            <v>34869.565217391304</v>
          </cell>
        </row>
        <row r="161">
          <cell r="B161">
            <v>405461</v>
          </cell>
          <cell r="C161" t="str">
            <v>ETIQUETA CIRCULAR 4cm IMPR. PASTEL SISA</v>
          </cell>
          <cell r="D161"/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>
            <v>5000</v>
          </cell>
          <cell r="AS161"/>
          <cell r="AT161">
            <v>10000</v>
          </cell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>
            <v>5000</v>
          </cell>
          <cell r="BG161"/>
          <cell r="BH161">
            <v>10000</v>
          </cell>
          <cell r="BI161"/>
          <cell r="BJ161">
            <v>10000</v>
          </cell>
          <cell r="BK161">
            <v>10000</v>
          </cell>
          <cell r="BL161">
            <v>15000</v>
          </cell>
          <cell r="BM161">
            <v>10000</v>
          </cell>
          <cell r="BN161">
            <v>20000</v>
          </cell>
          <cell r="BO161"/>
          <cell r="BP161"/>
          <cell r="BQ161">
            <v>5001</v>
          </cell>
          <cell r="BR161"/>
          <cell r="BS161">
            <v>20000</v>
          </cell>
          <cell r="BT161"/>
          <cell r="BU161">
            <v>10000</v>
          </cell>
          <cell r="BV161">
            <v>10000</v>
          </cell>
          <cell r="BW161">
            <v>20000</v>
          </cell>
          <cell r="BX161"/>
          <cell r="BY161">
            <v>5000</v>
          </cell>
          <cell r="BZ161">
            <v>10000</v>
          </cell>
          <cell r="CA161">
            <v>15000</v>
          </cell>
          <cell r="CB161">
            <v>7500</v>
          </cell>
          <cell r="CC161">
            <v>5000</v>
          </cell>
          <cell r="CD161">
            <v>10000</v>
          </cell>
          <cell r="CE161"/>
          <cell r="CF161">
            <v>5000</v>
          </cell>
          <cell r="CG161"/>
          <cell r="CH161">
            <v>10000</v>
          </cell>
          <cell r="CI161">
            <v>15000</v>
          </cell>
          <cell r="CJ161"/>
          <cell r="CK161"/>
          <cell r="CL161"/>
          <cell r="CM161"/>
          <cell r="CN161"/>
          <cell r="CO161">
            <v>10000</v>
          </cell>
          <cell r="CP161">
            <v>5000</v>
          </cell>
          <cell r="CQ161"/>
          <cell r="CR161"/>
          <cell r="CS161"/>
          <cell r="CT161">
            <v>13000</v>
          </cell>
          <cell r="CU161">
            <v>5000</v>
          </cell>
          <cell r="CV161"/>
          <cell r="CW161">
            <v>10000</v>
          </cell>
          <cell r="CX161"/>
          <cell r="CY161">
            <v>20000</v>
          </cell>
          <cell r="CZ161">
            <v>5000</v>
          </cell>
          <cell r="DA161">
            <v>5000</v>
          </cell>
          <cell r="DB161">
            <v>5000</v>
          </cell>
          <cell r="DC161">
            <v>5000</v>
          </cell>
          <cell r="DD161">
            <v>21000</v>
          </cell>
          <cell r="DE161">
            <v>10000</v>
          </cell>
          <cell r="DF161"/>
          <cell r="DG161" t="str">
            <v>ACTIVO</v>
          </cell>
          <cell r="DH161" t="str">
            <v>C</v>
          </cell>
          <cell r="DI161"/>
          <cell r="DJ161">
            <v>9571.4285714285706</v>
          </cell>
          <cell r="DK161">
            <v>1595.2380952380952</v>
          </cell>
          <cell r="DL161">
            <v>4991.7102382481671</v>
          </cell>
          <cell r="DM161">
            <v>0</v>
          </cell>
          <cell r="DN161" t="str">
            <v>0</v>
          </cell>
          <cell r="DO161">
            <v>0</v>
          </cell>
          <cell r="DP161" t="str">
            <v>OK</v>
          </cell>
          <cell r="DQ161">
            <v>9571.4285714285706</v>
          </cell>
        </row>
        <row r="162">
          <cell r="B162">
            <v>404733</v>
          </cell>
          <cell r="C162" t="str">
            <v>ETIQUETA CIRCULAR 9,8cm IMPR. KUCHEN  5 COL +UV</v>
          </cell>
          <cell r="D162">
            <v>4000</v>
          </cell>
          <cell r="E162">
            <v>5000</v>
          </cell>
          <cell r="F162">
            <v>7000</v>
          </cell>
          <cell r="G162">
            <v>15000</v>
          </cell>
          <cell r="H162"/>
          <cell r="I162">
            <v>7000</v>
          </cell>
          <cell r="J162">
            <v>8000</v>
          </cell>
          <cell r="K162">
            <v>6000</v>
          </cell>
          <cell r="L162">
            <v>8000</v>
          </cell>
          <cell r="M162">
            <v>8000</v>
          </cell>
          <cell r="N162">
            <v>1000</v>
          </cell>
          <cell r="O162">
            <v>12000</v>
          </cell>
          <cell r="P162"/>
          <cell r="Q162"/>
          <cell r="R162">
            <v>4000</v>
          </cell>
          <cell r="S162">
            <v>7000</v>
          </cell>
          <cell r="T162">
            <v>6000</v>
          </cell>
          <cell r="U162"/>
          <cell r="V162">
            <v>8000</v>
          </cell>
          <cell r="W162">
            <v>8000</v>
          </cell>
          <cell r="X162">
            <v>7000</v>
          </cell>
          <cell r="Y162">
            <v>8000</v>
          </cell>
          <cell r="Z162"/>
          <cell r="AA162"/>
          <cell r="AB162">
            <v>3000</v>
          </cell>
          <cell r="AC162">
            <v>2000</v>
          </cell>
          <cell r="AD162">
            <v>3000</v>
          </cell>
          <cell r="AE162"/>
          <cell r="AF162">
            <v>6000</v>
          </cell>
          <cell r="AG162"/>
          <cell r="AH162">
            <v>5000</v>
          </cell>
          <cell r="AI162">
            <v>5000</v>
          </cell>
          <cell r="AJ162">
            <v>5000</v>
          </cell>
          <cell r="AK162">
            <v>4000</v>
          </cell>
          <cell r="AL162"/>
          <cell r="AM162"/>
          <cell r="AN162">
            <v>3000</v>
          </cell>
          <cell r="AO162">
            <v>1000</v>
          </cell>
          <cell r="AP162">
            <v>3000</v>
          </cell>
          <cell r="AQ162">
            <v>5000</v>
          </cell>
          <cell r="AR162">
            <v>8000</v>
          </cell>
          <cell r="AS162"/>
          <cell r="AT162">
            <v>5000</v>
          </cell>
          <cell r="AU162">
            <v>11000</v>
          </cell>
          <cell r="AV162">
            <v>5000</v>
          </cell>
          <cell r="AW162">
            <v>10000</v>
          </cell>
          <cell r="AX162">
            <v>5000</v>
          </cell>
          <cell r="AY162">
            <v>5000</v>
          </cell>
          <cell r="AZ162">
            <v>4000</v>
          </cell>
          <cell r="BA162">
            <v>9000</v>
          </cell>
          <cell r="BB162">
            <v>4000</v>
          </cell>
          <cell r="BC162">
            <v>15000</v>
          </cell>
          <cell r="BD162"/>
          <cell r="BE162">
            <v>2000</v>
          </cell>
          <cell r="BF162"/>
          <cell r="BG162">
            <v>4000</v>
          </cell>
          <cell r="BH162">
            <v>14000</v>
          </cell>
          <cell r="BI162"/>
          <cell r="BJ162">
            <v>5000</v>
          </cell>
          <cell r="BK162">
            <v>5000</v>
          </cell>
          <cell r="BL162">
            <v>5000</v>
          </cell>
          <cell r="BM162">
            <v>19000</v>
          </cell>
          <cell r="BN162">
            <v>8000</v>
          </cell>
          <cell r="BO162"/>
          <cell r="BP162"/>
          <cell r="BQ162">
            <v>8000</v>
          </cell>
          <cell r="BR162"/>
          <cell r="BS162">
            <v>12000</v>
          </cell>
          <cell r="BT162"/>
          <cell r="BU162">
            <v>4000</v>
          </cell>
          <cell r="BV162">
            <v>3000</v>
          </cell>
          <cell r="BW162">
            <v>8000</v>
          </cell>
          <cell r="BX162"/>
          <cell r="BY162">
            <v>4000</v>
          </cell>
          <cell r="BZ162">
            <v>3000</v>
          </cell>
          <cell r="CA162">
            <v>5000</v>
          </cell>
          <cell r="CB162">
            <v>2000</v>
          </cell>
          <cell r="CC162"/>
          <cell r="CD162">
            <v>13000</v>
          </cell>
          <cell r="CE162"/>
          <cell r="CF162">
            <v>2000</v>
          </cell>
          <cell r="CG162"/>
          <cell r="CH162">
            <v>2000</v>
          </cell>
          <cell r="CI162">
            <v>6000</v>
          </cell>
          <cell r="CJ162"/>
          <cell r="CK162"/>
          <cell r="CL162"/>
          <cell r="CM162">
            <v>2000</v>
          </cell>
          <cell r="CN162">
            <v>2000</v>
          </cell>
          <cell r="CO162">
            <v>1000</v>
          </cell>
          <cell r="CP162">
            <v>2000</v>
          </cell>
          <cell r="CQ162">
            <v>1000</v>
          </cell>
          <cell r="CR162">
            <v>8000</v>
          </cell>
          <cell r="CS162"/>
          <cell r="CT162">
            <v>3000</v>
          </cell>
          <cell r="CU162">
            <v>1000</v>
          </cell>
          <cell r="CV162">
            <v>3000</v>
          </cell>
          <cell r="CW162">
            <v>6000</v>
          </cell>
          <cell r="CX162"/>
          <cell r="CY162">
            <v>1000</v>
          </cell>
          <cell r="CZ162">
            <v>2000</v>
          </cell>
          <cell r="DA162">
            <v>3000</v>
          </cell>
          <cell r="DB162">
            <v>2000</v>
          </cell>
          <cell r="DC162">
            <v>3000</v>
          </cell>
          <cell r="DD162">
            <v>5000</v>
          </cell>
          <cell r="DE162">
            <v>4000</v>
          </cell>
          <cell r="DF162"/>
          <cell r="DG162" t="str">
            <v>ACTIVO</v>
          </cell>
          <cell r="DH162" t="str">
            <v>C</v>
          </cell>
          <cell r="DI162"/>
          <cell r="DJ162">
            <v>2894.7368421052633</v>
          </cell>
          <cell r="DK162">
            <v>482.45614035087721</v>
          </cell>
          <cell r="DL162">
            <v>3989.3171713463521</v>
          </cell>
          <cell r="DM162">
            <v>0</v>
          </cell>
          <cell r="DN162" t="str">
            <v>0</v>
          </cell>
          <cell r="DO162">
            <v>0</v>
          </cell>
          <cell r="DP162" t="str">
            <v>OK</v>
          </cell>
          <cell r="DQ162">
            <v>2894.7368421052633</v>
          </cell>
        </row>
        <row r="163">
          <cell r="B163">
            <v>404748</v>
          </cell>
          <cell r="C163" t="str">
            <v>ETIQUETA BLANCA 40x200 SISA</v>
          </cell>
          <cell r="D163">
            <v>6000</v>
          </cell>
          <cell r="E163">
            <v>6000</v>
          </cell>
          <cell r="F163">
            <v>9000</v>
          </cell>
          <cell r="G163">
            <v>21000</v>
          </cell>
          <cell r="H163"/>
          <cell r="I163">
            <v>16000</v>
          </cell>
          <cell r="J163">
            <v>12000</v>
          </cell>
          <cell r="K163">
            <v>12000</v>
          </cell>
          <cell r="L163">
            <v>10000</v>
          </cell>
          <cell r="M163">
            <v>9000</v>
          </cell>
          <cell r="N163"/>
          <cell r="O163">
            <v>15000</v>
          </cell>
          <cell r="P163"/>
          <cell r="Q163">
            <v>3000</v>
          </cell>
          <cell r="R163">
            <v>4000</v>
          </cell>
          <cell r="S163">
            <v>9000</v>
          </cell>
          <cell r="T163">
            <v>8000</v>
          </cell>
          <cell r="U163"/>
          <cell r="V163">
            <v>8000</v>
          </cell>
          <cell r="W163">
            <v>8000</v>
          </cell>
          <cell r="X163">
            <v>6000</v>
          </cell>
          <cell r="Y163">
            <v>4000</v>
          </cell>
          <cell r="Z163"/>
          <cell r="AA163"/>
          <cell r="AB163">
            <v>4000</v>
          </cell>
          <cell r="AC163">
            <v>4000</v>
          </cell>
          <cell r="AD163">
            <v>5000</v>
          </cell>
          <cell r="AE163"/>
          <cell r="AF163">
            <v>6000</v>
          </cell>
          <cell r="AG163">
            <v>4000</v>
          </cell>
          <cell r="AH163">
            <v>5000</v>
          </cell>
          <cell r="AI163">
            <v>5000</v>
          </cell>
          <cell r="AJ163">
            <v>5000</v>
          </cell>
          <cell r="AK163">
            <v>2000</v>
          </cell>
          <cell r="AL163">
            <v>3000</v>
          </cell>
          <cell r="AM163">
            <v>2000</v>
          </cell>
          <cell r="AN163">
            <v>3000</v>
          </cell>
          <cell r="AO163">
            <v>3000</v>
          </cell>
          <cell r="AP163">
            <v>3000</v>
          </cell>
          <cell r="AQ163">
            <v>3000</v>
          </cell>
          <cell r="AR163">
            <v>6000</v>
          </cell>
          <cell r="AS163"/>
          <cell r="AT163">
            <v>3000</v>
          </cell>
          <cell r="AU163">
            <v>1000</v>
          </cell>
          <cell r="AV163">
            <v>4000</v>
          </cell>
          <cell r="AW163">
            <v>8000</v>
          </cell>
          <cell r="AX163">
            <v>1000</v>
          </cell>
          <cell r="AY163">
            <v>2000</v>
          </cell>
          <cell r="AZ163"/>
          <cell r="BA163">
            <v>7000</v>
          </cell>
          <cell r="BB163">
            <v>7000</v>
          </cell>
          <cell r="BC163">
            <v>5000</v>
          </cell>
          <cell r="BD163">
            <v>6000</v>
          </cell>
          <cell r="BE163">
            <v>2000</v>
          </cell>
          <cell r="BF163">
            <v>2000</v>
          </cell>
          <cell r="BG163">
            <v>8000</v>
          </cell>
          <cell r="BH163">
            <v>14000</v>
          </cell>
          <cell r="BI163"/>
          <cell r="BJ163">
            <v>5000</v>
          </cell>
          <cell r="BK163">
            <v>5000</v>
          </cell>
          <cell r="BL163">
            <v>5000</v>
          </cell>
          <cell r="BM163">
            <v>4000</v>
          </cell>
          <cell r="BN163">
            <v>8000</v>
          </cell>
          <cell r="BO163"/>
          <cell r="BP163"/>
          <cell r="BQ163">
            <v>10000</v>
          </cell>
          <cell r="BR163"/>
          <cell r="BS163">
            <v>8000</v>
          </cell>
          <cell r="BT163"/>
          <cell r="BU163">
            <v>8000</v>
          </cell>
          <cell r="BV163">
            <v>3000</v>
          </cell>
          <cell r="BW163">
            <v>13000</v>
          </cell>
          <cell r="BX163">
            <v>2000</v>
          </cell>
          <cell r="BY163">
            <v>4000</v>
          </cell>
          <cell r="BZ163">
            <v>3000</v>
          </cell>
          <cell r="CA163">
            <v>5000</v>
          </cell>
          <cell r="CB163">
            <v>2000</v>
          </cell>
          <cell r="CC163">
            <v>2000</v>
          </cell>
          <cell r="CD163">
            <v>12000</v>
          </cell>
          <cell r="CE163"/>
          <cell r="CF163">
            <v>2000</v>
          </cell>
          <cell r="CG163">
            <v>2000</v>
          </cell>
          <cell r="CH163">
            <v>4000</v>
          </cell>
          <cell r="CI163">
            <v>6000</v>
          </cell>
          <cell r="CJ163"/>
          <cell r="CK163">
            <v>3000</v>
          </cell>
          <cell r="CL163">
            <v>3000</v>
          </cell>
          <cell r="CM163">
            <v>3000</v>
          </cell>
          <cell r="CN163">
            <v>4000</v>
          </cell>
          <cell r="CO163">
            <v>5000</v>
          </cell>
          <cell r="CP163">
            <v>2000</v>
          </cell>
          <cell r="CQ163">
            <v>3000</v>
          </cell>
          <cell r="CR163">
            <v>6000</v>
          </cell>
          <cell r="CS163">
            <v>4000</v>
          </cell>
          <cell r="CT163">
            <v>6000</v>
          </cell>
          <cell r="CU163">
            <v>7000</v>
          </cell>
          <cell r="CV163">
            <v>3000</v>
          </cell>
          <cell r="CW163">
            <v>8000</v>
          </cell>
          <cell r="CX163"/>
          <cell r="CY163">
            <v>3000</v>
          </cell>
          <cell r="CZ163">
            <v>6000</v>
          </cell>
          <cell r="DA163">
            <v>5000</v>
          </cell>
          <cell r="DB163">
            <v>8000</v>
          </cell>
          <cell r="DC163">
            <v>5000</v>
          </cell>
          <cell r="DD163">
            <v>6000</v>
          </cell>
          <cell r="DE163">
            <v>6000</v>
          </cell>
          <cell r="DF163"/>
          <cell r="DG163" t="str">
            <v>ACTIVO</v>
          </cell>
          <cell r="DH163" t="str">
            <v>C</v>
          </cell>
          <cell r="DI163"/>
          <cell r="DJ163">
            <v>4521.739130434783</v>
          </cell>
          <cell r="DK163">
            <v>753.62318840579712</v>
          </cell>
          <cell r="DL163">
            <v>3106.5469977889375</v>
          </cell>
          <cell r="DM163">
            <v>26000</v>
          </cell>
          <cell r="DN163">
            <v>354640</v>
          </cell>
          <cell r="DO163">
            <v>5.7499999999999991</v>
          </cell>
          <cell r="DP163" t="str">
            <v>OK</v>
          </cell>
          <cell r="DQ163">
            <v>4521.739130434783</v>
          </cell>
        </row>
        <row r="164">
          <cell r="B164">
            <v>405103</v>
          </cell>
          <cell r="C164" t="str">
            <v>ETIQUETA BLANCA 200X50 SISA OPP</v>
          </cell>
          <cell r="D164">
            <v>15000</v>
          </cell>
          <cell r="E164">
            <v>4000</v>
          </cell>
          <cell r="F164"/>
          <cell r="G164">
            <v>3000</v>
          </cell>
          <cell r="H164"/>
          <cell r="I164">
            <v>2000</v>
          </cell>
          <cell r="J164">
            <v>3000</v>
          </cell>
          <cell r="K164">
            <v>14000</v>
          </cell>
          <cell r="L164">
            <v>15000</v>
          </cell>
          <cell r="M164">
            <v>14000</v>
          </cell>
          <cell r="N164">
            <v>19000</v>
          </cell>
          <cell r="O164">
            <v>24000</v>
          </cell>
          <cell r="P164">
            <v>4000</v>
          </cell>
          <cell r="Q164">
            <v>6000</v>
          </cell>
          <cell r="R164">
            <v>17000</v>
          </cell>
          <cell r="S164">
            <v>14000</v>
          </cell>
          <cell r="T164">
            <v>9000</v>
          </cell>
          <cell r="U164"/>
          <cell r="V164">
            <v>10000</v>
          </cell>
          <cell r="W164">
            <v>6000</v>
          </cell>
          <cell r="X164">
            <v>12000</v>
          </cell>
          <cell r="Y164">
            <v>50000</v>
          </cell>
          <cell r="Z164"/>
          <cell r="AA164">
            <v>30000</v>
          </cell>
          <cell r="AB164">
            <v>8000</v>
          </cell>
          <cell r="AC164">
            <v>11000</v>
          </cell>
          <cell r="AD164">
            <v>5000</v>
          </cell>
          <cell r="AE164"/>
          <cell r="AF164">
            <v>12000</v>
          </cell>
          <cell r="AG164"/>
          <cell r="AH164">
            <v>8000</v>
          </cell>
          <cell r="AI164">
            <v>30000</v>
          </cell>
          <cell r="AJ164">
            <v>3000</v>
          </cell>
          <cell r="AK164"/>
          <cell r="AL164">
            <v>7000</v>
          </cell>
          <cell r="AM164">
            <v>8000</v>
          </cell>
          <cell r="AN164">
            <v>7000</v>
          </cell>
          <cell r="AO164">
            <v>14000</v>
          </cell>
          <cell r="AP164">
            <v>12000</v>
          </cell>
          <cell r="AQ164"/>
          <cell r="AR164">
            <v>10000</v>
          </cell>
          <cell r="AS164"/>
          <cell r="AT164">
            <v>8000</v>
          </cell>
          <cell r="AU164">
            <v>7000</v>
          </cell>
          <cell r="AV164">
            <v>8000</v>
          </cell>
          <cell r="AW164">
            <v>10000</v>
          </cell>
          <cell r="AX164">
            <v>7000</v>
          </cell>
          <cell r="AY164">
            <v>3000</v>
          </cell>
          <cell r="AZ164"/>
          <cell r="BA164">
            <v>5000</v>
          </cell>
          <cell r="BB164">
            <v>9000</v>
          </cell>
          <cell r="BC164">
            <v>4000</v>
          </cell>
          <cell r="BD164">
            <v>12000</v>
          </cell>
          <cell r="BE164">
            <v>3000</v>
          </cell>
          <cell r="BF164">
            <v>3000</v>
          </cell>
          <cell r="BG164">
            <v>4000</v>
          </cell>
          <cell r="BH164">
            <v>9000</v>
          </cell>
          <cell r="BI164"/>
          <cell r="BJ164">
            <v>4000</v>
          </cell>
          <cell r="BK164">
            <v>4000</v>
          </cell>
          <cell r="BL164">
            <v>4000</v>
          </cell>
          <cell r="BM164">
            <v>13000</v>
          </cell>
          <cell r="BN164">
            <v>18000</v>
          </cell>
          <cell r="BO164">
            <v>2000</v>
          </cell>
          <cell r="BP164">
            <v>1000</v>
          </cell>
          <cell r="BQ164">
            <v>12000</v>
          </cell>
          <cell r="BR164"/>
          <cell r="BS164">
            <v>11000</v>
          </cell>
          <cell r="BT164">
            <v>2000</v>
          </cell>
          <cell r="BU164">
            <v>7000</v>
          </cell>
          <cell r="BV164">
            <v>6000</v>
          </cell>
          <cell r="BW164">
            <v>13000</v>
          </cell>
          <cell r="BX164"/>
          <cell r="BY164">
            <v>6000</v>
          </cell>
          <cell r="BZ164">
            <v>4000</v>
          </cell>
          <cell r="CA164">
            <v>9000</v>
          </cell>
          <cell r="CB164">
            <v>4000</v>
          </cell>
          <cell r="CC164"/>
          <cell r="CD164">
            <v>180000</v>
          </cell>
          <cell r="CE164"/>
          <cell r="CF164">
            <v>4000</v>
          </cell>
          <cell r="CG164"/>
          <cell r="CH164">
            <v>4000</v>
          </cell>
          <cell r="CI164">
            <v>13000</v>
          </cell>
          <cell r="CJ164">
            <v>500</v>
          </cell>
          <cell r="CK164"/>
          <cell r="CL164">
            <v>11000</v>
          </cell>
          <cell r="CM164">
            <v>9000</v>
          </cell>
          <cell r="CN164">
            <v>9000</v>
          </cell>
          <cell r="CO164">
            <v>10000</v>
          </cell>
          <cell r="CP164"/>
          <cell r="CQ164">
            <v>6000</v>
          </cell>
          <cell r="CR164">
            <v>15000</v>
          </cell>
          <cell r="CS164"/>
          <cell r="CT164">
            <v>1000</v>
          </cell>
          <cell r="CU164">
            <v>6000</v>
          </cell>
          <cell r="CV164">
            <v>6000</v>
          </cell>
          <cell r="CW164">
            <v>12000</v>
          </cell>
          <cell r="CX164"/>
          <cell r="CY164">
            <v>4000</v>
          </cell>
          <cell r="CZ164">
            <v>10000</v>
          </cell>
          <cell r="DA164">
            <v>4000</v>
          </cell>
          <cell r="DB164"/>
          <cell r="DC164">
            <v>7000</v>
          </cell>
          <cell r="DD164">
            <v>6000</v>
          </cell>
          <cell r="DE164">
            <v>7000</v>
          </cell>
          <cell r="DF164"/>
          <cell r="DG164" t="str">
            <v>ACTIVO</v>
          </cell>
          <cell r="DH164" t="str">
            <v>B</v>
          </cell>
          <cell r="DI164"/>
          <cell r="DJ164">
            <v>7236.8421052631575</v>
          </cell>
          <cell r="DK164">
            <v>1206.140350877193</v>
          </cell>
          <cell r="DL164">
            <v>27063.149362671164</v>
          </cell>
          <cell r="DM164">
            <v>79000</v>
          </cell>
          <cell r="DN164">
            <v>1364330</v>
          </cell>
          <cell r="DO164">
            <v>10.916363636363638</v>
          </cell>
          <cell r="DP164" t="str">
            <v>OK</v>
          </cell>
          <cell r="DQ164">
            <v>7236.8421052631584</v>
          </cell>
        </row>
        <row r="165">
          <cell r="B165">
            <v>405159</v>
          </cell>
          <cell r="C165" t="str">
            <v>ETIQUETA BLANCA 120X100 OPP</v>
          </cell>
          <cell r="D165">
            <v>16000</v>
          </cell>
          <cell r="E165">
            <v>12000</v>
          </cell>
          <cell r="F165">
            <v>14000</v>
          </cell>
          <cell r="G165">
            <v>20000</v>
          </cell>
          <cell r="H165">
            <v>3000</v>
          </cell>
          <cell r="I165">
            <v>21000</v>
          </cell>
          <cell r="J165">
            <v>20000</v>
          </cell>
          <cell r="K165">
            <v>15000</v>
          </cell>
          <cell r="L165">
            <v>12000</v>
          </cell>
          <cell r="M165">
            <v>12000</v>
          </cell>
          <cell r="N165">
            <v>20000</v>
          </cell>
          <cell r="O165">
            <v>16000</v>
          </cell>
          <cell r="P165"/>
          <cell r="Q165">
            <v>5000</v>
          </cell>
          <cell r="R165">
            <v>13000</v>
          </cell>
          <cell r="S165">
            <v>12000</v>
          </cell>
          <cell r="T165">
            <v>15000</v>
          </cell>
          <cell r="U165">
            <v>15000</v>
          </cell>
          <cell r="V165">
            <v>13000</v>
          </cell>
          <cell r="W165">
            <v>15000</v>
          </cell>
          <cell r="X165">
            <v>19000</v>
          </cell>
          <cell r="Y165">
            <v>17000</v>
          </cell>
          <cell r="Z165">
            <v>3000</v>
          </cell>
          <cell r="AA165">
            <v>20000</v>
          </cell>
          <cell r="AB165">
            <v>11000</v>
          </cell>
          <cell r="AC165">
            <v>7000</v>
          </cell>
          <cell r="AD165">
            <v>1000</v>
          </cell>
          <cell r="AE165"/>
          <cell r="AF165">
            <v>9000</v>
          </cell>
          <cell r="AG165">
            <v>16000</v>
          </cell>
          <cell r="AH165">
            <v>24000</v>
          </cell>
          <cell r="AI165">
            <v>18200</v>
          </cell>
          <cell r="AJ165">
            <v>18000</v>
          </cell>
          <cell r="AK165">
            <v>12000</v>
          </cell>
          <cell r="AL165">
            <v>20000</v>
          </cell>
          <cell r="AM165">
            <v>13000</v>
          </cell>
          <cell r="AN165">
            <v>12000</v>
          </cell>
          <cell r="AO165">
            <v>14001</v>
          </cell>
          <cell r="AP165">
            <v>12000</v>
          </cell>
          <cell r="AQ165">
            <v>13999</v>
          </cell>
          <cell r="AR165">
            <v>25000</v>
          </cell>
          <cell r="AS165">
            <v>5000</v>
          </cell>
          <cell r="AT165">
            <v>7000</v>
          </cell>
          <cell r="AU165">
            <v>15000</v>
          </cell>
          <cell r="AV165">
            <v>3000</v>
          </cell>
          <cell r="AW165">
            <v>15000</v>
          </cell>
          <cell r="AX165">
            <v>12000</v>
          </cell>
          <cell r="AY165">
            <v>15000</v>
          </cell>
          <cell r="AZ165">
            <v>6000</v>
          </cell>
          <cell r="BA165">
            <v>11000</v>
          </cell>
          <cell r="BB165">
            <v>20000</v>
          </cell>
          <cell r="BC165">
            <v>6000</v>
          </cell>
          <cell r="BD165">
            <v>28000</v>
          </cell>
          <cell r="BE165">
            <v>13000</v>
          </cell>
          <cell r="BF165">
            <v>3000</v>
          </cell>
          <cell r="BG165">
            <v>10000</v>
          </cell>
          <cell r="BH165">
            <v>26000</v>
          </cell>
          <cell r="BI165">
            <v>3000</v>
          </cell>
          <cell r="BJ165">
            <v>18000</v>
          </cell>
          <cell r="BK165">
            <v>12000</v>
          </cell>
          <cell r="BL165">
            <v>12000</v>
          </cell>
          <cell r="BM165">
            <v>12000</v>
          </cell>
          <cell r="BN165">
            <v>23000</v>
          </cell>
          <cell r="BO165">
            <v>3000</v>
          </cell>
          <cell r="BP165"/>
          <cell r="BQ165">
            <v>32000</v>
          </cell>
          <cell r="BR165">
            <v>2000</v>
          </cell>
          <cell r="BS165">
            <v>32000</v>
          </cell>
          <cell r="BT165">
            <v>3000</v>
          </cell>
          <cell r="BU165">
            <v>18000</v>
          </cell>
          <cell r="BV165">
            <v>9000</v>
          </cell>
          <cell r="BW165">
            <v>22000</v>
          </cell>
          <cell r="BX165">
            <v>2000</v>
          </cell>
          <cell r="BY165">
            <v>12000</v>
          </cell>
          <cell r="BZ165">
            <v>8000</v>
          </cell>
          <cell r="CA165">
            <v>21000</v>
          </cell>
          <cell r="CB165">
            <v>11000</v>
          </cell>
          <cell r="CC165"/>
          <cell r="CD165">
            <v>52000</v>
          </cell>
          <cell r="CE165"/>
          <cell r="CF165">
            <v>11000</v>
          </cell>
          <cell r="CG165">
            <v>3000</v>
          </cell>
          <cell r="CH165">
            <v>22000</v>
          </cell>
          <cell r="CI165">
            <v>27000</v>
          </cell>
          <cell r="CJ165">
            <v>5000</v>
          </cell>
          <cell r="CK165">
            <v>13000</v>
          </cell>
          <cell r="CL165">
            <v>20000</v>
          </cell>
          <cell r="CM165">
            <v>10000</v>
          </cell>
          <cell r="CN165">
            <v>17000</v>
          </cell>
          <cell r="CO165">
            <v>25000</v>
          </cell>
          <cell r="CP165">
            <v>6000</v>
          </cell>
          <cell r="CQ165">
            <v>17000</v>
          </cell>
          <cell r="CR165">
            <v>23000</v>
          </cell>
          <cell r="CS165">
            <v>3000</v>
          </cell>
          <cell r="CT165">
            <v>10000</v>
          </cell>
          <cell r="CU165">
            <v>18000</v>
          </cell>
          <cell r="CV165">
            <v>19000</v>
          </cell>
          <cell r="CW165">
            <v>40000</v>
          </cell>
          <cell r="CX165">
            <v>6000</v>
          </cell>
          <cell r="CY165">
            <v>9000</v>
          </cell>
          <cell r="CZ165">
            <v>12000</v>
          </cell>
          <cell r="DA165">
            <v>20000</v>
          </cell>
          <cell r="DB165"/>
          <cell r="DC165">
            <v>11000</v>
          </cell>
          <cell r="DD165">
            <v>14000</v>
          </cell>
          <cell r="DE165">
            <v>14000</v>
          </cell>
          <cell r="DF165"/>
          <cell r="DG165" t="str">
            <v>ACTIVO</v>
          </cell>
          <cell r="DH165" t="str">
            <v>B</v>
          </cell>
          <cell r="DI165"/>
          <cell r="DJ165">
            <v>15041.666666666666</v>
          </cell>
          <cell r="DK165">
            <v>2506.9444444444443</v>
          </cell>
          <cell r="DL165">
            <v>9449.0470333036792</v>
          </cell>
          <cell r="DM165">
            <v>58000</v>
          </cell>
          <cell r="DN165">
            <v>841000</v>
          </cell>
          <cell r="DO165">
            <v>3.8559556786703602</v>
          </cell>
          <cell r="DP165" t="str">
            <v>OK</v>
          </cell>
          <cell r="DQ165">
            <v>15041.666666666666</v>
          </cell>
        </row>
        <row r="166">
          <cell r="B166">
            <v>405160</v>
          </cell>
          <cell r="C166" t="str">
            <v>ETIQUETA 200X50 POLIPROPILENO IMPR. QUINTA</v>
          </cell>
          <cell r="D166">
            <v>8000</v>
          </cell>
          <cell r="E166">
            <v>21000</v>
          </cell>
          <cell r="F166">
            <v>18000</v>
          </cell>
          <cell r="G166">
            <v>32000</v>
          </cell>
          <cell r="H166">
            <v>2000</v>
          </cell>
          <cell r="I166">
            <v>19000</v>
          </cell>
          <cell r="J166">
            <v>15000</v>
          </cell>
          <cell r="K166">
            <v>16000</v>
          </cell>
          <cell r="L166">
            <v>8000</v>
          </cell>
          <cell r="M166">
            <v>9000</v>
          </cell>
          <cell r="N166">
            <v>4000</v>
          </cell>
          <cell r="O166">
            <v>6000</v>
          </cell>
          <cell r="P166"/>
          <cell r="Q166">
            <v>3000</v>
          </cell>
          <cell r="R166">
            <v>4000</v>
          </cell>
          <cell r="S166">
            <v>3000</v>
          </cell>
          <cell r="T166">
            <v>5000</v>
          </cell>
          <cell r="U166"/>
          <cell r="V166">
            <v>6000</v>
          </cell>
          <cell r="W166">
            <v>3000</v>
          </cell>
          <cell r="X166">
            <v>7000</v>
          </cell>
          <cell r="Y166">
            <v>22000</v>
          </cell>
          <cell r="Z166">
            <v>3000</v>
          </cell>
          <cell r="AA166">
            <v>2000</v>
          </cell>
          <cell r="AB166">
            <v>2000</v>
          </cell>
          <cell r="AC166">
            <v>2000</v>
          </cell>
          <cell r="AD166">
            <v>2000</v>
          </cell>
          <cell r="AE166"/>
          <cell r="AF166">
            <v>3500</v>
          </cell>
          <cell r="AG166">
            <v>7000</v>
          </cell>
          <cell r="AH166">
            <v>7000</v>
          </cell>
          <cell r="AI166">
            <v>2000</v>
          </cell>
          <cell r="AJ166">
            <v>3000</v>
          </cell>
          <cell r="AK166">
            <v>6000</v>
          </cell>
          <cell r="AL166">
            <v>2000</v>
          </cell>
          <cell r="AM166">
            <v>1000</v>
          </cell>
          <cell r="AN166">
            <v>5000</v>
          </cell>
          <cell r="AO166">
            <v>3000</v>
          </cell>
          <cell r="AP166">
            <v>5000</v>
          </cell>
          <cell r="AQ166">
            <v>6000</v>
          </cell>
          <cell r="AR166">
            <v>5000</v>
          </cell>
          <cell r="AS166">
            <v>4000</v>
          </cell>
          <cell r="AT166">
            <v>2000</v>
          </cell>
          <cell r="AU166">
            <v>7000</v>
          </cell>
          <cell r="AV166">
            <v>9000</v>
          </cell>
          <cell r="AW166">
            <v>11000</v>
          </cell>
          <cell r="AX166">
            <v>5000</v>
          </cell>
          <cell r="AY166">
            <v>4000</v>
          </cell>
          <cell r="AZ166">
            <v>2000</v>
          </cell>
          <cell r="BA166">
            <v>12000</v>
          </cell>
          <cell r="BB166">
            <v>6000</v>
          </cell>
          <cell r="BC166">
            <v>4000</v>
          </cell>
          <cell r="BD166">
            <v>4000</v>
          </cell>
          <cell r="BE166">
            <v>2000</v>
          </cell>
          <cell r="BF166"/>
          <cell r="BG166">
            <v>7000</v>
          </cell>
          <cell r="BH166">
            <v>9000</v>
          </cell>
          <cell r="BI166">
            <v>4000</v>
          </cell>
          <cell r="BJ166">
            <v>10000</v>
          </cell>
          <cell r="BK166">
            <v>4000</v>
          </cell>
          <cell r="BL166">
            <v>4000</v>
          </cell>
          <cell r="BM166">
            <v>9000</v>
          </cell>
          <cell r="BN166">
            <v>15000</v>
          </cell>
          <cell r="BO166"/>
          <cell r="BP166"/>
          <cell r="BQ166">
            <v>10000</v>
          </cell>
          <cell r="BR166">
            <v>6000</v>
          </cell>
          <cell r="BS166">
            <v>9000</v>
          </cell>
          <cell r="BT166">
            <v>1000</v>
          </cell>
          <cell r="BU166">
            <v>11000</v>
          </cell>
          <cell r="BV166">
            <v>7000</v>
          </cell>
          <cell r="BW166">
            <v>9000</v>
          </cell>
          <cell r="BX166">
            <v>4000</v>
          </cell>
          <cell r="BY166">
            <v>6000</v>
          </cell>
          <cell r="BZ166">
            <v>10000</v>
          </cell>
          <cell r="CA166">
            <v>12000</v>
          </cell>
          <cell r="CB166">
            <v>6000</v>
          </cell>
          <cell r="CC166">
            <v>2000</v>
          </cell>
          <cell r="CD166">
            <v>52000</v>
          </cell>
          <cell r="CE166"/>
          <cell r="CF166">
            <v>6000</v>
          </cell>
          <cell r="CG166"/>
          <cell r="CH166">
            <v>7000</v>
          </cell>
          <cell r="CI166">
            <v>13000</v>
          </cell>
          <cell r="CJ166">
            <v>7000</v>
          </cell>
          <cell r="CK166">
            <v>9000</v>
          </cell>
          <cell r="CL166">
            <v>5000</v>
          </cell>
          <cell r="CM166">
            <v>6000</v>
          </cell>
          <cell r="CN166">
            <v>7000</v>
          </cell>
          <cell r="CO166">
            <v>10000</v>
          </cell>
          <cell r="CP166"/>
          <cell r="CQ166">
            <v>7000</v>
          </cell>
          <cell r="CR166">
            <v>11000</v>
          </cell>
          <cell r="CS166"/>
          <cell r="CT166">
            <v>6000</v>
          </cell>
          <cell r="CU166">
            <v>4000</v>
          </cell>
          <cell r="CV166">
            <v>4000</v>
          </cell>
          <cell r="CW166">
            <v>36000</v>
          </cell>
          <cell r="CX166">
            <v>2000</v>
          </cell>
          <cell r="CY166">
            <v>1000</v>
          </cell>
          <cell r="CZ166"/>
          <cell r="DA166">
            <v>3000</v>
          </cell>
          <cell r="DB166"/>
          <cell r="DC166">
            <v>3000</v>
          </cell>
          <cell r="DD166">
            <v>8000</v>
          </cell>
          <cell r="DE166">
            <v>2000</v>
          </cell>
          <cell r="DF166"/>
          <cell r="DG166" t="str">
            <v>ACTIVO</v>
          </cell>
          <cell r="DH166" t="str">
            <v>C</v>
          </cell>
          <cell r="DI166"/>
          <cell r="DJ166">
            <v>7750</v>
          </cell>
          <cell r="DK166">
            <v>1291.6666666666667</v>
          </cell>
          <cell r="DL166">
            <v>7406.4421714003729</v>
          </cell>
          <cell r="DM166">
            <v>15000</v>
          </cell>
          <cell r="DN166">
            <v>242400</v>
          </cell>
          <cell r="DO166">
            <v>1.935483870967742</v>
          </cell>
          <cell r="DP166" t="str">
            <v>OK</v>
          </cell>
          <cell r="DQ166">
            <v>7750</v>
          </cell>
        </row>
        <row r="167">
          <cell r="B167">
            <v>404735</v>
          </cell>
          <cell r="C167" t="str">
            <v>ETIQUETA CIRCULAR 9,8cm IMPR. TARTA  5 COL +UV</v>
          </cell>
          <cell r="D167">
            <v>1000</v>
          </cell>
          <cell r="E167">
            <v>1000</v>
          </cell>
          <cell r="F167">
            <v>1000</v>
          </cell>
          <cell r="G167">
            <v>2000</v>
          </cell>
          <cell r="H167"/>
          <cell r="I167">
            <v>1000</v>
          </cell>
          <cell r="J167">
            <v>1000</v>
          </cell>
          <cell r="K167">
            <v>3500</v>
          </cell>
          <cell r="L167">
            <v>1000</v>
          </cell>
          <cell r="M167">
            <v>500</v>
          </cell>
          <cell r="N167">
            <v>1000</v>
          </cell>
          <cell r="O167">
            <v>2000</v>
          </cell>
          <cell r="P167"/>
          <cell r="Q167"/>
          <cell r="R167">
            <v>1000</v>
          </cell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>
            <v>19000</v>
          </cell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>
            <v>19000</v>
          </cell>
          <cell r="BP167"/>
          <cell r="BQ167"/>
          <cell r="BR167">
            <v>100</v>
          </cell>
          <cell r="BS167">
            <v>1900</v>
          </cell>
          <cell r="BT167"/>
          <cell r="BU167">
            <v>3000</v>
          </cell>
          <cell r="BV167">
            <v>5000</v>
          </cell>
          <cell r="BW167">
            <v>4000</v>
          </cell>
          <cell r="BX167"/>
          <cell r="BY167">
            <v>2000</v>
          </cell>
          <cell r="BZ167">
            <v>2000</v>
          </cell>
          <cell r="CA167">
            <v>2000</v>
          </cell>
          <cell r="CB167">
            <v>1000</v>
          </cell>
          <cell r="CC167"/>
          <cell r="CD167">
            <v>6000</v>
          </cell>
          <cell r="CE167"/>
          <cell r="CF167">
            <v>1000</v>
          </cell>
          <cell r="CG167"/>
          <cell r="CH167">
            <v>1000</v>
          </cell>
          <cell r="CI167">
            <v>2000</v>
          </cell>
          <cell r="CJ167"/>
          <cell r="CK167"/>
          <cell r="CL167"/>
          <cell r="CM167"/>
          <cell r="CN167"/>
          <cell r="CO167"/>
          <cell r="CP167"/>
          <cell r="CQ167">
            <v>1000</v>
          </cell>
          <cell r="CR167">
            <v>1000</v>
          </cell>
          <cell r="CS167">
            <v>2000</v>
          </cell>
          <cell r="CT167">
            <v>3000</v>
          </cell>
          <cell r="CU167"/>
          <cell r="CV167"/>
          <cell r="CW167">
            <v>2000</v>
          </cell>
          <cell r="CX167"/>
          <cell r="CY167">
            <v>1000</v>
          </cell>
          <cell r="CZ167">
            <v>1000</v>
          </cell>
          <cell r="DA167">
            <v>3000</v>
          </cell>
          <cell r="DB167"/>
          <cell r="DC167">
            <v>2000</v>
          </cell>
          <cell r="DD167">
            <v>1000</v>
          </cell>
          <cell r="DE167">
            <v>2000</v>
          </cell>
          <cell r="DF167"/>
          <cell r="DG167" t="str">
            <v>ACTIVO</v>
          </cell>
          <cell r="DH167" t="str">
            <v>C</v>
          </cell>
          <cell r="DI167"/>
          <cell r="DJ167">
            <v>1615.3846153846155</v>
          </cell>
          <cell r="DK167">
            <v>269.23076923076923</v>
          </cell>
          <cell r="DL167">
            <v>6554.226025083266</v>
          </cell>
          <cell r="DM167">
            <v>6000</v>
          </cell>
          <cell r="DN167">
            <v>103020</v>
          </cell>
          <cell r="DO167">
            <v>3.714285714285714</v>
          </cell>
          <cell r="DP167" t="str">
            <v>OK</v>
          </cell>
          <cell r="DQ167">
            <v>1615.3846153846152</v>
          </cell>
        </row>
        <row r="168">
          <cell r="B168">
            <v>405199</v>
          </cell>
          <cell r="C168" t="str">
            <v>ETIQUETA CONSUMO IMPRESO COLOR MOSTAZA</v>
          </cell>
          <cell r="D168">
            <v>6000</v>
          </cell>
          <cell r="E168">
            <v>6000</v>
          </cell>
          <cell r="F168">
            <v>10000</v>
          </cell>
          <cell r="G168">
            <v>10000</v>
          </cell>
          <cell r="H168">
            <v>10000</v>
          </cell>
          <cell r="I168">
            <v>8000</v>
          </cell>
          <cell r="J168">
            <v>14000</v>
          </cell>
          <cell r="K168">
            <v>20000</v>
          </cell>
          <cell r="L168">
            <v>10000</v>
          </cell>
          <cell r="M168">
            <v>4000</v>
          </cell>
          <cell r="N168">
            <v>20000</v>
          </cell>
          <cell r="O168"/>
          <cell r="P168">
            <v>8000</v>
          </cell>
          <cell r="Q168">
            <v>6000</v>
          </cell>
          <cell r="R168">
            <v>14000</v>
          </cell>
          <cell r="S168"/>
          <cell r="T168">
            <v>12000</v>
          </cell>
          <cell r="U168">
            <v>6000</v>
          </cell>
          <cell r="V168">
            <v>24000</v>
          </cell>
          <cell r="W168">
            <v>6000</v>
          </cell>
          <cell r="X168">
            <v>18000</v>
          </cell>
          <cell r="Y168"/>
          <cell r="Z168"/>
          <cell r="AA168">
            <v>4000</v>
          </cell>
          <cell r="AB168">
            <v>12000</v>
          </cell>
          <cell r="AC168">
            <v>8000</v>
          </cell>
          <cell r="AD168">
            <v>10000</v>
          </cell>
          <cell r="AE168"/>
          <cell r="AF168">
            <v>16000</v>
          </cell>
          <cell r="AG168">
            <v>8000</v>
          </cell>
          <cell r="AH168">
            <v>44000</v>
          </cell>
          <cell r="AI168">
            <v>4000</v>
          </cell>
          <cell r="AJ168">
            <v>7500</v>
          </cell>
          <cell r="AK168">
            <v>6000</v>
          </cell>
          <cell r="AL168">
            <v>6000</v>
          </cell>
          <cell r="AM168">
            <v>20000</v>
          </cell>
          <cell r="AN168">
            <v>20000</v>
          </cell>
          <cell r="AO168">
            <v>12000</v>
          </cell>
          <cell r="AP168">
            <v>12000</v>
          </cell>
          <cell r="AQ168">
            <v>14000</v>
          </cell>
          <cell r="AR168">
            <v>12000</v>
          </cell>
          <cell r="AS168">
            <v>12000</v>
          </cell>
          <cell r="AT168">
            <v>18000</v>
          </cell>
          <cell r="AU168">
            <v>30000</v>
          </cell>
          <cell r="AV168">
            <v>16000</v>
          </cell>
          <cell r="AW168">
            <v>16000</v>
          </cell>
          <cell r="AX168">
            <v>4000</v>
          </cell>
          <cell r="AY168">
            <v>22000</v>
          </cell>
          <cell r="AZ168">
            <v>34000</v>
          </cell>
          <cell r="BA168">
            <v>6000</v>
          </cell>
          <cell r="BB168">
            <v>6000</v>
          </cell>
          <cell r="BC168">
            <v>20000</v>
          </cell>
          <cell r="BD168">
            <v>10000</v>
          </cell>
          <cell r="BE168">
            <v>20000</v>
          </cell>
          <cell r="BF168">
            <v>6000</v>
          </cell>
          <cell r="BG168">
            <v>25000</v>
          </cell>
          <cell r="BH168">
            <v>18000</v>
          </cell>
          <cell r="BI168">
            <v>22000</v>
          </cell>
          <cell r="BJ168">
            <v>14000</v>
          </cell>
          <cell r="BK168">
            <v>20000</v>
          </cell>
          <cell r="BL168">
            <v>12000</v>
          </cell>
          <cell r="BM168">
            <v>12000</v>
          </cell>
          <cell r="BN168">
            <v>12000</v>
          </cell>
          <cell r="BO168">
            <v>10000</v>
          </cell>
          <cell r="BP168">
            <v>6000</v>
          </cell>
          <cell r="BQ168">
            <v>18000</v>
          </cell>
          <cell r="BR168">
            <v>6000</v>
          </cell>
          <cell r="BS168">
            <v>26000</v>
          </cell>
          <cell r="BT168">
            <v>6000</v>
          </cell>
          <cell r="BU168">
            <v>24000</v>
          </cell>
          <cell r="BV168"/>
          <cell r="BW168">
            <v>20000</v>
          </cell>
          <cell r="BX168">
            <v>16000</v>
          </cell>
          <cell r="BY168">
            <v>6000</v>
          </cell>
          <cell r="BZ168">
            <v>18000</v>
          </cell>
          <cell r="CA168">
            <v>18000</v>
          </cell>
          <cell r="CB168">
            <v>6000</v>
          </cell>
          <cell r="CC168">
            <v>14000</v>
          </cell>
          <cell r="CD168">
            <v>20000</v>
          </cell>
          <cell r="CE168">
            <v>8000</v>
          </cell>
          <cell r="CF168"/>
          <cell r="CG168">
            <v>22000</v>
          </cell>
          <cell r="CH168">
            <v>8000</v>
          </cell>
          <cell r="CI168">
            <v>14000</v>
          </cell>
          <cell r="CJ168">
            <v>16000</v>
          </cell>
          <cell r="CK168">
            <v>16000</v>
          </cell>
          <cell r="CL168">
            <v>8000</v>
          </cell>
          <cell r="CM168">
            <v>14000</v>
          </cell>
          <cell r="CN168">
            <v>16000</v>
          </cell>
          <cell r="CO168">
            <v>14000</v>
          </cell>
          <cell r="CP168">
            <v>16000</v>
          </cell>
          <cell r="CQ168">
            <v>12000</v>
          </cell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 t="str">
            <v>ACTIVO</v>
          </cell>
          <cell r="DH168" t="str">
            <v>C</v>
          </cell>
          <cell r="DI168"/>
          <cell r="DJ168">
            <v>14181.818181818182</v>
          </cell>
          <cell r="DK168">
            <v>2363.6363636363635</v>
          </cell>
          <cell r="DL168">
            <v>8212.6993962124907</v>
          </cell>
          <cell r="DM168">
            <v>28000</v>
          </cell>
          <cell r="DN168">
            <v>276360</v>
          </cell>
          <cell r="DO168">
            <v>1.9743589743589742</v>
          </cell>
          <cell r="DP168" t="str">
            <v>OK</v>
          </cell>
          <cell r="DQ168">
            <v>14181.81818181818</v>
          </cell>
        </row>
        <row r="169">
          <cell r="B169">
            <v>405354</v>
          </cell>
          <cell r="C169" t="str">
            <v>ETIQ. CIRCULAR 90cm IMPR. JUMBO KUCHEN DE DURAZNO</v>
          </cell>
          <cell r="D169"/>
          <cell r="E169"/>
          <cell r="F169"/>
          <cell r="G169"/>
          <cell r="H169"/>
          <cell r="I169"/>
          <cell r="J169">
            <v>3000</v>
          </cell>
          <cell r="K169"/>
          <cell r="L169"/>
          <cell r="M169">
            <v>1000</v>
          </cell>
          <cell r="N169">
            <v>2000</v>
          </cell>
          <cell r="O169">
            <v>2000</v>
          </cell>
          <cell r="P169"/>
          <cell r="Q169">
            <v>1000</v>
          </cell>
          <cell r="R169">
            <v>2000</v>
          </cell>
          <cell r="S169"/>
          <cell r="T169">
            <v>1000</v>
          </cell>
          <cell r="U169"/>
          <cell r="V169">
            <v>1000</v>
          </cell>
          <cell r="W169">
            <v>2000</v>
          </cell>
          <cell r="X169">
            <v>2000</v>
          </cell>
          <cell r="Y169"/>
          <cell r="Z169"/>
          <cell r="AA169"/>
          <cell r="AB169"/>
          <cell r="AC169"/>
          <cell r="AD169"/>
          <cell r="AE169"/>
          <cell r="AF169">
            <v>1000</v>
          </cell>
          <cell r="AG169"/>
          <cell r="AH169">
            <v>1000</v>
          </cell>
          <cell r="AI169">
            <v>1000</v>
          </cell>
          <cell r="AJ169">
            <v>1000</v>
          </cell>
          <cell r="AK169">
            <v>1000</v>
          </cell>
          <cell r="AL169"/>
          <cell r="AM169">
            <v>1000</v>
          </cell>
          <cell r="AN169">
            <v>3000</v>
          </cell>
          <cell r="AO169">
            <v>1000</v>
          </cell>
          <cell r="AP169">
            <v>1000</v>
          </cell>
          <cell r="AQ169"/>
          <cell r="AR169">
            <v>2000</v>
          </cell>
          <cell r="AS169"/>
          <cell r="AT169">
            <v>1000</v>
          </cell>
          <cell r="AU169">
            <v>1000</v>
          </cell>
          <cell r="AV169">
            <v>3000</v>
          </cell>
          <cell r="AW169">
            <v>2000</v>
          </cell>
          <cell r="AX169"/>
          <cell r="AY169">
            <v>2000</v>
          </cell>
          <cell r="AZ169"/>
          <cell r="BA169"/>
          <cell r="BB169">
            <v>1000</v>
          </cell>
          <cell r="BC169">
            <v>1000</v>
          </cell>
          <cell r="BD169">
            <v>2000</v>
          </cell>
          <cell r="BE169">
            <v>3000</v>
          </cell>
          <cell r="BF169"/>
          <cell r="BG169">
            <v>1000</v>
          </cell>
          <cell r="BH169">
            <v>3000</v>
          </cell>
          <cell r="BI169"/>
          <cell r="BJ169">
            <v>2000</v>
          </cell>
          <cell r="BK169">
            <v>2000</v>
          </cell>
          <cell r="BL169">
            <v>2000</v>
          </cell>
          <cell r="BM169">
            <v>1000</v>
          </cell>
          <cell r="BN169">
            <v>2000</v>
          </cell>
          <cell r="BO169"/>
          <cell r="BP169"/>
          <cell r="BQ169">
            <v>2000</v>
          </cell>
          <cell r="BR169"/>
          <cell r="BS169">
            <v>2000</v>
          </cell>
          <cell r="BT169"/>
          <cell r="BU169">
            <v>3000</v>
          </cell>
          <cell r="BV169">
            <v>2000</v>
          </cell>
          <cell r="BW169">
            <v>3000</v>
          </cell>
          <cell r="BX169"/>
          <cell r="BY169">
            <v>1000</v>
          </cell>
          <cell r="BZ169">
            <v>1000</v>
          </cell>
          <cell r="CA169">
            <v>2000</v>
          </cell>
          <cell r="CB169">
            <v>1000</v>
          </cell>
          <cell r="CC169"/>
          <cell r="CD169">
            <v>8000</v>
          </cell>
          <cell r="CE169"/>
          <cell r="CF169">
            <v>1000</v>
          </cell>
          <cell r="CG169"/>
          <cell r="CH169">
            <v>1000</v>
          </cell>
          <cell r="CI169">
            <v>2000</v>
          </cell>
          <cell r="CJ169"/>
          <cell r="CK169"/>
          <cell r="CL169"/>
          <cell r="CM169">
            <v>2000</v>
          </cell>
          <cell r="CN169"/>
          <cell r="CO169"/>
          <cell r="CP169"/>
          <cell r="CQ169">
            <v>1000</v>
          </cell>
          <cell r="CR169">
            <v>2000</v>
          </cell>
          <cell r="CS169">
            <v>1000</v>
          </cell>
          <cell r="CT169">
            <v>1000</v>
          </cell>
          <cell r="CU169">
            <v>1000</v>
          </cell>
          <cell r="CV169">
            <v>500</v>
          </cell>
          <cell r="CW169">
            <v>2000</v>
          </cell>
          <cell r="CX169"/>
          <cell r="CY169"/>
          <cell r="CZ169">
            <v>2000</v>
          </cell>
          <cell r="DA169">
            <v>1000</v>
          </cell>
          <cell r="DB169"/>
          <cell r="DC169">
            <v>1000</v>
          </cell>
          <cell r="DD169">
            <v>1000</v>
          </cell>
          <cell r="DE169">
            <v>1000</v>
          </cell>
          <cell r="DF169"/>
          <cell r="DG169" t="str">
            <v>ACTIVO</v>
          </cell>
          <cell r="DH169" t="str">
            <v>C</v>
          </cell>
          <cell r="DI169"/>
          <cell r="DJ169">
            <v>1300</v>
          </cell>
          <cell r="DK169">
            <v>216.66666666666666</v>
          </cell>
          <cell r="DL169">
            <v>1290.6870325036259</v>
          </cell>
          <cell r="DM169">
            <v>7000</v>
          </cell>
          <cell r="DN169">
            <v>120190</v>
          </cell>
          <cell r="DO169">
            <v>5.384615384615385</v>
          </cell>
          <cell r="DP169" t="str">
            <v>OK</v>
          </cell>
          <cell r="DQ169">
            <v>1300</v>
          </cell>
        </row>
        <row r="170">
          <cell r="B170">
            <v>405360</v>
          </cell>
          <cell r="C170" t="str">
            <v>ETIQ. CIRCULAR 90cm IMPR. JUMBO KUCHEN DE FRAMBUESA</v>
          </cell>
          <cell r="D170"/>
          <cell r="E170"/>
          <cell r="F170"/>
          <cell r="G170"/>
          <cell r="H170"/>
          <cell r="I170"/>
          <cell r="J170">
            <v>2000</v>
          </cell>
          <cell r="K170">
            <v>2000</v>
          </cell>
          <cell r="L170"/>
          <cell r="M170">
            <v>1000</v>
          </cell>
          <cell r="N170">
            <v>2000</v>
          </cell>
          <cell r="O170">
            <v>2000</v>
          </cell>
          <cell r="P170"/>
          <cell r="Q170"/>
          <cell r="R170">
            <v>2000</v>
          </cell>
          <cell r="S170"/>
          <cell r="T170"/>
          <cell r="U170"/>
          <cell r="V170"/>
          <cell r="W170"/>
          <cell r="X170">
            <v>2000</v>
          </cell>
          <cell r="Y170">
            <v>1000</v>
          </cell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>
            <v>1000</v>
          </cell>
          <cell r="AK170">
            <v>1000</v>
          </cell>
          <cell r="AL170">
            <v>1000</v>
          </cell>
          <cell r="AM170">
            <v>1000</v>
          </cell>
          <cell r="AN170"/>
          <cell r="AO170">
            <v>1</v>
          </cell>
          <cell r="AP170">
            <v>1000</v>
          </cell>
          <cell r="AQ170">
            <v>1000</v>
          </cell>
          <cell r="AR170">
            <v>1000</v>
          </cell>
          <cell r="AS170"/>
          <cell r="AT170">
            <v>1000</v>
          </cell>
          <cell r="AU170">
            <v>1000</v>
          </cell>
          <cell r="AV170">
            <v>2000</v>
          </cell>
          <cell r="AW170">
            <v>6000</v>
          </cell>
          <cell r="AX170"/>
          <cell r="AY170">
            <v>2000</v>
          </cell>
          <cell r="AZ170"/>
          <cell r="BA170">
            <v>1000</v>
          </cell>
          <cell r="BB170">
            <v>3000</v>
          </cell>
          <cell r="BC170"/>
          <cell r="BD170"/>
          <cell r="BE170">
            <v>1000</v>
          </cell>
          <cell r="BF170"/>
          <cell r="BG170">
            <v>1000</v>
          </cell>
          <cell r="BH170">
            <v>4000</v>
          </cell>
          <cell r="BI170"/>
          <cell r="BJ170">
            <v>2000</v>
          </cell>
          <cell r="BK170">
            <v>2000</v>
          </cell>
          <cell r="BL170">
            <v>2000</v>
          </cell>
          <cell r="BM170">
            <v>2000</v>
          </cell>
          <cell r="BN170">
            <v>4000</v>
          </cell>
          <cell r="BO170"/>
          <cell r="BP170"/>
          <cell r="BQ170">
            <v>3000</v>
          </cell>
          <cell r="BR170">
            <v>2000</v>
          </cell>
          <cell r="BS170">
            <v>2000</v>
          </cell>
          <cell r="BT170"/>
          <cell r="BU170">
            <v>2000</v>
          </cell>
          <cell r="BV170">
            <v>2000</v>
          </cell>
          <cell r="BW170">
            <v>4000</v>
          </cell>
          <cell r="BX170"/>
          <cell r="BY170">
            <v>1000</v>
          </cell>
          <cell r="BZ170">
            <v>1000</v>
          </cell>
          <cell r="CA170">
            <v>2000</v>
          </cell>
          <cell r="CB170">
            <v>1000</v>
          </cell>
          <cell r="CC170"/>
          <cell r="CD170">
            <v>5000</v>
          </cell>
          <cell r="CE170"/>
          <cell r="CF170">
            <v>1000</v>
          </cell>
          <cell r="CG170"/>
          <cell r="CH170">
            <v>1000</v>
          </cell>
          <cell r="CI170">
            <v>2000</v>
          </cell>
          <cell r="CJ170"/>
          <cell r="CK170"/>
          <cell r="CL170">
            <v>3000</v>
          </cell>
          <cell r="CM170"/>
          <cell r="CN170">
            <v>2000</v>
          </cell>
          <cell r="CO170"/>
          <cell r="CP170"/>
          <cell r="CQ170">
            <v>2000</v>
          </cell>
          <cell r="CR170">
            <v>3000</v>
          </cell>
          <cell r="CS170">
            <v>1000</v>
          </cell>
          <cell r="CT170">
            <v>2000</v>
          </cell>
          <cell r="CU170"/>
          <cell r="CV170"/>
          <cell r="CW170"/>
          <cell r="CX170"/>
          <cell r="CY170">
            <v>1000</v>
          </cell>
          <cell r="CZ170"/>
          <cell r="DA170"/>
          <cell r="DB170">
            <v>1000</v>
          </cell>
          <cell r="DC170">
            <v>1000</v>
          </cell>
          <cell r="DD170">
            <v>1000</v>
          </cell>
          <cell r="DE170">
            <v>1000</v>
          </cell>
          <cell r="DF170"/>
          <cell r="DG170" t="str">
            <v>ACTIVO</v>
          </cell>
          <cell r="DH170" t="str">
            <v>C</v>
          </cell>
          <cell r="DI170"/>
          <cell r="DJ170">
            <v>1615.3846153846155</v>
          </cell>
          <cell r="DK170">
            <v>269.23076923076923</v>
          </cell>
          <cell r="DL170">
            <v>1324.3462830921928</v>
          </cell>
          <cell r="DM170">
            <v>1000</v>
          </cell>
          <cell r="DN170">
            <v>17170</v>
          </cell>
          <cell r="DO170">
            <v>0.61904761904761907</v>
          </cell>
          <cell r="DP170" t="str">
            <v>OK</v>
          </cell>
          <cell r="DQ170">
            <v>1615.3846153846152</v>
          </cell>
        </row>
        <row r="171">
          <cell r="B171">
            <v>404755</v>
          </cell>
          <cell r="C171" t="str">
            <v>ETIQUETA KUCHEN MANZANA WALMART</v>
          </cell>
          <cell r="D171"/>
          <cell r="E171">
            <v>1500</v>
          </cell>
          <cell r="F171">
            <v>1500</v>
          </cell>
          <cell r="G171">
            <v>4000</v>
          </cell>
          <cell r="H171"/>
          <cell r="I171">
            <v>1500</v>
          </cell>
          <cell r="J171">
            <v>1500</v>
          </cell>
          <cell r="K171">
            <v>2000</v>
          </cell>
          <cell r="L171">
            <v>2000</v>
          </cell>
          <cell r="M171">
            <v>2000</v>
          </cell>
          <cell r="N171">
            <v>1000</v>
          </cell>
          <cell r="O171">
            <v>3500</v>
          </cell>
          <cell r="P171"/>
          <cell r="Q171"/>
          <cell r="R171">
            <v>1000</v>
          </cell>
          <cell r="S171"/>
          <cell r="T171">
            <v>1000</v>
          </cell>
          <cell r="U171"/>
          <cell r="V171">
            <v>2000</v>
          </cell>
          <cell r="W171">
            <v>1000</v>
          </cell>
          <cell r="X171">
            <v>2000</v>
          </cell>
          <cell r="Y171">
            <v>3500</v>
          </cell>
          <cell r="Z171"/>
          <cell r="AA171">
            <v>2000</v>
          </cell>
          <cell r="AB171">
            <v>1000</v>
          </cell>
          <cell r="AC171">
            <v>2000</v>
          </cell>
          <cell r="AD171">
            <v>500</v>
          </cell>
          <cell r="AE171"/>
          <cell r="AF171">
            <v>2000</v>
          </cell>
          <cell r="AG171"/>
          <cell r="AH171"/>
          <cell r="AI171">
            <v>2000</v>
          </cell>
          <cell r="AJ171">
            <v>2000</v>
          </cell>
          <cell r="AK171">
            <v>2000</v>
          </cell>
          <cell r="AL171"/>
          <cell r="AM171"/>
          <cell r="AN171">
            <v>2000</v>
          </cell>
          <cell r="AO171">
            <v>500</v>
          </cell>
          <cell r="AP171">
            <v>4000</v>
          </cell>
          <cell r="AQ171">
            <v>2000</v>
          </cell>
          <cell r="AR171">
            <v>3500</v>
          </cell>
          <cell r="AS171"/>
          <cell r="AT171">
            <v>4000</v>
          </cell>
          <cell r="AU171">
            <v>5000</v>
          </cell>
          <cell r="AV171">
            <v>2000</v>
          </cell>
          <cell r="AW171">
            <v>5000</v>
          </cell>
          <cell r="AX171">
            <v>4500</v>
          </cell>
          <cell r="AY171">
            <v>2500</v>
          </cell>
          <cell r="AZ171"/>
          <cell r="BA171">
            <v>2500</v>
          </cell>
          <cell r="BB171">
            <v>1000</v>
          </cell>
          <cell r="BC171"/>
          <cell r="BD171">
            <v>1000</v>
          </cell>
          <cell r="BE171">
            <v>2000</v>
          </cell>
          <cell r="BF171"/>
          <cell r="BG171">
            <v>1500</v>
          </cell>
          <cell r="BH171">
            <v>3000</v>
          </cell>
          <cell r="BI171"/>
          <cell r="BJ171">
            <v>4000</v>
          </cell>
          <cell r="BK171">
            <v>2500</v>
          </cell>
          <cell r="BL171">
            <v>1500</v>
          </cell>
          <cell r="BM171">
            <v>1500</v>
          </cell>
          <cell r="BN171">
            <v>3000</v>
          </cell>
          <cell r="BO171"/>
          <cell r="BP171"/>
          <cell r="BQ171">
            <v>5000</v>
          </cell>
          <cell r="BR171"/>
          <cell r="BS171">
            <v>5000</v>
          </cell>
          <cell r="BT171"/>
          <cell r="BU171">
            <v>2000</v>
          </cell>
          <cell r="BV171">
            <v>1000</v>
          </cell>
          <cell r="BW171">
            <v>3000</v>
          </cell>
          <cell r="BX171"/>
          <cell r="BY171">
            <v>1500</v>
          </cell>
          <cell r="BZ171">
            <v>3000</v>
          </cell>
          <cell r="CA171">
            <v>2500</v>
          </cell>
          <cell r="CB171">
            <v>1500</v>
          </cell>
          <cell r="CC171"/>
          <cell r="CD171">
            <v>10000</v>
          </cell>
          <cell r="CE171"/>
          <cell r="CF171">
            <v>1500</v>
          </cell>
          <cell r="CG171"/>
          <cell r="CH171">
            <v>1500</v>
          </cell>
          <cell r="CI171">
            <v>6000</v>
          </cell>
          <cell r="CJ171"/>
          <cell r="CK171"/>
          <cell r="CL171">
            <v>2500</v>
          </cell>
          <cell r="CM171">
            <v>2500</v>
          </cell>
          <cell r="CN171">
            <v>2500</v>
          </cell>
          <cell r="CO171">
            <v>4000</v>
          </cell>
          <cell r="CP171"/>
          <cell r="CQ171"/>
          <cell r="CR171"/>
          <cell r="CS171"/>
          <cell r="CT171"/>
          <cell r="CU171"/>
          <cell r="CV171">
            <v>6500</v>
          </cell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 t="str">
            <v>SIN USO</v>
          </cell>
          <cell r="DH171" t="str">
            <v>C</v>
          </cell>
          <cell r="DI171"/>
          <cell r="DJ171">
            <v>3375</v>
          </cell>
          <cell r="DK171">
            <v>562.5</v>
          </cell>
          <cell r="DL171">
            <v>1761.8082341640518</v>
          </cell>
          <cell r="DM171">
            <v>0</v>
          </cell>
          <cell r="DN171" t="str">
            <v>0</v>
          </cell>
          <cell r="DO171">
            <v>0</v>
          </cell>
          <cell r="DP171" t="str">
            <v>INACTIVO</v>
          </cell>
          <cell r="DQ171">
            <v>3375</v>
          </cell>
        </row>
        <row r="172">
          <cell r="B172">
            <v>405312</v>
          </cell>
          <cell r="C172" t="str">
            <v>ETIQUETA GENERICA TORTA FRUTOS DEL BOSQUE</v>
          </cell>
          <cell r="D172">
            <v>5000</v>
          </cell>
          <cell r="E172">
            <v>2500</v>
          </cell>
          <cell r="F172"/>
          <cell r="G172">
            <v>5000</v>
          </cell>
          <cell r="H172"/>
          <cell r="I172">
            <v>1000</v>
          </cell>
          <cell r="J172">
            <v>1000</v>
          </cell>
          <cell r="K172">
            <v>1500</v>
          </cell>
          <cell r="L172">
            <v>3000</v>
          </cell>
          <cell r="M172"/>
          <cell r="N172"/>
          <cell r="O172"/>
          <cell r="P172">
            <v>2500</v>
          </cell>
          <cell r="Q172">
            <v>2000</v>
          </cell>
          <cell r="R172"/>
          <cell r="S172">
            <v>3500</v>
          </cell>
          <cell r="T172">
            <v>1000</v>
          </cell>
          <cell r="U172"/>
          <cell r="V172">
            <v>1500</v>
          </cell>
          <cell r="W172">
            <v>1000</v>
          </cell>
          <cell r="X172">
            <v>5000</v>
          </cell>
          <cell r="Y172"/>
          <cell r="Z172"/>
          <cell r="AA172"/>
          <cell r="AB172">
            <v>4000</v>
          </cell>
          <cell r="AC172"/>
          <cell r="AD172"/>
          <cell r="AE172"/>
          <cell r="AF172"/>
          <cell r="AG172"/>
          <cell r="AH172"/>
          <cell r="AI172">
            <v>2000</v>
          </cell>
          <cell r="AJ172">
            <v>4000</v>
          </cell>
          <cell r="AK172">
            <v>5000</v>
          </cell>
          <cell r="AL172">
            <v>2500</v>
          </cell>
          <cell r="AM172">
            <v>1000</v>
          </cell>
          <cell r="AN172">
            <v>2000</v>
          </cell>
          <cell r="AO172"/>
          <cell r="AP172">
            <v>5000</v>
          </cell>
          <cell r="AQ172"/>
          <cell r="AR172">
            <v>3500</v>
          </cell>
          <cell r="AS172"/>
          <cell r="AT172"/>
          <cell r="AU172"/>
          <cell r="AV172"/>
          <cell r="AW172"/>
          <cell r="AX172"/>
          <cell r="AY172"/>
          <cell r="AZ172"/>
          <cell r="BA172">
            <v>3500</v>
          </cell>
          <cell r="BB172">
            <v>1500</v>
          </cell>
          <cell r="BC172">
            <v>2500</v>
          </cell>
          <cell r="BD172">
            <v>3000</v>
          </cell>
          <cell r="BE172">
            <v>3000</v>
          </cell>
          <cell r="BF172"/>
          <cell r="BG172"/>
          <cell r="BH172">
            <v>2500</v>
          </cell>
          <cell r="BI172">
            <v>2500</v>
          </cell>
          <cell r="BJ172">
            <v>2500</v>
          </cell>
          <cell r="BK172">
            <v>2500</v>
          </cell>
          <cell r="BL172">
            <v>2500</v>
          </cell>
          <cell r="BM172">
            <v>5000</v>
          </cell>
          <cell r="BN172"/>
          <cell r="BO172"/>
          <cell r="BP172"/>
          <cell r="BQ172">
            <v>2000</v>
          </cell>
          <cell r="BR172"/>
          <cell r="BS172">
            <v>5000</v>
          </cell>
          <cell r="BT172">
            <v>1500</v>
          </cell>
          <cell r="BU172"/>
          <cell r="BV172"/>
          <cell r="BW172"/>
          <cell r="BX172"/>
          <cell r="BY172">
            <v>2500</v>
          </cell>
          <cell r="BZ172">
            <v>2500</v>
          </cell>
          <cell r="CA172">
            <v>2500</v>
          </cell>
          <cell r="CB172">
            <v>1500</v>
          </cell>
          <cell r="CC172"/>
          <cell r="CD172">
            <v>10500</v>
          </cell>
          <cell r="CE172"/>
          <cell r="CF172"/>
          <cell r="CG172"/>
          <cell r="CH172"/>
          <cell r="CI172">
            <v>5000</v>
          </cell>
          <cell r="CJ172"/>
          <cell r="CK172"/>
          <cell r="CL172">
            <v>5000</v>
          </cell>
          <cell r="CM172">
            <v>2500</v>
          </cell>
          <cell r="CN172">
            <v>5000</v>
          </cell>
          <cell r="CO172">
            <v>10000</v>
          </cell>
          <cell r="CP172"/>
          <cell r="CQ172"/>
          <cell r="CR172">
            <v>0</v>
          </cell>
          <cell r="CS172"/>
          <cell r="CT172">
            <v>500</v>
          </cell>
          <cell r="CU172"/>
          <cell r="CV172">
            <v>9500</v>
          </cell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 t="str">
            <v>SIN USO</v>
          </cell>
          <cell r="DH172" t="str">
            <v>C</v>
          </cell>
          <cell r="DI172"/>
          <cell r="DJ172">
            <v>5357.1428571428569</v>
          </cell>
          <cell r="DK172">
            <v>892.85714285714278</v>
          </cell>
          <cell r="DL172">
            <v>1857.0724134287141</v>
          </cell>
          <cell r="DM172">
            <v>0</v>
          </cell>
          <cell r="DN172" t="str">
            <v>0</v>
          </cell>
          <cell r="DO172">
            <v>0</v>
          </cell>
          <cell r="DP172" t="str">
            <v>INACTIVO</v>
          </cell>
          <cell r="DQ172">
            <v>5357.1428571428569</v>
          </cell>
        </row>
        <row r="173">
          <cell r="B173">
            <v>405191</v>
          </cell>
          <cell r="C173" t="str">
            <v>ETIQUETA GENERICA TORTA TRES LECHES</v>
          </cell>
          <cell r="D173">
            <v>7500</v>
          </cell>
          <cell r="E173">
            <v>6000</v>
          </cell>
          <cell r="F173">
            <v>6000</v>
          </cell>
          <cell r="G173">
            <v>11000</v>
          </cell>
          <cell r="H173"/>
          <cell r="I173">
            <v>6500</v>
          </cell>
          <cell r="J173">
            <v>5500</v>
          </cell>
          <cell r="K173">
            <v>7000</v>
          </cell>
          <cell r="L173">
            <v>7500</v>
          </cell>
          <cell r="M173">
            <v>5500</v>
          </cell>
          <cell r="N173">
            <v>5000</v>
          </cell>
          <cell r="O173">
            <v>7500</v>
          </cell>
          <cell r="P173"/>
          <cell r="Q173">
            <v>2000</v>
          </cell>
          <cell r="R173">
            <v>5000</v>
          </cell>
          <cell r="S173">
            <v>7000</v>
          </cell>
          <cell r="T173">
            <v>5000</v>
          </cell>
          <cell r="U173"/>
          <cell r="V173">
            <v>6500</v>
          </cell>
          <cell r="W173">
            <v>6000</v>
          </cell>
          <cell r="X173"/>
          <cell r="Y173">
            <v>11000</v>
          </cell>
          <cell r="Z173"/>
          <cell r="AA173">
            <v>2000</v>
          </cell>
          <cell r="AB173">
            <v>7000</v>
          </cell>
          <cell r="AC173">
            <v>5000</v>
          </cell>
          <cell r="AD173">
            <v>10000</v>
          </cell>
          <cell r="AE173"/>
          <cell r="AF173"/>
          <cell r="AG173">
            <v>4500</v>
          </cell>
          <cell r="AH173">
            <v>4000</v>
          </cell>
          <cell r="AI173">
            <v>4000</v>
          </cell>
          <cell r="AJ173"/>
          <cell r="AK173">
            <v>1500</v>
          </cell>
          <cell r="AL173"/>
          <cell r="AM173"/>
          <cell r="AN173">
            <v>3000</v>
          </cell>
          <cell r="AO173"/>
          <cell r="AP173">
            <v>2000</v>
          </cell>
          <cell r="AQ173">
            <v>6000</v>
          </cell>
          <cell r="AR173">
            <v>10500</v>
          </cell>
          <cell r="AS173"/>
          <cell r="AT173">
            <v>4500</v>
          </cell>
          <cell r="AU173">
            <v>9000</v>
          </cell>
          <cell r="AV173">
            <v>5000</v>
          </cell>
          <cell r="AW173">
            <v>12000</v>
          </cell>
          <cell r="AX173">
            <v>5000</v>
          </cell>
          <cell r="AY173">
            <v>5500</v>
          </cell>
          <cell r="AZ173"/>
          <cell r="BA173">
            <v>5500</v>
          </cell>
          <cell r="BB173">
            <v>2000</v>
          </cell>
          <cell r="BC173">
            <v>5500</v>
          </cell>
          <cell r="BD173">
            <v>9500</v>
          </cell>
          <cell r="BE173">
            <v>6000</v>
          </cell>
          <cell r="BF173"/>
          <cell r="BG173">
            <v>6000</v>
          </cell>
          <cell r="BH173">
            <v>14500</v>
          </cell>
          <cell r="BI173"/>
          <cell r="BJ173">
            <v>11500</v>
          </cell>
          <cell r="BK173">
            <v>8500</v>
          </cell>
          <cell r="BL173">
            <v>8500</v>
          </cell>
          <cell r="BM173">
            <v>8000</v>
          </cell>
          <cell r="BN173">
            <v>13000</v>
          </cell>
          <cell r="BO173"/>
          <cell r="BP173">
            <v>1000</v>
          </cell>
          <cell r="BQ173">
            <v>11000</v>
          </cell>
          <cell r="BR173"/>
          <cell r="BS173">
            <v>7000</v>
          </cell>
          <cell r="BT173"/>
          <cell r="BU173">
            <v>9500</v>
          </cell>
          <cell r="BV173">
            <v>2000</v>
          </cell>
          <cell r="BW173">
            <v>9000</v>
          </cell>
          <cell r="BX173"/>
          <cell r="BY173">
            <v>5000</v>
          </cell>
          <cell r="BZ173">
            <v>5500</v>
          </cell>
          <cell r="CA173">
            <v>9000</v>
          </cell>
          <cell r="CB173">
            <v>4000</v>
          </cell>
          <cell r="CC173"/>
          <cell r="CD173">
            <v>8000</v>
          </cell>
          <cell r="CE173"/>
          <cell r="CF173">
            <v>4500</v>
          </cell>
          <cell r="CG173"/>
          <cell r="CH173">
            <v>5000</v>
          </cell>
          <cell r="CI173">
            <v>10000</v>
          </cell>
          <cell r="CJ173"/>
          <cell r="CK173">
            <v>1000</v>
          </cell>
          <cell r="CL173">
            <v>5000</v>
          </cell>
          <cell r="CM173">
            <v>5000</v>
          </cell>
          <cell r="CN173">
            <v>5000</v>
          </cell>
          <cell r="CO173">
            <v>5000</v>
          </cell>
          <cell r="CP173"/>
          <cell r="CQ173">
            <v>3600</v>
          </cell>
          <cell r="CR173">
            <v>0</v>
          </cell>
          <cell r="CS173"/>
          <cell r="CT173"/>
          <cell r="CU173">
            <v>2500</v>
          </cell>
          <cell r="CV173">
            <v>18900</v>
          </cell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 t="str">
            <v>SIN USO</v>
          </cell>
          <cell r="DH173" t="str">
            <v>C</v>
          </cell>
          <cell r="DI173"/>
          <cell r="DJ173">
            <v>5954.545454545455</v>
          </cell>
          <cell r="DK173">
            <v>992.42424242424249</v>
          </cell>
          <cell r="DL173">
            <v>3386.7898289302429</v>
          </cell>
          <cell r="DM173">
            <v>0</v>
          </cell>
          <cell r="DN173" t="str">
            <v>0</v>
          </cell>
          <cell r="DO173">
            <v>0</v>
          </cell>
          <cell r="DP173" t="str">
            <v>INACTIVO</v>
          </cell>
          <cell r="DQ173">
            <v>5954.545454545455</v>
          </cell>
        </row>
        <row r="174">
          <cell r="B174">
            <v>405193</v>
          </cell>
          <cell r="C174" t="str">
            <v>ETIQUETA GENERICA TORTA SAN JORGE</v>
          </cell>
          <cell r="D174">
            <v>2000</v>
          </cell>
          <cell r="E174">
            <v>2000</v>
          </cell>
          <cell r="F174">
            <v>2000</v>
          </cell>
          <cell r="G174">
            <v>3500</v>
          </cell>
          <cell r="H174"/>
          <cell r="I174">
            <v>1500</v>
          </cell>
          <cell r="J174">
            <v>1500</v>
          </cell>
          <cell r="K174">
            <v>1500</v>
          </cell>
          <cell r="L174">
            <v>2000</v>
          </cell>
          <cell r="M174">
            <v>2000</v>
          </cell>
          <cell r="N174">
            <v>2000</v>
          </cell>
          <cell r="O174">
            <v>3500</v>
          </cell>
          <cell r="P174"/>
          <cell r="Q174">
            <v>1500</v>
          </cell>
          <cell r="R174">
            <v>2000</v>
          </cell>
          <cell r="S174">
            <v>2000</v>
          </cell>
          <cell r="T174">
            <v>1000</v>
          </cell>
          <cell r="U174"/>
          <cell r="V174">
            <v>2000</v>
          </cell>
          <cell r="W174">
            <v>1000</v>
          </cell>
          <cell r="X174">
            <v>3000</v>
          </cell>
          <cell r="Y174">
            <v>1500</v>
          </cell>
          <cell r="Z174"/>
          <cell r="AA174">
            <v>2000</v>
          </cell>
          <cell r="AB174">
            <v>2000</v>
          </cell>
          <cell r="AC174">
            <v>1000</v>
          </cell>
          <cell r="AD174">
            <v>2000</v>
          </cell>
          <cell r="AE174"/>
          <cell r="AF174">
            <v>1500</v>
          </cell>
          <cell r="AG174">
            <v>2000</v>
          </cell>
          <cell r="AH174">
            <v>1500</v>
          </cell>
          <cell r="AI174">
            <v>1500</v>
          </cell>
          <cell r="AJ174">
            <v>3000</v>
          </cell>
          <cell r="AK174">
            <v>2000</v>
          </cell>
          <cell r="AL174">
            <v>2000</v>
          </cell>
          <cell r="AM174">
            <v>2500</v>
          </cell>
          <cell r="AN174">
            <v>2000</v>
          </cell>
          <cell r="AO174">
            <v>1000</v>
          </cell>
          <cell r="AP174">
            <v>2000</v>
          </cell>
          <cell r="AQ174">
            <v>2500</v>
          </cell>
          <cell r="AR174">
            <v>5000</v>
          </cell>
          <cell r="AS174">
            <v>500</v>
          </cell>
          <cell r="AT174">
            <v>3000</v>
          </cell>
          <cell r="AU174">
            <v>3000</v>
          </cell>
          <cell r="AV174">
            <v>2500</v>
          </cell>
          <cell r="AW174">
            <v>4000</v>
          </cell>
          <cell r="AX174">
            <v>3000</v>
          </cell>
          <cell r="AY174">
            <v>3500</v>
          </cell>
          <cell r="AZ174"/>
          <cell r="BA174">
            <v>3000</v>
          </cell>
          <cell r="BB174">
            <v>2000</v>
          </cell>
          <cell r="BC174">
            <v>1000</v>
          </cell>
          <cell r="BD174">
            <v>4000</v>
          </cell>
          <cell r="BE174">
            <v>3000</v>
          </cell>
          <cell r="BF174">
            <v>1500</v>
          </cell>
          <cell r="BG174">
            <v>3000</v>
          </cell>
          <cell r="BH174">
            <v>6000</v>
          </cell>
          <cell r="BI174"/>
          <cell r="BJ174">
            <v>3500</v>
          </cell>
          <cell r="BK174">
            <v>3000</v>
          </cell>
          <cell r="BL174">
            <v>2000</v>
          </cell>
          <cell r="BM174">
            <v>2500</v>
          </cell>
          <cell r="BN174">
            <v>6000</v>
          </cell>
          <cell r="BO174">
            <v>3500</v>
          </cell>
          <cell r="BP174"/>
          <cell r="BQ174">
            <v>10500</v>
          </cell>
          <cell r="BR174"/>
          <cell r="BS174">
            <v>5500</v>
          </cell>
          <cell r="BT174">
            <v>1500</v>
          </cell>
          <cell r="BU174">
            <v>12000</v>
          </cell>
          <cell r="BV174">
            <v>4000</v>
          </cell>
          <cell r="BW174">
            <v>5000</v>
          </cell>
          <cell r="BX174"/>
          <cell r="BY174">
            <v>3000</v>
          </cell>
          <cell r="BZ174">
            <v>2500</v>
          </cell>
          <cell r="CA174">
            <v>5000</v>
          </cell>
          <cell r="CB174">
            <v>2500</v>
          </cell>
          <cell r="CC174"/>
          <cell r="CD174">
            <v>12000</v>
          </cell>
          <cell r="CE174"/>
          <cell r="CF174">
            <v>2500</v>
          </cell>
          <cell r="CG174"/>
          <cell r="CH174">
            <v>3000</v>
          </cell>
          <cell r="CI174">
            <v>4000</v>
          </cell>
          <cell r="CJ174"/>
          <cell r="CK174">
            <v>2000</v>
          </cell>
          <cell r="CL174">
            <v>2500</v>
          </cell>
          <cell r="CM174">
            <v>2500</v>
          </cell>
          <cell r="CN174">
            <v>3500</v>
          </cell>
          <cell r="CO174">
            <v>1500</v>
          </cell>
          <cell r="CP174"/>
          <cell r="CQ174"/>
          <cell r="CR174">
            <v>4500</v>
          </cell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 t="str">
            <v>SIN USO</v>
          </cell>
          <cell r="DH174" t="str">
            <v>C</v>
          </cell>
          <cell r="DI174"/>
          <cell r="DJ174">
            <v>2888.8888888888887</v>
          </cell>
          <cell r="DK174">
            <v>481.48148148148147</v>
          </cell>
          <cell r="DL174">
            <v>2535.7046318130156</v>
          </cell>
          <cell r="DM174">
            <v>0</v>
          </cell>
          <cell r="DN174" t="str">
            <v>0</v>
          </cell>
          <cell r="DO174">
            <v>0</v>
          </cell>
          <cell r="DP174" t="str">
            <v>INACTIVO</v>
          </cell>
          <cell r="DQ174">
            <v>2888.8888888888887</v>
          </cell>
        </row>
        <row r="175">
          <cell r="B175">
            <v>405198</v>
          </cell>
          <cell r="C175" t="str">
            <v>ETIQUETA CONSUMO IMPRESO COLOR CAFÉ</v>
          </cell>
          <cell r="D175">
            <v>12000</v>
          </cell>
          <cell r="E175">
            <v>6000</v>
          </cell>
          <cell r="F175">
            <v>10000</v>
          </cell>
          <cell r="G175">
            <v>20000</v>
          </cell>
          <cell r="H175">
            <v>10000</v>
          </cell>
          <cell r="I175">
            <v>16000</v>
          </cell>
          <cell r="J175">
            <v>22000</v>
          </cell>
          <cell r="K175">
            <v>20000</v>
          </cell>
          <cell r="L175">
            <v>10000</v>
          </cell>
          <cell r="M175">
            <v>6000</v>
          </cell>
          <cell r="N175">
            <v>20000</v>
          </cell>
          <cell r="O175">
            <v>10000</v>
          </cell>
          <cell r="P175">
            <v>6000</v>
          </cell>
          <cell r="Q175">
            <v>48000</v>
          </cell>
          <cell r="R175">
            <v>8000</v>
          </cell>
          <cell r="S175">
            <v>16000</v>
          </cell>
          <cell r="T175">
            <v>12000</v>
          </cell>
          <cell r="U175">
            <v>16000</v>
          </cell>
          <cell r="V175">
            <v>22000</v>
          </cell>
          <cell r="W175">
            <v>6000</v>
          </cell>
          <cell r="X175">
            <v>20000</v>
          </cell>
          <cell r="Y175">
            <v>8000</v>
          </cell>
          <cell r="Z175">
            <v>8000</v>
          </cell>
          <cell r="AA175">
            <v>10000</v>
          </cell>
          <cell r="AB175">
            <v>16000</v>
          </cell>
          <cell r="AC175">
            <v>16000</v>
          </cell>
          <cell r="AD175">
            <v>10000</v>
          </cell>
          <cell r="AE175"/>
          <cell r="AF175">
            <v>16000</v>
          </cell>
          <cell r="AG175">
            <v>14000</v>
          </cell>
          <cell r="AH175">
            <v>36000</v>
          </cell>
          <cell r="AI175">
            <v>26000</v>
          </cell>
          <cell r="AJ175">
            <v>6000</v>
          </cell>
          <cell r="AK175">
            <v>6000</v>
          </cell>
          <cell r="AL175">
            <v>12000</v>
          </cell>
          <cell r="AM175">
            <v>20000</v>
          </cell>
          <cell r="AN175">
            <v>28000</v>
          </cell>
          <cell r="AO175">
            <v>6000</v>
          </cell>
          <cell r="AP175">
            <v>22000</v>
          </cell>
          <cell r="AQ175">
            <v>14000</v>
          </cell>
          <cell r="AR175">
            <v>18000</v>
          </cell>
          <cell r="AS175">
            <v>20000</v>
          </cell>
          <cell r="AT175">
            <v>20000</v>
          </cell>
          <cell r="AU175">
            <v>30000</v>
          </cell>
          <cell r="AV175">
            <v>16000</v>
          </cell>
          <cell r="AW175">
            <v>36000</v>
          </cell>
          <cell r="AX175">
            <v>4000</v>
          </cell>
          <cell r="AY175">
            <v>22000</v>
          </cell>
          <cell r="AZ175">
            <v>38000</v>
          </cell>
          <cell r="BA175">
            <v>12000</v>
          </cell>
          <cell r="BB175">
            <v>12000</v>
          </cell>
          <cell r="BC175">
            <v>18000</v>
          </cell>
          <cell r="BD175">
            <v>10000</v>
          </cell>
          <cell r="BE175">
            <v>32000</v>
          </cell>
          <cell r="BF175">
            <v>6000</v>
          </cell>
          <cell r="BG175">
            <v>17000</v>
          </cell>
          <cell r="BH175">
            <v>26000</v>
          </cell>
          <cell r="BI175">
            <v>16000</v>
          </cell>
          <cell r="BJ175">
            <v>28000</v>
          </cell>
          <cell r="BK175">
            <v>16000</v>
          </cell>
          <cell r="BL175">
            <v>22000</v>
          </cell>
          <cell r="BM175">
            <v>12000</v>
          </cell>
          <cell r="BN175">
            <v>12000</v>
          </cell>
          <cell r="BO175">
            <v>16000</v>
          </cell>
          <cell r="BP175">
            <v>6000</v>
          </cell>
          <cell r="BQ175">
            <v>18000</v>
          </cell>
          <cell r="BR175">
            <v>6000</v>
          </cell>
          <cell r="BS175">
            <v>26000</v>
          </cell>
          <cell r="BT175">
            <v>6000</v>
          </cell>
          <cell r="BU175">
            <v>16000</v>
          </cell>
          <cell r="BV175">
            <v>28000</v>
          </cell>
          <cell r="BW175">
            <v>10000</v>
          </cell>
          <cell r="BX175">
            <v>16000</v>
          </cell>
          <cell r="BY175"/>
          <cell r="BZ175">
            <v>8000</v>
          </cell>
          <cell r="CA175">
            <v>18000</v>
          </cell>
          <cell r="CB175">
            <v>6000</v>
          </cell>
          <cell r="CC175">
            <v>10000</v>
          </cell>
          <cell r="CD175">
            <v>10000</v>
          </cell>
          <cell r="CE175">
            <v>16000</v>
          </cell>
          <cell r="CF175"/>
          <cell r="CG175">
            <v>12000</v>
          </cell>
          <cell r="CH175">
            <v>8000</v>
          </cell>
          <cell r="CI175">
            <v>8000</v>
          </cell>
          <cell r="CJ175">
            <v>16000</v>
          </cell>
          <cell r="CK175">
            <v>8000</v>
          </cell>
          <cell r="CL175">
            <v>8000</v>
          </cell>
          <cell r="CM175">
            <v>14000</v>
          </cell>
          <cell r="CN175">
            <v>14000</v>
          </cell>
          <cell r="CO175">
            <v>18000</v>
          </cell>
          <cell r="CP175">
            <v>10000</v>
          </cell>
          <cell r="CQ175">
            <v>4000</v>
          </cell>
          <cell r="CR175">
            <v>12000</v>
          </cell>
          <cell r="CS175"/>
          <cell r="CT175"/>
          <cell r="CU175"/>
          <cell r="CV175">
            <v>2000</v>
          </cell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 t="str">
            <v>SIN USO</v>
          </cell>
          <cell r="DH175" t="str">
            <v>C</v>
          </cell>
          <cell r="DI175"/>
          <cell r="DJ175">
            <v>10307.692307692309</v>
          </cell>
          <cell r="DK175">
            <v>1717.948717948718</v>
          </cell>
          <cell r="DL175">
            <v>8756.6221439861729</v>
          </cell>
          <cell r="DM175">
            <v>0</v>
          </cell>
          <cell r="DN175" t="str">
            <v>0</v>
          </cell>
          <cell r="DO175">
            <v>0</v>
          </cell>
          <cell r="DP175" t="str">
            <v>INACTIVO</v>
          </cell>
          <cell r="DQ175">
            <v>10307.692307692309</v>
          </cell>
        </row>
        <row r="176">
          <cell r="B176">
            <v>405111</v>
          </cell>
          <cell r="C176" t="str">
            <v>ETIQUETA CIRCULAR TORTA AMOR</v>
          </cell>
          <cell r="D176"/>
          <cell r="E176">
            <v>2000</v>
          </cell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>
            <v>2000</v>
          </cell>
          <cell r="AA176">
            <v>1000</v>
          </cell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>
            <v>6000</v>
          </cell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 t="str">
            <v>SIN USO</v>
          </cell>
          <cell r="DH176" t="str">
            <v>C</v>
          </cell>
          <cell r="DI176"/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 t="str">
            <v>0</v>
          </cell>
          <cell r="DO176">
            <v>0</v>
          </cell>
          <cell r="DP176" t="str">
            <v>INACTIVO</v>
          </cell>
          <cell r="DQ176">
            <v>0</v>
          </cell>
        </row>
        <row r="177">
          <cell r="B177">
            <v>405496</v>
          </cell>
          <cell r="C177" t="str">
            <v>ETIQUETA DECORATIVA PANQUEQUE NARANJA JUMBO</v>
          </cell>
          <cell r="D177"/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>
            <v>2500</v>
          </cell>
          <cell r="BK177"/>
          <cell r="BL177"/>
          <cell r="BM177"/>
          <cell r="BN177">
            <v>2500</v>
          </cell>
          <cell r="BO177"/>
          <cell r="BP177"/>
          <cell r="BQ177">
            <v>2500</v>
          </cell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 t="str">
            <v>SIN USO</v>
          </cell>
          <cell r="DH177" t="str">
            <v>C</v>
          </cell>
          <cell r="DI177"/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 t="str">
            <v>0</v>
          </cell>
          <cell r="DO177">
            <v>0</v>
          </cell>
          <cell r="DP177" t="str">
            <v>INACTIVO</v>
          </cell>
          <cell r="DQ177">
            <v>0</v>
          </cell>
        </row>
        <row r="178">
          <cell r="B178">
            <v>107418</v>
          </cell>
          <cell r="C178" t="str">
            <v>ETIQUETA GENERICA TORTA SELVA NEGRA ESPECIAL WALMART</v>
          </cell>
          <cell r="D178"/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>
            <v>11000</v>
          </cell>
          <cell r="AI178">
            <v>6000</v>
          </cell>
          <cell r="AJ178"/>
          <cell r="AK178">
            <v>3500</v>
          </cell>
          <cell r="AL178">
            <v>1000</v>
          </cell>
          <cell r="AM178"/>
          <cell r="AN178">
            <v>7500</v>
          </cell>
          <cell r="AO178">
            <v>2000</v>
          </cell>
          <cell r="AP178">
            <v>8500</v>
          </cell>
          <cell r="AQ178">
            <v>3500</v>
          </cell>
          <cell r="AR178">
            <v>8500</v>
          </cell>
          <cell r="AS178">
            <v>3500</v>
          </cell>
          <cell r="AT178">
            <v>3000</v>
          </cell>
          <cell r="AU178">
            <v>5000</v>
          </cell>
          <cell r="AV178">
            <v>7000</v>
          </cell>
          <cell r="AW178">
            <v>4000</v>
          </cell>
          <cell r="AX178">
            <v>3500</v>
          </cell>
          <cell r="AY178">
            <v>3500</v>
          </cell>
          <cell r="AZ178"/>
          <cell r="BA178"/>
          <cell r="BB178">
            <v>2500</v>
          </cell>
          <cell r="BC178">
            <v>3000</v>
          </cell>
          <cell r="BD178">
            <v>1500</v>
          </cell>
          <cell r="BE178">
            <v>4500</v>
          </cell>
          <cell r="BF178">
            <v>500</v>
          </cell>
          <cell r="BG178">
            <v>2000</v>
          </cell>
          <cell r="BH178">
            <v>6000</v>
          </cell>
          <cell r="BI178"/>
          <cell r="BJ178">
            <v>4000</v>
          </cell>
          <cell r="BK178">
            <v>4000</v>
          </cell>
          <cell r="BL178">
            <v>9000</v>
          </cell>
          <cell r="BM178">
            <v>2000</v>
          </cell>
          <cell r="BN178">
            <v>4000</v>
          </cell>
          <cell r="BO178"/>
          <cell r="BP178">
            <v>1000</v>
          </cell>
          <cell r="BQ178">
            <v>7000</v>
          </cell>
          <cell r="BR178">
            <v>2000</v>
          </cell>
          <cell r="BS178">
            <v>4000</v>
          </cell>
          <cell r="BT178"/>
          <cell r="BU178">
            <v>3000</v>
          </cell>
          <cell r="BV178">
            <v>8500</v>
          </cell>
          <cell r="BW178">
            <v>1000</v>
          </cell>
          <cell r="BX178"/>
          <cell r="BY178"/>
          <cell r="BZ178"/>
          <cell r="CA178"/>
          <cell r="CB178"/>
          <cell r="CC178"/>
          <cell r="CD178">
            <v>15500</v>
          </cell>
          <cell r="CE178"/>
          <cell r="CF178">
            <v>2000</v>
          </cell>
          <cell r="CG178"/>
          <cell r="CH178"/>
          <cell r="CI178"/>
          <cell r="CJ178"/>
          <cell r="CK178">
            <v>4000</v>
          </cell>
          <cell r="CL178"/>
          <cell r="CM178"/>
          <cell r="CN178">
            <v>4000</v>
          </cell>
          <cell r="CO178"/>
          <cell r="CP178">
            <v>1000</v>
          </cell>
          <cell r="CQ178"/>
          <cell r="CR178"/>
          <cell r="CS178"/>
          <cell r="CT178"/>
          <cell r="CU178"/>
          <cell r="CV178">
            <v>7500</v>
          </cell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 t="str">
            <v>SIN USO</v>
          </cell>
          <cell r="DH178" t="str">
            <v>C</v>
          </cell>
          <cell r="DI178"/>
          <cell r="DJ178">
            <v>3700</v>
          </cell>
          <cell r="DK178">
            <v>616.66666666666663</v>
          </cell>
          <cell r="DL178">
            <v>3211.833279588624</v>
          </cell>
          <cell r="DM178">
            <v>0</v>
          </cell>
          <cell r="DN178" t="str">
            <v>0</v>
          </cell>
          <cell r="DO178">
            <v>0</v>
          </cell>
          <cell r="DP178" t="str">
            <v>INACTIVO</v>
          </cell>
          <cell r="DQ178">
            <v>3700</v>
          </cell>
        </row>
        <row r="179">
          <cell r="B179">
            <v>107419</v>
          </cell>
          <cell r="C179" t="str">
            <v>ETIQUETA GENERICA TORTA CREMA PIÑA ESPECIAL WALMART</v>
          </cell>
          <cell r="D179"/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>
            <v>7000</v>
          </cell>
          <cell r="AI179">
            <v>1500</v>
          </cell>
          <cell r="AJ179">
            <v>2000</v>
          </cell>
          <cell r="AK179"/>
          <cell r="AL179">
            <v>3000</v>
          </cell>
          <cell r="AM179">
            <v>2000</v>
          </cell>
          <cell r="AN179">
            <v>1500</v>
          </cell>
          <cell r="AO179">
            <v>3000</v>
          </cell>
          <cell r="AP179">
            <v>1000</v>
          </cell>
          <cell r="AQ179">
            <v>3500</v>
          </cell>
          <cell r="AR179">
            <v>3500</v>
          </cell>
          <cell r="AS179">
            <v>1500</v>
          </cell>
          <cell r="AT179">
            <v>5000</v>
          </cell>
          <cell r="AU179">
            <v>3500</v>
          </cell>
          <cell r="AV179">
            <v>3500</v>
          </cell>
          <cell r="AW179">
            <v>7000</v>
          </cell>
          <cell r="AX179">
            <v>5500</v>
          </cell>
          <cell r="AY179">
            <v>1500</v>
          </cell>
          <cell r="AZ179"/>
          <cell r="BA179">
            <v>500</v>
          </cell>
          <cell r="BB179">
            <v>3500</v>
          </cell>
          <cell r="BC179">
            <v>3000</v>
          </cell>
          <cell r="BD179"/>
          <cell r="BE179">
            <v>4000</v>
          </cell>
          <cell r="BF179">
            <v>4000</v>
          </cell>
          <cell r="BG179">
            <v>1500</v>
          </cell>
          <cell r="BH179">
            <v>6000</v>
          </cell>
          <cell r="BI179"/>
          <cell r="BJ179">
            <v>3500</v>
          </cell>
          <cell r="BK179">
            <v>3500</v>
          </cell>
          <cell r="BL179">
            <v>3500</v>
          </cell>
          <cell r="BM179">
            <v>2500</v>
          </cell>
          <cell r="BN179">
            <v>3000</v>
          </cell>
          <cell r="BO179"/>
          <cell r="BP179"/>
          <cell r="BQ179">
            <v>9000</v>
          </cell>
          <cell r="BR179"/>
          <cell r="BS179">
            <v>3000</v>
          </cell>
          <cell r="BT179"/>
          <cell r="BU179">
            <v>5000</v>
          </cell>
          <cell r="BV179">
            <v>7000</v>
          </cell>
          <cell r="BW179">
            <v>2500</v>
          </cell>
          <cell r="BX179"/>
          <cell r="BY179">
            <v>1500</v>
          </cell>
          <cell r="BZ179"/>
          <cell r="CA179">
            <v>5000</v>
          </cell>
          <cell r="CB179">
            <v>3000</v>
          </cell>
          <cell r="CC179"/>
          <cell r="CD179">
            <v>15000</v>
          </cell>
          <cell r="CE179">
            <v>2500</v>
          </cell>
          <cell r="CF179">
            <v>2000</v>
          </cell>
          <cell r="CG179"/>
          <cell r="CH179"/>
          <cell r="CI179">
            <v>3500</v>
          </cell>
          <cell r="CJ179"/>
          <cell r="CK179"/>
          <cell r="CL179">
            <v>3000</v>
          </cell>
          <cell r="CM179">
            <v>5000</v>
          </cell>
          <cell r="CN179">
            <v>3000</v>
          </cell>
          <cell r="CO179">
            <v>7000</v>
          </cell>
          <cell r="CP179"/>
          <cell r="CQ179">
            <v>2000</v>
          </cell>
          <cell r="CR179"/>
          <cell r="CS179"/>
          <cell r="CT179"/>
          <cell r="CU179"/>
          <cell r="CV179">
            <v>6000</v>
          </cell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 t="str">
            <v>SIN USO</v>
          </cell>
          <cell r="DH179" t="str">
            <v>C</v>
          </cell>
          <cell r="DI179"/>
          <cell r="DJ179">
            <v>3937.5</v>
          </cell>
          <cell r="DK179">
            <v>656.25</v>
          </cell>
          <cell r="DL179">
            <v>2625.2690884506733</v>
          </cell>
          <cell r="DM179">
            <v>0</v>
          </cell>
          <cell r="DN179" t="str">
            <v>0</v>
          </cell>
          <cell r="DO179">
            <v>0</v>
          </cell>
          <cell r="DP179" t="str">
            <v>INACTIVO</v>
          </cell>
          <cell r="DQ179">
            <v>3937.5</v>
          </cell>
        </row>
        <row r="180">
          <cell r="B180">
            <v>405492</v>
          </cell>
          <cell r="C180" t="str">
            <v>ETIQUETA GENERICA TORTA MIL HOJAS MANJAR ESPECIAL WALMART</v>
          </cell>
          <cell r="D180"/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>
            <v>1500</v>
          </cell>
          <cell r="AJ180"/>
          <cell r="AK180"/>
          <cell r="AL180"/>
          <cell r="AM180"/>
          <cell r="AN180"/>
          <cell r="AO180">
            <v>500</v>
          </cell>
          <cell r="AP180">
            <v>500</v>
          </cell>
          <cell r="AQ180">
            <v>1000</v>
          </cell>
          <cell r="AR180">
            <v>1000</v>
          </cell>
          <cell r="AS180">
            <v>2500</v>
          </cell>
          <cell r="AT180">
            <v>500</v>
          </cell>
          <cell r="AU180"/>
          <cell r="AV180"/>
          <cell r="AW180">
            <v>3500</v>
          </cell>
          <cell r="AX180">
            <v>2000</v>
          </cell>
          <cell r="AY180">
            <v>3000</v>
          </cell>
          <cell r="AZ180">
            <v>2500</v>
          </cell>
          <cell r="BA180">
            <v>7000</v>
          </cell>
          <cell r="BB180">
            <v>2000</v>
          </cell>
          <cell r="BC180">
            <v>6000</v>
          </cell>
          <cell r="BD180">
            <v>7500</v>
          </cell>
          <cell r="BE180">
            <v>6000</v>
          </cell>
          <cell r="BF180">
            <v>4000</v>
          </cell>
          <cell r="BG180">
            <v>1500</v>
          </cell>
          <cell r="BH180"/>
          <cell r="BI180"/>
          <cell r="BJ180"/>
          <cell r="BK180"/>
          <cell r="BL180"/>
          <cell r="BM180"/>
          <cell r="BN180"/>
          <cell r="BO180">
            <v>1000</v>
          </cell>
          <cell r="BP180"/>
          <cell r="BQ180">
            <v>4500</v>
          </cell>
          <cell r="BR180"/>
          <cell r="BS180"/>
          <cell r="BT180"/>
          <cell r="BU180">
            <v>500</v>
          </cell>
          <cell r="BV180">
            <v>1000</v>
          </cell>
          <cell r="BW180"/>
          <cell r="BX180"/>
          <cell r="BY180"/>
          <cell r="BZ180"/>
          <cell r="CA180"/>
          <cell r="CB180"/>
          <cell r="CC180"/>
          <cell r="CD180">
            <v>2000</v>
          </cell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>
            <v>500</v>
          </cell>
          <cell r="CP180"/>
          <cell r="CQ180"/>
          <cell r="CR180">
            <v>11500</v>
          </cell>
          <cell r="CS180"/>
          <cell r="CT180"/>
          <cell r="CU180"/>
          <cell r="CV180">
            <v>21500</v>
          </cell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 t="str">
            <v>SIN USO</v>
          </cell>
          <cell r="DH180" t="str">
            <v>C</v>
          </cell>
          <cell r="DI180"/>
          <cell r="DJ180">
            <v>11166.666666666666</v>
          </cell>
          <cell r="DK180">
            <v>1861.1111111111111</v>
          </cell>
          <cell r="DL180">
            <v>2177.4082573940032</v>
          </cell>
          <cell r="DM180">
            <v>0</v>
          </cell>
          <cell r="DN180" t="str">
            <v>0</v>
          </cell>
          <cell r="DO180">
            <v>0</v>
          </cell>
          <cell r="DP180" t="str">
            <v>INACTIVO</v>
          </cell>
          <cell r="DQ180">
            <v>11166.666666666666</v>
          </cell>
        </row>
        <row r="181">
          <cell r="B181">
            <v>404756</v>
          </cell>
          <cell r="C181" t="str">
            <v>ETIQUETA KUCHEN 4 SABORES WALMART</v>
          </cell>
          <cell r="D181">
            <v>1500</v>
          </cell>
          <cell r="E181">
            <v>1500</v>
          </cell>
          <cell r="F181">
            <v>1500</v>
          </cell>
          <cell r="G181">
            <v>4000</v>
          </cell>
          <cell r="H181"/>
          <cell r="I181">
            <v>2500</v>
          </cell>
          <cell r="J181">
            <v>2000</v>
          </cell>
          <cell r="K181">
            <v>1500</v>
          </cell>
          <cell r="L181">
            <v>2000</v>
          </cell>
          <cell r="M181">
            <v>2000</v>
          </cell>
          <cell r="N181">
            <v>1000</v>
          </cell>
          <cell r="O181">
            <v>3500</v>
          </cell>
          <cell r="P181"/>
          <cell r="Q181">
            <v>2000</v>
          </cell>
          <cell r="R181">
            <v>2000</v>
          </cell>
          <cell r="S181">
            <v>2000</v>
          </cell>
          <cell r="T181"/>
          <cell r="U181"/>
          <cell r="V181">
            <v>2000</v>
          </cell>
          <cell r="W181">
            <v>1000</v>
          </cell>
          <cell r="X181"/>
          <cell r="Y181">
            <v>3500</v>
          </cell>
          <cell r="Z181"/>
          <cell r="AA181">
            <v>3000</v>
          </cell>
          <cell r="AB181">
            <v>2000</v>
          </cell>
          <cell r="AC181">
            <v>2000</v>
          </cell>
          <cell r="AD181"/>
          <cell r="AE181"/>
          <cell r="AF181"/>
          <cell r="AG181">
            <v>1000</v>
          </cell>
          <cell r="AH181">
            <v>1500</v>
          </cell>
          <cell r="AI181">
            <v>1500</v>
          </cell>
          <cell r="AJ181">
            <v>3000</v>
          </cell>
          <cell r="AK181"/>
          <cell r="AL181">
            <v>2000</v>
          </cell>
          <cell r="AM181"/>
          <cell r="AN181">
            <v>2000</v>
          </cell>
          <cell r="AO181">
            <v>500</v>
          </cell>
          <cell r="AP181">
            <v>2000</v>
          </cell>
          <cell r="AQ181">
            <v>3000</v>
          </cell>
          <cell r="AR181">
            <v>4000</v>
          </cell>
          <cell r="AS181"/>
          <cell r="AT181">
            <v>500</v>
          </cell>
          <cell r="AU181">
            <v>1000</v>
          </cell>
          <cell r="AV181">
            <v>2000</v>
          </cell>
          <cell r="AW181">
            <v>5000</v>
          </cell>
          <cell r="AX181">
            <v>4500</v>
          </cell>
          <cell r="AY181">
            <v>2000</v>
          </cell>
          <cell r="AZ181">
            <v>1000</v>
          </cell>
          <cell r="BA181">
            <v>2500</v>
          </cell>
          <cell r="BB181"/>
          <cell r="BC181">
            <v>500</v>
          </cell>
          <cell r="BD181">
            <v>2000</v>
          </cell>
          <cell r="BE181">
            <v>1000</v>
          </cell>
          <cell r="BF181"/>
          <cell r="BG181">
            <v>1500</v>
          </cell>
          <cell r="BH181">
            <v>5000</v>
          </cell>
          <cell r="BI181"/>
          <cell r="BJ181">
            <v>4000</v>
          </cell>
          <cell r="BK181">
            <v>2500</v>
          </cell>
          <cell r="BL181">
            <v>2500</v>
          </cell>
          <cell r="BM181">
            <v>2500</v>
          </cell>
          <cell r="BN181">
            <v>5000</v>
          </cell>
          <cell r="BO181"/>
          <cell r="BP181"/>
          <cell r="BQ181">
            <v>4500</v>
          </cell>
          <cell r="BR181"/>
          <cell r="BS181">
            <v>4000</v>
          </cell>
          <cell r="BT181"/>
          <cell r="BU181">
            <v>4500</v>
          </cell>
          <cell r="BV181">
            <v>1000</v>
          </cell>
          <cell r="BW181">
            <v>3000</v>
          </cell>
          <cell r="BX181"/>
          <cell r="BY181">
            <v>1500</v>
          </cell>
          <cell r="BZ181">
            <v>1500</v>
          </cell>
          <cell r="CA181">
            <v>2500</v>
          </cell>
          <cell r="CB181">
            <v>1500</v>
          </cell>
          <cell r="CC181"/>
          <cell r="CD181">
            <v>3000</v>
          </cell>
          <cell r="CE181"/>
          <cell r="CF181">
            <v>2500</v>
          </cell>
          <cell r="CG181"/>
          <cell r="CH181">
            <v>2500</v>
          </cell>
          <cell r="CI181">
            <v>3000</v>
          </cell>
          <cell r="CJ181"/>
          <cell r="CK181"/>
          <cell r="CL181">
            <v>2500</v>
          </cell>
          <cell r="CM181">
            <v>2000</v>
          </cell>
          <cell r="CN181">
            <v>1000</v>
          </cell>
          <cell r="CO181">
            <v>6000</v>
          </cell>
          <cell r="CP181"/>
          <cell r="CQ181"/>
          <cell r="CR181"/>
          <cell r="CS181"/>
          <cell r="CT181"/>
          <cell r="CU181"/>
          <cell r="CV181">
            <v>4500</v>
          </cell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 t="str">
            <v>SIN USO</v>
          </cell>
          <cell r="DH181" t="str">
            <v>C</v>
          </cell>
          <cell r="DI181"/>
          <cell r="DJ181">
            <v>3000</v>
          </cell>
          <cell r="DK181">
            <v>500</v>
          </cell>
          <cell r="DL181">
            <v>1366.4466279051037</v>
          </cell>
          <cell r="DM181">
            <v>0</v>
          </cell>
          <cell r="DN181" t="str">
            <v>0</v>
          </cell>
          <cell r="DO181">
            <v>0</v>
          </cell>
          <cell r="DP181" t="str">
            <v>INACTIVO</v>
          </cell>
          <cell r="DQ181">
            <v>3000</v>
          </cell>
        </row>
        <row r="182">
          <cell r="B182">
            <v>404757</v>
          </cell>
          <cell r="C182" t="str">
            <v>ETIQUETA KUCHEN FRAMBUESA WALMART</v>
          </cell>
          <cell r="D182">
            <v>2000</v>
          </cell>
          <cell r="E182">
            <v>2000</v>
          </cell>
          <cell r="F182">
            <v>500</v>
          </cell>
          <cell r="G182">
            <v>4500</v>
          </cell>
          <cell r="H182"/>
          <cell r="I182">
            <v>2500</v>
          </cell>
          <cell r="J182">
            <v>2000</v>
          </cell>
          <cell r="K182">
            <v>2000</v>
          </cell>
          <cell r="L182">
            <v>3000</v>
          </cell>
          <cell r="M182">
            <v>2500</v>
          </cell>
          <cell r="N182">
            <v>1500</v>
          </cell>
          <cell r="O182">
            <v>3500</v>
          </cell>
          <cell r="P182"/>
          <cell r="Q182">
            <v>1500</v>
          </cell>
          <cell r="R182">
            <v>1500</v>
          </cell>
          <cell r="S182">
            <v>2500</v>
          </cell>
          <cell r="T182">
            <v>1500</v>
          </cell>
          <cell r="U182"/>
          <cell r="V182"/>
          <cell r="W182">
            <v>6000</v>
          </cell>
          <cell r="X182">
            <v>5000</v>
          </cell>
          <cell r="Y182">
            <v>1000</v>
          </cell>
          <cell r="Z182"/>
          <cell r="AA182">
            <v>2000</v>
          </cell>
          <cell r="AB182">
            <v>2000</v>
          </cell>
          <cell r="AC182">
            <v>2000</v>
          </cell>
          <cell r="AD182">
            <v>1500</v>
          </cell>
          <cell r="AE182"/>
          <cell r="AF182">
            <v>2000</v>
          </cell>
          <cell r="AG182"/>
          <cell r="AH182">
            <v>2000</v>
          </cell>
          <cell r="AI182">
            <v>2000</v>
          </cell>
          <cell r="AJ182">
            <v>1500</v>
          </cell>
          <cell r="AK182">
            <v>2000</v>
          </cell>
          <cell r="AL182">
            <v>2000</v>
          </cell>
          <cell r="AM182">
            <v>1000</v>
          </cell>
          <cell r="AN182">
            <v>2000</v>
          </cell>
          <cell r="AO182">
            <v>1500</v>
          </cell>
          <cell r="AP182">
            <v>2000</v>
          </cell>
          <cell r="AQ182">
            <v>2000</v>
          </cell>
          <cell r="AR182">
            <v>5500</v>
          </cell>
          <cell r="AS182">
            <v>500</v>
          </cell>
          <cell r="AT182">
            <v>1500</v>
          </cell>
          <cell r="AU182">
            <v>7000</v>
          </cell>
          <cell r="AV182">
            <v>3000</v>
          </cell>
          <cell r="AW182">
            <v>6000</v>
          </cell>
          <cell r="AX182">
            <v>4500</v>
          </cell>
          <cell r="AY182">
            <v>4000</v>
          </cell>
          <cell r="AZ182"/>
          <cell r="BA182">
            <v>2500</v>
          </cell>
          <cell r="BB182">
            <v>2000</v>
          </cell>
          <cell r="BC182"/>
          <cell r="BD182">
            <v>5000</v>
          </cell>
          <cell r="BE182">
            <v>2000</v>
          </cell>
          <cell r="BF182"/>
          <cell r="BG182">
            <v>2500</v>
          </cell>
          <cell r="BH182">
            <v>5000</v>
          </cell>
          <cell r="BI182"/>
          <cell r="BJ182">
            <v>3500</v>
          </cell>
          <cell r="BK182">
            <v>3000</v>
          </cell>
          <cell r="BL182">
            <v>3000</v>
          </cell>
          <cell r="BM182">
            <v>3000</v>
          </cell>
          <cell r="BN182">
            <v>6000</v>
          </cell>
          <cell r="BO182">
            <v>2000</v>
          </cell>
          <cell r="BP182"/>
          <cell r="BQ182">
            <v>7000</v>
          </cell>
          <cell r="BR182"/>
          <cell r="BS182">
            <v>9500</v>
          </cell>
          <cell r="BT182"/>
          <cell r="BU182">
            <v>2500</v>
          </cell>
          <cell r="BV182">
            <v>2000</v>
          </cell>
          <cell r="BW182">
            <v>4000</v>
          </cell>
          <cell r="BX182"/>
          <cell r="BY182">
            <v>2000</v>
          </cell>
          <cell r="BZ182">
            <v>2000</v>
          </cell>
          <cell r="CA182">
            <v>4000</v>
          </cell>
          <cell r="CB182">
            <v>2000</v>
          </cell>
          <cell r="CC182"/>
          <cell r="CD182">
            <v>13500</v>
          </cell>
          <cell r="CE182"/>
          <cell r="CF182">
            <v>2500</v>
          </cell>
          <cell r="CG182"/>
          <cell r="CH182">
            <v>3500</v>
          </cell>
          <cell r="CI182">
            <v>6500</v>
          </cell>
          <cell r="CJ182"/>
          <cell r="CK182"/>
          <cell r="CL182">
            <v>3000</v>
          </cell>
          <cell r="CM182">
            <v>3000</v>
          </cell>
          <cell r="CN182">
            <v>3000</v>
          </cell>
          <cell r="CO182">
            <v>4500</v>
          </cell>
          <cell r="CP182">
            <v>1000</v>
          </cell>
          <cell r="CQ182"/>
          <cell r="CR182">
            <v>0</v>
          </cell>
          <cell r="CS182"/>
          <cell r="CT182"/>
          <cell r="CU182"/>
          <cell r="CV182">
            <v>2000</v>
          </cell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 t="str">
            <v>SIN USO</v>
          </cell>
          <cell r="DH182" t="str">
            <v>C</v>
          </cell>
          <cell r="DI182"/>
          <cell r="DJ182">
            <v>3222.2222222222222</v>
          </cell>
          <cell r="DK182">
            <v>537.03703703703707</v>
          </cell>
          <cell r="DL182">
            <v>2489.73502361293</v>
          </cell>
          <cell r="DM182">
            <v>0</v>
          </cell>
          <cell r="DN182" t="str">
            <v>0</v>
          </cell>
          <cell r="DO182">
            <v>0</v>
          </cell>
          <cell r="DP182" t="str">
            <v>INACTIVO</v>
          </cell>
          <cell r="DQ182">
            <v>3222.2222222222226</v>
          </cell>
        </row>
        <row r="183">
          <cell r="B183">
            <v>404719</v>
          </cell>
          <cell r="C183" t="str">
            <v>ETIQUETA BLANCA 100x120 SISA</v>
          </cell>
          <cell r="D183"/>
          <cell r="E183"/>
          <cell r="F183"/>
          <cell r="G183">
            <v>1000</v>
          </cell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>
            <v>5000</v>
          </cell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>
            <v>14000</v>
          </cell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>
            <v>3000</v>
          </cell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 t="str">
            <v>SIN USO</v>
          </cell>
          <cell r="DH183" t="str">
            <v>C</v>
          </cell>
          <cell r="DI183"/>
          <cell r="DJ183">
            <v>0</v>
          </cell>
          <cell r="DK183">
            <v>0</v>
          </cell>
          <cell r="DL183">
            <v>5859.465277082315</v>
          </cell>
          <cell r="DM183">
            <v>0</v>
          </cell>
          <cell r="DN183" t="str">
            <v>0</v>
          </cell>
          <cell r="DO183">
            <v>0</v>
          </cell>
          <cell r="DP183" t="str">
            <v>INACTIVO</v>
          </cell>
          <cell r="DQ183">
            <v>0</v>
          </cell>
        </row>
        <row r="184">
          <cell r="B184">
            <v>404731</v>
          </cell>
          <cell r="C184" t="str">
            <v>ETIQUETA  4,2X6cm IMPR.PASTEL 5 COLOR + BARNIZ UV</v>
          </cell>
          <cell r="D184">
            <v>12500</v>
          </cell>
          <cell r="E184">
            <v>10000</v>
          </cell>
          <cell r="F184">
            <v>12500</v>
          </cell>
          <cell r="G184">
            <v>20000</v>
          </cell>
          <cell r="H184"/>
          <cell r="I184">
            <v>2000</v>
          </cell>
          <cell r="J184">
            <v>10000</v>
          </cell>
          <cell r="K184">
            <v>12500</v>
          </cell>
          <cell r="L184">
            <v>10000</v>
          </cell>
          <cell r="M184">
            <v>10000</v>
          </cell>
          <cell r="N184">
            <v>7500</v>
          </cell>
          <cell r="O184">
            <v>11000</v>
          </cell>
          <cell r="P184"/>
          <cell r="Q184"/>
          <cell r="R184">
            <v>7500</v>
          </cell>
          <cell r="S184">
            <v>10000</v>
          </cell>
          <cell r="T184">
            <v>7500</v>
          </cell>
          <cell r="U184"/>
          <cell r="V184">
            <v>10000</v>
          </cell>
          <cell r="W184">
            <v>10000</v>
          </cell>
          <cell r="X184">
            <v>5000</v>
          </cell>
          <cell r="Y184">
            <v>7500</v>
          </cell>
          <cell r="Z184"/>
          <cell r="AA184"/>
          <cell r="AB184">
            <v>2500</v>
          </cell>
          <cell r="AC184">
            <v>2500</v>
          </cell>
          <cell r="AD184">
            <v>7500</v>
          </cell>
          <cell r="AE184">
            <v>3000</v>
          </cell>
          <cell r="AF184">
            <v>10000</v>
          </cell>
          <cell r="AG184"/>
          <cell r="AH184">
            <v>15000</v>
          </cell>
          <cell r="AI184">
            <v>10000</v>
          </cell>
          <cell r="AJ184">
            <v>7500</v>
          </cell>
          <cell r="AK184">
            <v>7500</v>
          </cell>
          <cell r="AL184">
            <v>4500</v>
          </cell>
          <cell r="AM184">
            <v>4000</v>
          </cell>
          <cell r="AN184"/>
          <cell r="AO184"/>
          <cell r="AP184"/>
          <cell r="AQ184"/>
          <cell r="AR184">
            <v>10000</v>
          </cell>
          <cell r="AS184"/>
          <cell r="AT184">
            <v>5000</v>
          </cell>
          <cell r="AU184">
            <v>5000</v>
          </cell>
          <cell r="AV184">
            <v>5000</v>
          </cell>
          <cell r="AW184">
            <v>20000</v>
          </cell>
          <cell r="AX184">
            <v>5000</v>
          </cell>
          <cell r="AY184">
            <v>10000</v>
          </cell>
          <cell r="AZ184"/>
          <cell r="BA184">
            <v>5000</v>
          </cell>
          <cell r="BB184">
            <v>15000</v>
          </cell>
          <cell r="BC184">
            <v>5000</v>
          </cell>
          <cell r="BD184">
            <v>5000</v>
          </cell>
          <cell r="BE184">
            <v>5000</v>
          </cell>
          <cell r="BF184"/>
          <cell r="BG184">
            <v>7500</v>
          </cell>
          <cell r="BH184">
            <v>12500</v>
          </cell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 t="str">
            <v>SIN USO</v>
          </cell>
          <cell r="DH184" t="str">
            <v>C</v>
          </cell>
          <cell r="DI184"/>
          <cell r="DJ184">
            <v>0</v>
          </cell>
          <cell r="DK184">
            <v>0</v>
          </cell>
          <cell r="DL184">
            <v>4387.4205262840796</v>
          </cell>
          <cell r="DM184">
            <v>0</v>
          </cell>
          <cell r="DN184" t="str">
            <v>0</v>
          </cell>
          <cell r="DO184">
            <v>0</v>
          </cell>
          <cell r="DP184" t="str">
            <v>INACTIVO</v>
          </cell>
          <cell r="DQ184">
            <v>0</v>
          </cell>
        </row>
        <row r="185">
          <cell r="B185">
            <v>405572</v>
          </cell>
          <cell r="C185" t="str">
            <v>ETIQUETA GENÉRICA TORTA SELVA NEGRA MEDIANA WALMART</v>
          </cell>
          <cell r="D185"/>
          <cell r="E185"/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>
            <v>8500</v>
          </cell>
          <cell r="BH185">
            <v>4500</v>
          </cell>
          <cell r="BI185"/>
          <cell r="BJ185">
            <v>3000</v>
          </cell>
          <cell r="BK185"/>
          <cell r="BL185"/>
          <cell r="BM185"/>
          <cell r="BN185">
            <v>3500</v>
          </cell>
          <cell r="BO185"/>
          <cell r="BP185"/>
          <cell r="BQ185">
            <v>5000</v>
          </cell>
          <cell r="BR185"/>
          <cell r="BS185">
            <v>8000</v>
          </cell>
          <cell r="BT185"/>
          <cell r="BU185">
            <v>1000</v>
          </cell>
          <cell r="BV185">
            <v>1500</v>
          </cell>
          <cell r="BW185">
            <v>8500</v>
          </cell>
          <cell r="BX185">
            <v>1000</v>
          </cell>
          <cell r="BY185"/>
          <cell r="BZ185"/>
          <cell r="CA185">
            <v>5500</v>
          </cell>
          <cell r="CB185">
            <v>3000</v>
          </cell>
          <cell r="CC185"/>
          <cell r="CD185">
            <v>7000</v>
          </cell>
          <cell r="CE185"/>
          <cell r="CF185"/>
          <cell r="CG185"/>
          <cell r="CH185"/>
          <cell r="CI185">
            <v>4000</v>
          </cell>
          <cell r="CJ185"/>
          <cell r="CK185"/>
          <cell r="CL185"/>
          <cell r="CM185">
            <v>2000</v>
          </cell>
          <cell r="CN185">
            <v>4000</v>
          </cell>
          <cell r="CO185">
            <v>8000</v>
          </cell>
          <cell r="CP185"/>
          <cell r="CQ185">
            <v>500</v>
          </cell>
          <cell r="CR185"/>
          <cell r="CS185"/>
          <cell r="CT185"/>
          <cell r="CU185"/>
          <cell r="CV185">
            <v>4000</v>
          </cell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 t="str">
            <v>SIN USO</v>
          </cell>
          <cell r="DH185" t="str">
            <v>C</v>
          </cell>
          <cell r="DI185"/>
          <cell r="DJ185">
            <v>3750</v>
          </cell>
          <cell r="DK185">
            <v>625</v>
          </cell>
          <cell r="DL185">
            <v>2747.3763708449055</v>
          </cell>
          <cell r="DM185">
            <v>0</v>
          </cell>
          <cell r="DN185" t="str">
            <v>0</v>
          </cell>
          <cell r="DO185">
            <v>0</v>
          </cell>
          <cell r="DP185" t="str">
            <v>INACTIVO</v>
          </cell>
          <cell r="DQ185">
            <v>3750</v>
          </cell>
        </row>
        <row r="186">
          <cell r="B186">
            <v>405571</v>
          </cell>
          <cell r="C186" t="str">
            <v>ETIQUETA GENÉRICA TORTA CREMA PIÑA MEDIANA WALMART</v>
          </cell>
          <cell r="D186"/>
          <cell r="E186"/>
          <cell r="F186"/>
          <cell r="G186"/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>
            <v>8000</v>
          </cell>
          <cell r="BH186">
            <v>5000</v>
          </cell>
          <cell r="BI186"/>
          <cell r="BJ186">
            <v>4000</v>
          </cell>
          <cell r="BK186">
            <v>2000</v>
          </cell>
          <cell r="BL186">
            <v>5000</v>
          </cell>
          <cell r="BM186">
            <v>3500</v>
          </cell>
          <cell r="BN186">
            <v>4000</v>
          </cell>
          <cell r="BO186"/>
          <cell r="BP186">
            <v>3000</v>
          </cell>
          <cell r="BQ186">
            <v>2500</v>
          </cell>
          <cell r="BR186"/>
          <cell r="BS186">
            <v>3500</v>
          </cell>
          <cell r="BT186">
            <v>2000</v>
          </cell>
          <cell r="BU186">
            <v>1500</v>
          </cell>
          <cell r="BV186">
            <v>1500</v>
          </cell>
          <cell r="BW186">
            <v>11000</v>
          </cell>
          <cell r="BX186">
            <v>500</v>
          </cell>
          <cell r="BY186"/>
          <cell r="BZ186"/>
          <cell r="CA186">
            <v>5000</v>
          </cell>
          <cell r="CB186">
            <v>1500</v>
          </cell>
          <cell r="CC186"/>
          <cell r="CD186">
            <v>34500</v>
          </cell>
          <cell r="CE186"/>
          <cell r="CF186">
            <v>2000</v>
          </cell>
          <cell r="CG186"/>
          <cell r="CH186">
            <v>3500</v>
          </cell>
          <cell r="CI186">
            <v>4000</v>
          </cell>
          <cell r="CJ186"/>
          <cell r="CK186"/>
          <cell r="CL186"/>
          <cell r="CM186"/>
          <cell r="CN186"/>
          <cell r="CO186">
            <v>6000</v>
          </cell>
          <cell r="CP186"/>
          <cell r="CQ186">
            <v>3500</v>
          </cell>
          <cell r="CR186"/>
          <cell r="CS186"/>
          <cell r="CT186"/>
          <cell r="CU186"/>
          <cell r="CV186">
            <v>500</v>
          </cell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 t="str">
            <v>SIN USO</v>
          </cell>
          <cell r="DH186" t="str">
            <v>C</v>
          </cell>
          <cell r="DI186"/>
          <cell r="DJ186">
            <v>3250</v>
          </cell>
          <cell r="DK186">
            <v>541.66666666666663</v>
          </cell>
          <cell r="DL186">
            <v>7682.8473752151076</v>
          </cell>
          <cell r="DM186">
            <v>0</v>
          </cell>
          <cell r="DN186" t="str">
            <v>0</v>
          </cell>
          <cell r="DO186">
            <v>0</v>
          </cell>
          <cell r="DP186" t="str">
            <v>INACTIVO</v>
          </cell>
          <cell r="DQ186">
            <v>3250</v>
          </cell>
        </row>
        <row r="187">
          <cell r="B187">
            <v>404744</v>
          </cell>
          <cell r="C187" t="str">
            <v>ETIQUETA CIRCULAR 9cm IMPR. TORTA TRS LECHES</v>
          </cell>
          <cell r="D187"/>
          <cell r="E187">
            <v>2000</v>
          </cell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 t="str">
            <v>SIN USO</v>
          </cell>
          <cell r="DH187" t="str">
            <v/>
          </cell>
          <cell r="DI187"/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 t="str">
            <v>0</v>
          </cell>
          <cell r="DO187">
            <v>0</v>
          </cell>
          <cell r="DP187" t="str">
            <v>INACTIVO</v>
          </cell>
          <cell r="DQ187">
            <v>0</v>
          </cell>
        </row>
        <row r="188">
          <cell r="B188">
            <v>404722</v>
          </cell>
          <cell r="C188" t="str">
            <v>ETIQUETA BLANCA 30X40</v>
          </cell>
          <cell r="D188">
            <v>130000</v>
          </cell>
          <cell r="E188">
            <v>70000</v>
          </cell>
          <cell r="F188">
            <v>90000</v>
          </cell>
          <cell r="G188">
            <v>150000</v>
          </cell>
          <cell r="H188">
            <v>20000</v>
          </cell>
          <cell r="I188">
            <v>90000</v>
          </cell>
          <cell r="J188">
            <v>80000</v>
          </cell>
          <cell r="K188">
            <v>110000</v>
          </cell>
          <cell r="L188">
            <v>80000</v>
          </cell>
          <cell r="M188">
            <v>70000</v>
          </cell>
          <cell r="N188">
            <v>60000</v>
          </cell>
          <cell r="O188">
            <v>60000</v>
          </cell>
          <cell r="P188"/>
          <cell r="Q188">
            <v>90000</v>
          </cell>
          <cell r="R188">
            <v>32000</v>
          </cell>
          <cell r="S188">
            <v>50000</v>
          </cell>
          <cell r="T188">
            <v>73000</v>
          </cell>
          <cell r="U188">
            <v>20000</v>
          </cell>
          <cell r="V188">
            <v>60000</v>
          </cell>
          <cell r="W188">
            <v>70000</v>
          </cell>
          <cell r="X188">
            <v>80000</v>
          </cell>
          <cell r="Y188">
            <v>150000</v>
          </cell>
          <cell r="Z188">
            <v>40000</v>
          </cell>
          <cell r="AA188">
            <v>70000</v>
          </cell>
          <cell r="AB188">
            <v>40000</v>
          </cell>
          <cell r="AC188">
            <v>40000</v>
          </cell>
          <cell r="AD188"/>
          <cell r="AE188"/>
          <cell r="AF188">
            <v>10000</v>
          </cell>
          <cell r="AG188">
            <v>40000</v>
          </cell>
          <cell r="AH188">
            <v>30000</v>
          </cell>
          <cell r="AI188">
            <v>50000</v>
          </cell>
          <cell r="AJ188">
            <v>60000</v>
          </cell>
          <cell r="AK188">
            <v>40000</v>
          </cell>
          <cell r="AL188">
            <v>70000</v>
          </cell>
          <cell r="AM188">
            <v>40000</v>
          </cell>
          <cell r="AN188">
            <v>80000</v>
          </cell>
          <cell r="AO188">
            <v>60000</v>
          </cell>
          <cell r="AP188">
            <v>110000</v>
          </cell>
          <cell r="AQ188">
            <v>40000</v>
          </cell>
          <cell r="AR188">
            <v>120000</v>
          </cell>
          <cell r="AS188">
            <v>20000</v>
          </cell>
          <cell r="AT188">
            <v>70000</v>
          </cell>
          <cell r="AU188">
            <v>160000</v>
          </cell>
          <cell r="AV188">
            <v>70000</v>
          </cell>
          <cell r="AW188">
            <v>100000</v>
          </cell>
          <cell r="AX188">
            <v>80000</v>
          </cell>
          <cell r="AY188">
            <v>110000</v>
          </cell>
          <cell r="AZ188"/>
          <cell r="BA188">
            <v>60000</v>
          </cell>
          <cell r="BB188">
            <v>90000</v>
          </cell>
          <cell r="BC188">
            <v>80000</v>
          </cell>
          <cell r="BD188">
            <v>100000</v>
          </cell>
          <cell r="BE188">
            <v>70000</v>
          </cell>
          <cell r="BF188"/>
          <cell r="BG188">
            <v>60000</v>
          </cell>
          <cell r="BH188">
            <v>130000</v>
          </cell>
          <cell r="BI188">
            <v>60000</v>
          </cell>
          <cell r="BJ188">
            <v>50000</v>
          </cell>
          <cell r="BK188">
            <v>70000</v>
          </cell>
          <cell r="BL188">
            <v>70000</v>
          </cell>
          <cell r="BM188">
            <v>60000</v>
          </cell>
          <cell r="BN188">
            <v>150000</v>
          </cell>
          <cell r="BO188"/>
          <cell r="BP188">
            <v>10000</v>
          </cell>
          <cell r="BQ188">
            <v>90000</v>
          </cell>
          <cell r="BR188"/>
          <cell r="BS188">
            <v>130000</v>
          </cell>
          <cell r="BT188">
            <v>100000</v>
          </cell>
          <cell r="BU188">
            <v>20000</v>
          </cell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 t="str">
            <v>SIN USO</v>
          </cell>
          <cell r="DH188" t="str">
            <v>C</v>
          </cell>
          <cell r="DI188"/>
          <cell r="DJ188">
            <v>0</v>
          </cell>
          <cell r="DK188">
            <v>0</v>
          </cell>
          <cell r="DL188">
            <v>36663.864714701354</v>
          </cell>
          <cell r="DM188">
            <v>0</v>
          </cell>
          <cell r="DN188" t="str">
            <v>0</v>
          </cell>
          <cell r="DO188">
            <v>0</v>
          </cell>
          <cell r="DP188" t="str">
            <v>INACTIVO</v>
          </cell>
          <cell r="DQ188">
            <v>0</v>
          </cell>
        </row>
        <row r="189">
          <cell r="B189">
            <v>405172</v>
          </cell>
          <cell r="C189" t="str">
            <v>ETIQUETA GENERICA TORTA CHOCOLATE 8 PP</v>
          </cell>
          <cell r="D189">
            <v>2500</v>
          </cell>
          <cell r="E189"/>
          <cell r="F189">
            <v>3000</v>
          </cell>
          <cell r="G189">
            <v>6500</v>
          </cell>
          <cell r="H189">
            <v>500</v>
          </cell>
          <cell r="I189">
            <v>6000</v>
          </cell>
          <cell r="J189">
            <v>5500</v>
          </cell>
          <cell r="K189">
            <v>1500</v>
          </cell>
          <cell r="L189"/>
          <cell r="M189">
            <v>3000</v>
          </cell>
          <cell r="N189">
            <v>4000</v>
          </cell>
          <cell r="O189">
            <v>3000</v>
          </cell>
          <cell r="P189">
            <v>3000</v>
          </cell>
          <cell r="Q189">
            <v>3000</v>
          </cell>
          <cell r="R189">
            <v>4000</v>
          </cell>
          <cell r="S189">
            <v>3000</v>
          </cell>
          <cell r="T189">
            <v>5000</v>
          </cell>
          <cell r="U189"/>
          <cell r="V189"/>
          <cell r="W189">
            <v>2500</v>
          </cell>
          <cell r="X189">
            <v>6000</v>
          </cell>
          <cell r="Y189">
            <v>3000</v>
          </cell>
          <cell r="Z189"/>
          <cell r="AA189">
            <v>4000</v>
          </cell>
          <cell r="AB189"/>
          <cell r="AC189"/>
          <cell r="AD189">
            <v>3500</v>
          </cell>
          <cell r="AE189"/>
          <cell r="AF189">
            <v>5500</v>
          </cell>
          <cell r="AG189"/>
          <cell r="AH189"/>
          <cell r="AI189"/>
          <cell r="AJ189"/>
          <cell r="AK189">
            <v>5000</v>
          </cell>
          <cell r="AL189"/>
          <cell r="AM189">
            <v>1000</v>
          </cell>
          <cell r="AN189">
            <v>5000</v>
          </cell>
          <cell r="AO189"/>
          <cell r="AP189"/>
          <cell r="AQ189">
            <v>4500</v>
          </cell>
          <cell r="AR189">
            <v>5000</v>
          </cell>
          <cell r="AS189">
            <v>4000</v>
          </cell>
          <cell r="AT189"/>
          <cell r="AU189">
            <v>4000</v>
          </cell>
          <cell r="AV189"/>
          <cell r="AW189">
            <v>5000</v>
          </cell>
          <cell r="AX189">
            <v>4500</v>
          </cell>
          <cell r="AY189">
            <v>5000</v>
          </cell>
          <cell r="AZ189"/>
          <cell r="BA189">
            <v>2500</v>
          </cell>
          <cell r="BB189">
            <v>5000</v>
          </cell>
          <cell r="BC189"/>
          <cell r="BD189">
            <v>5000</v>
          </cell>
          <cell r="BE189">
            <v>4500</v>
          </cell>
          <cell r="BF189"/>
          <cell r="BG189">
            <v>2500</v>
          </cell>
          <cell r="BH189">
            <v>2500</v>
          </cell>
          <cell r="BI189"/>
          <cell r="BJ189">
            <v>2500</v>
          </cell>
          <cell r="BK189">
            <v>2500</v>
          </cell>
          <cell r="BL189">
            <v>5500</v>
          </cell>
          <cell r="BM189">
            <v>1000</v>
          </cell>
          <cell r="BN189">
            <v>5000</v>
          </cell>
          <cell r="BO189"/>
          <cell r="BP189"/>
          <cell r="BQ189">
            <v>9500</v>
          </cell>
          <cell r="BR189"/>
          <cell r="BS189"/>
          <cell r="BT189"/>
          <cell r="BU189">
            <v>2500</v>
          </cell>
          <cell r="BV189"/>
          <cell r="BW189">
            <v>1500</v>
          </cell>
          <cell r="BX189"/>
          <cell r="BY189">
            <v>2500</v>
          </cell>
          <cell r="BZ189">
            <v>2500</v>
          </cell>
          <cell r="CA189">
            <v>5000</v>
          </cell>
          <cell r="CB189"/>
          <cell r="CC189"/>
          <cell r="CD189">
            <v>14500</v>
          </cell>
          <cell r="CE189"/>
          <cell r="CF189"/>
          <cell r="CG189"/>
          <cell r="CH189"/>
          <cell r="CI189">
            <v>5000</v>
          </cell>
          <cell r="CJ189"/>
          <cell r="CK189"/>
          <cell r="CL189"/>
          <cell r="CM189"/>
          <cell r="CN189">
            <v>4000</v>
          </cell>
          <cell r="CO189"/>
          <cell r="CP189"/>
          <cell r="CQ189"/>
          <cell r="CR189"/>
          <cell r="CS189">
            <v>1000</v>
          </cell>
          <cell r="CT189"/>
          <cell r="CU189"/>
          <cell r="CV189">
            <v>22500</v>
          </cell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 t="str">
            <v>SIN USO</v>
          </cell>
          <cell r="DH189" t="str">
            <v>C</v>
          </cell>
          <cell r="DI189"/>
          <cell r="DJ189">
            <v>8125</v>
          </cell>
          <cell r="DK189">
            <v>1354.1666666666667</v>
          </cell>
          <cell r="DL189">
            <v>2633.6211935532806</v>
          </cell>
          <cell r="DM189">
            <v>0</v>
          </cell>
          <cell r="DN189" t="str">
            <v>0</v>
          </cell>
          <cell r="DO189">
            <v>0</v>
          </cell>
          <cell r="DP189" t="str">
            <v>INACTIVO</v>
          </cell>
          <cell r="DQ189">
            <v>8125</v>
          </cell>
        </row>
        <row r="190">
          <cell r="B190">
            <v>405182</v>
          </cell>
          <cell r="C190" t="str">
            <v>ETIQUETA GENERICA TORTA CREMA PIÑA</v>
          </cell>
          <cell r="D190">
            <v>3000</v>
          </cell>
          <cell r="E190"/>
          <cell r="F190"/>
          <cell r="G190">
            <v>5000</v>
          </cell>
          <cell r="H190"/>
          <cell r="I190">
            <v>1000</v>
          </cell>
          <cell r="J190">
            <v>2500</v>
          </cell>
          <cell r="K190">
            <v>5000</v>
          </cell>
          <cell r="L190">
            <v>3000</v>
          </cell>
          <cell r="M190"/>
          <cell r="N190"/>
          <cell r="O190">
            <v>2500</v>
          </cell>
          <cell r="P190"/>
          <cell r="Q190"/>
          <cell r="R190"/>
          <cell r="S190">
            <v>500</v>
          </cell>
          <cell r="T190">
            <v>3000</v>
          </cell>
          <cell r="U190"/>
          <cell r="V190">
            <v>3000</v>
          </cell>
          <cell r="W190">
            <v>3000</v>
          </cell>
          <cell r="X190">
            <v>3000</v>
          </cell>
          <cell r="Y190"/>
          <cell r="Z190">
            <v>500</v>
          </cell>
          <cell r="AA190">
            <v>5000</v>
          </cell>
          <cell r="AB190">
            <v>5000</v>
          </cell>
          <cell r="AC190">
            <v>5500</v>
          </cell>
          <cell r="AD190"/>
          <cell r="AE190"/>
          <cell r="AF190">
            <v>4000</v>
          </cell>
          <cell r="AG190">
            <v>2000</v>
          </cell>
          <cell r="AH190"/>
          <cell r="AI190"/>
          <cell r="AJ190">
            <v>5500</v>
          </cell>
          <cell r="AK190"/>
          <cell r="AL190">
            <v>500</v>
          </cell>
          <cell r="AM190"/>
          <cell r="AN190"/>
          <cell r="AO190"/>
          <cell r="AP190"/>
          <cell r="AQ190"/>
          <cell r="AR190"/>
          <cell r="AS190">
            <v>3000</v>
          </cell>
          <cell r="AT190"/>
          <cell r="AU190"/>
          <cell r="AV190">
            <v>5000</v>
          </cell>
          <cell r="AW190">
            <v>6000</v>
          </cell>
          <cell r="AX190">
            <v>2500</v>
          </cell>
          <cell r="AY190">
            <v>3000</v>
          </cell>
          <cell r="AZ190"/>
          <cell r="BA190">
            <v>2500</v>
          </cell>
          <cell r="BB190">
            <v>3500</v>
          </cell>
          <cell r="BC190"/>
          <cell r="BD190">
            <v>4500</v>
          </cell>
          <cell r="BE190">
            <v>2500</v>
          </cell>
          <cell r="BF190">
            <v>2000</v>
          </cell>
          <cell r="BG190"/>
          <cell r="BH190">
            <v>5500</v>
          </cell>
          <cell r="BI190"/>
          <cell r="BJ190">
            <v>2500</v>
          </cell>
          <cell r="BK190"/>
          <cell r="BL190"/>
          <cell r="BM190">
            <v>5000</v>
          </cell>
          <cell r="BN190"/>
          <cell r="BO190"/>
          <cell r="BP190"/>
          <cell r="BQ190">
            <v>2500</v>
          </cell>
          <cell r="BR190"/>
          <cell r="BS190"/>
          <cell r="BT190"/>
          <cell r="BU190">
            <v>4500</v>
          </cell>
          <cell r="BV190"/>
          <cell r="BW190">
            <v>3000</v>
          </cell>
          <cell r="BX190"/>
          <cell r="BY190">
            <v>3000</v>
          </cell>
          <cell r="BZ190">
            <v>2500</v>
          </cell>
          <cell r="CA190">
            <v>4500</v>
          </cell>
          <cell r="CB190">
            <v>2500</v>
          </cell>
          <cell r="CC190"/>
          <cell r="CD190"/>
          <cell r="CE190"/>
          <cell r="CF190"/>
          <cell r="CG190">
            <v>5000</v>
          </cell>
          <cell r="CH190"/>
          <cell r="CI190">
            <v>4500</v>
          </cell>
          <cell r="CJ190">
            <v>2500</v>
          </cell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>
            <v>36000</v>
          </cell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 t="str">
            <v>SIN USO</v>
          </cell>
          <cell r="DH190" t="str">
            <v>C</v>
          </cell>
          <cell r="DI190"/>
          <cell r="DJ190">
            <v>12000</v>
          </cell>
          <cell r="DK190">
            <v>2000</v>
          </cell>
          <cell r="DL190">
            <v>1372.6099121798925</v>
          </cell>
          <cell r="DM190">
            <v>0</v>
          </cell>
          <cell r="DN190" t="str">
            <v>0</v>
          </cell>
          <cell r="DO190">
            <v>0</v>
          </cell>
          <cell r="DP190" t="str">
            <v>INACTIVO</v>
          </cell>
          <cell r="DQ190">
            <v>12000</v>
          </cell>
        </row>
        <row r="191">
          <cell r="B191">
            <v>405186</v>
          </cell>
          <cell r="C191" t="str">
            <v>ETIQUETA GENERICA TORTA HOLANDESA</v>
          </cell>
          <cell r="D191">
            <v>3000</v>
          </cell>
          <cell r="E191">
            <v>2500</v>
          </cell>
          <cell r="F191">
            <v>2000</v>
          </cell>
          <cell r="G191">
            <v>4500</v>
          </cell>
          <cell r="H191">
            <v>1500</v>
          </cell>
          <cell r="I191">
            <v>2000</v>
          </cell>
          <cell r="J191">
            <v>2500</v>
          </cell>
          <cell r="K191">
            <v>2500</v>
          </cell>
          <cell r="L191">
            <v>3000</v>
          </cell>
          <cell r="M191">
            <v>3000</v>
          </cell>
          <cell r="N191">
            <v>3000</v>
          </cell>
          <cell r="O191">
            <v>5000</v>
          </cell>
          <cell r="P191"/>
          <cell r="Q191">
            <v>3000</v>
          </cell>
          <cell r="R191">
            <v>3000</v>
          </cell>
          <cell r="S191">
            <v>3000</v>
          </cell>
          <cell r="T191">
            <v>4500</v>
          </cell>
          <cell r="U191"/>
          <cell r="V191">
            <v>5000</v>
          </cell>
          <cell r="W191">
            <v>7000</v>
          </cell>
          <cell r="X191">
            <v>7000</v>
          </cell>
          <cell r="Y191">
            <v>11500</v>
          </cell>
          <cell r="Z191"/>
          <cell r="AA191">
            <v>4000</v>
          </cell>
          <cell r="AB191"/>
          <cell r="AC191"/>
          <cell r="AD191"/>
          <cell r="AE191"/>
          <cell r="AF191"/>
          <cell r="AG191">
            <v>2000</v>
          </cell>
          <cell r="AH191">
            <v>3500</v>
          </cell>
          <cell r="AI191">
            <v>5000</v>
          </cell>
          <cell r="AJ191">
            <v>4000</v>
          </cell>
          <cell r="AK191">
            <v>3500</v>
          </cell>
          <cell r="AL191">
            <v>5000</v>
          </cell>
          <cell r="AM191">
            <v>1500</v>
          </cell>
          <cell r="AN191"/>
          <cell r="AO191"/>
          <cell r="AP191"/>
          <cell r="AQ191">
            <v>1500</v>
          </cell>
          <cell r="AR191">
            <v>1000</v>
          </cell>
          <cell r="AS191">
            <v>1500</v>
          </cell>
          <cell r="AT191">
            <v>2500</v>
          </cell>
          <cell r="AU191">
            <v>3500</v>
          </cell>
          <cell r="AV191">
            <v>8500</v>
          </cell>
          <cell r="AW191">
            <v>7000</v>
          </cell>
          <cell r="AX191">
            <v>1000</v>
          </cell>
          <cell r="AY191"/>
          <cell r="AZ191"/>
          <cell r="BA191">
            <v>4500</v>
          </cell>
          <cell r="BB191">
            <v>5000</v>
          </cell>
          <cell r="BC191">
            <v>3000</v>
          </cell>
          <cell r="BD191">
            <v>2000</v>
          </cell>
          <cell r="BE191">
            <v>3000</v>
          </cell>
          <cell r="BF191"/>
          <cell r="BG191">
            <v>3500</v>
          </cell>
          <cell r="BH191">
            <v>6000</v>
          </cell>
          <cell r="BI191"/>
          <cell r="BJ191">
            <v>3500</v>
          </cell>
          <cell r="BK191">
            <v>3000</v>
          </cell>
          <cell r="BL191">
            <v>3500</v>
          </cell>
          <cell r="BM191">
            <v>3000</v>
          </cell>
          <cell r="BN191">
            <v>6000</v>
          </cell>
          <cell r="BO191"/>
          <cell r="BP191"/>
          <cell r="BQ191">
            <v>5000</v>
          </cell>
          <cell r="BR191">
            <v>1000</v>
          </cell>
          <cell r="BS191">
            <v>7000</v>
          </cell>
          <cell r="BT191"/>
          <cell r="BU191">
            <v>9500</v>
          </cell>
          <cell r="BV191">
            <v>2500</v>
          </cell>
          <cell r="BW191">
            <v>6500</v>
          </cell>
          <cell r="BX191"/>
          <cell r="BY191">
            <v>4500</v>
          </cell>
          <cell r="BZ191">
            <v>4000</v>
          </cell>
          <cell r="CA191">
            <v>5000</v>
          </cell>
          <cell r="CB191">
            <v>2500</v>
          </cell>
          <cell r="CC191"/>
          <cell r="CD191">
            <v>1500</v>
          </cell>
          <cell r="CE191"/>
          <cell r="CF191">
            <v>2500</v>
          </cell>
          <cell r="CG191"/>
          <cell r="CH191">
            <v>2500</v>
          </cell>
          <cell r="CI191">
            <v>5015</v>
          </cell>
          <cell r="CJ191"/>
          <cell r="CK191">
            <v>500</v>
          </cell>
          <cell r="CL191">
            <v>2000</v>
          </cell>
          <cell r="CM191">
            <v>2500</v>
          </cell>
          <cell r="CN191">
            <v>2000</v>
          </cell>
          <cell r="CO191">
            <v>5000</v>
          </cell>
          <cell r="CP191">
            <v>2000</v>
          </cell>
          <cell r="CQ191">
            <v>2000</v>
          </cell>
          <cell r="CR191">
            <v>1000</v>
          </cell>
          <cell r="CS191"/>
          <cell r="CT191"/>
          <cell r="CU191"/>
          <cell r="CV191">
            <v>2000</v>
          </cell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 t="str">
            <v>SIN USO</v>
          </cell>
          <cell r="DH191" t="str">
            <v>C</v>
          </cell>
          <cell r="DI191"/>
          <cell r="DJ191">
            <v>2417.9166666666665</v>
          </cell>
          <cell r="DK191">
            <v>402.98611111111109</v>
          </cell>
          <cell r="DL191">
            <v>2076.5917475318779</v>
          </cell>
          <cell r="DM191">
            <v>0</v>
          </cell>
          <cell r="DN191" t="str">
            <v>0</v>
          </cell>
          <cell r="DO191">
            <v>0</v>
          </cell>
          <cell r="DP191" t="str">
            <v>INACTIVO</v>
          </cell>
          <cell r="DQ191">
            <v>2417.9166666666665</v>
          </cell>
        </row>
        <row r="192">
          <cell r="B192">
            <v>405671</v>
          </cell>
          <cell r="C192" t="str">
            <v>ETIQUETA TORTA SAN JORGE LÚCUMA SMU</v>
          </cell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>
            <v>1000</v>
          </cell>
          <cell r="CJ192">
            <v>4500</v>
          </cell>
          <cell r="CK192">
            <v>1000</v>
          </cell>
          <cell r="CL192">
            <v>4000</v>
          </cell>
          <cell r="CM192">
            <v>500</v>
          </cell>
          <cell r="CN192"/>
          <cell r="CO192">
            <v>4000</v>
          </cell>
          <cell r="CP192">
            <v>500</v>
          </cell>
          <cell r="CQ192">
            <v>500</v>
          </cell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 t="str">
            <v>SIN USO</v>
          </cell>
          <cell r="DH192" t="str">
            <v/>
          </cell>
          <cell r="DI192"/>
          <cell r="DJ192">
            <v>2000</v>
          </cell>
          <cell r="DK192">
            <v>333.33333333333331</v>
          </cell>
          <cell r="DL192">
            <v>0</v>
          </cell>
          <cell r="DM192">
            <v>0</v>
          </cell>
          <cell r="DN192" t="str">
            <v>0</v>
          </cell>
          <cell r="DO192">
            <v>0</v>
          </cell>
          <cell r="DP192" t="str">
            <v>INACTIVO</v>
          </cell>
          <cell r="DQ192">
            <v>2000</v>
          </cell>
        </row>
        <row r="193">
          <cell r="B193">
            <v>405189</v>
          </cell>
          <cell r="C193" t="str">
            <v>ETIQUETA GENERICA TORTA SELVA NEGRA</v>
          </cell>
          <cell r="D193"/>
          <cell r="E193">
            <v>3000</v>
          </cell>
          <cell r="F193"/>
          <cell r="G193">
            <v>9000</v>
          </cell>
          <cell r="H193">
            <v>2000</v>
          </cell>
          <cell r="I193">
            <v>3000</v>
          </cell>
          <cell r="J193">
            <v>3500</v>
          </cell>
          <cell r="K193">
            <v>6000</v>
          </cell>
          <cell r="L193">
            <v>3000</v>
          </cell>
          <cell r="M193">
            <v>3000</v>
          </cell>
          <cell r="N193">
            <v>3000</v>
          </cell>
          <cell r="O193">
            <v>4000</v>
          </cell>
          <cell r="P193"/>
          <cell r="Q193">
            <v>6000</v>
          </cell>
          <cell r="R193">
            <v>3000</v>
          </cell>
          <cell r="S193">
            <v>3000</v>
          </cell>
          <cell r="T193">
            <v>3500</v>
          </cell>
          <cell r="U193"/>
          <cell r="V193">
            <v>2000</v>
          </cell>
          <cell r="W193">
            <v>6500</v>
          </cell>
          <cell r="X193"/>
          <cell r="Y193">
            <v>11000</v>
          </cell>
          <cell r="Z193"/>
          <cell r="AA193">
            <v>7500</v>
          </cell>
          <cell r="AB193"/>
          <cell r="AC193">
            <v>3000</v>
          </cell>
          <cell r="AD193"/>
          <cell r="AE193"/>
          <cell r="AF193">
            <v>8500</v>
          </cell>
          <cell r="AG193">
            <v>7000</v>
          </cell>
          <cell r="AH193"/>
          <cell r="AI193">
            <v>1000</v>
          </cell>
          <cell r="AJ193">
            <v>2000</v>
          </cell>
          <cell r="AK193">
            <v>1500</v>
          </cell>
          <cell r="AL193"/>
          <cell r="AM193"/>
          <cell r="AN193"/>
          <cell r="AO193"/>
          <cell r="AP193"/>
          <cell r="AQ193"/>
          <cell r="AR193"/>
          <cell r="AS193">
            <v>12000</v>
          </cell>
          <cell r="AT193">
            <v>4500</v>
          </cell>
          <cell r="AU193">
            <v>11500</v>
          </cell>
          <cell r="AV193">
            <v>6000</v>
          </cell>
          <cell r="AW193">
            <v>3000</v>
          </cell>
          <cell r="AX193">
            <v>2500</v>
          </cell>
          <cell r="AY193">
            <v>2000</v>
          </cell>
          <cell r="AZ193">
            <v>5000</v>
          </cell>
          <cell r="BA193">
            <v>8500</v>
          </cell>
          <cell r="BB193">
            <v>5000</v>
          </cell>
          <cell r="BC193">
            <v>2500</v>
          </cell>
          <cell r="BD193">
            <v>5000</v>
          </cell>
          <cell r="BE193">
            <v>2500</v>
          </cell>
          <cell r="BF193">
            <v>2000</v>
          </cell>
          <cell r="BG193">
            <v>2000</v>
          </cell>
          <cell r="BH193">
            <v>14000</v>
          </cell>
          <cell r="BI193"/>
          <cell r="BJ193"/>
          <cell r="BK193"/>
          <cell r="BL193">
            <v>2001</v>
          </cell>
          <cell r="BM193"/>
          <cell r="BN193"/>
          <cell r="BO193">
            <v>1000</v>
          </cell>
          <cell r="BP193"/>
          <cell r="BQ193">
            <v>5000</v>
          </cell>
          <cell r="BR193"/>
          <cell r="BS193">
            <v>15500</v>
          </cell>
          <cell r="BT193"/>
          <cell r="BU193">
            <v>2000</v>
          </cell>
          <cell r="BV193">
            <v>500</v>
          </cell>
          <cell r="BW193">
            <v>3500</v>
          </cell>
          <cell r="BX193">
            <v>500</v>
          </cell>
          <cell r="BY193"/>
          <cell r="BZ193"/>
          <cell r="CA193">
            <v>3500</v>
          </cell>
          <cell r="CB193">
            <v>4500</v>
          </cell>
          <cell r="CC193">
            <v>2000</v>
          </cell>
          <cell r="CD193"/>
          <cell r="CE193"/>
          <cell r="CF193">
            <v>7000</v>
          </cell>
          <cell r="CG193"/>
          <cell r="CH193">
            <v>5500</v>
          </cell>
          <cell r="CI193">
            <v>9500</v>
          </cell>
          <cell r="CJ193"/>
          <cell r="CK193">
            <v>2000</v>
          </cell>
          <cell r="CL193">
            <v>5000</v>
          </cell>
          <cell r="CM193">
            <v>5000</v>
          </cell>
          <cell r="CN193">
            <v>5000</v>
          </cell>
          <cell r="CO193"/>
          <cell r="CP193"/>
          <cell r="CQ193">
            <v>5000</v>
          </cell>
          <cell r="CR193"/>
          <cell r="CS193"/>
          <cell r="CT193"/>
          <cell r="CU193"/>
          <cell r="CV193">
            <v>23000</v>
          </cell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 t="str">
            <v>SIN USO</v>
          </cell>
          <cell r="DH193" t="str">
            <v>C</v>
          </cell>
          <cell r="DI193"/>
          <cell r="DJ193">
            <v>7444.4444444444443</v>
          </cell>
          <cell r="DK193">
            <v>1240.7407407407406</v>
          </cell>
          <cell r="DL193">
            <v>3947.2111468353974</v>
          </cell>
          <cell r="DM193">
            <v>0</v>
          </cell>
          <cell r="DN193" t="str">
            <v>0</v>
          </cell>
          <cell r="DO193">
            <v>0</v>
          </cell>
          <cell r="DP193" t="str">
            <v>INACTIVO</v>
          </cell>
          <cell r="DQ193">
            <v>7444.4444444444434</v>
          </cell>
        </row>
        <row r="194">
          <cell r="B194">
            <v>405355</v>
          </cell>
          <cell r="C194" t="str">
            <v>ETIQ. CIRCULAR 90cm IMPR. JUMBO KUCHEN DE FRUTILLA</v>
          </cell>
          <cell r="D194"/>
          <cell r="E194"/>
          <cell r="F194"/>
          <cell r="G194"/>
          <cell r="H194"/>
          <cell r="I194"/>
          <cell r="J194">
            <v>3000</v>
          </cell>
          <cell r="K194"/>
          <cell r="L194">
            <v>1000</v>
          </cell>
          <cell r="M194">
            <v>500</v>
          </cell>
          <cell r="N194">
            <v>1000</v>
          </cell>
          <cell r="O194">
            <v>2000</v>
          </cell>
          <cell r="P194"/>
          <cell r="Q194"/>
          <cell r="R194">
            <v>1000</v>
          </cell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 t="str">
            <v>SIN USO</v>
          </cell>
          <cell r="DH194" t="str">
            <v/>
          </cell>
          <cell r="DI194"/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 t="str">
            <v>0</v>
          </cell>
          <cell r="DO194">
            <v>0</v>
          </cell>
          <cell r="DP194" t="str">
            <v>INACTIVO</v>
          </cell>
          <cell r="DQ194">
            <v>0</v>
          </cell>
        </row>
        <row r="195">
          <cell r="B195">
            <v>405216</v>
          </cell>
          <cell r="C195" t="str">
            <v>ETIQUETA GENERICA TORTA PANQUEQUE NARANJA</v>
          </cell>
          <cell r="D195">
            <v>2000</v>
          </cell>
          <cell r="E195">
            <v>2000</v>
          </cell>
          <cell r="F195">
            <v>1500</v>
          </cell>
          <cell r="G195">
            <v>3000</v>
          </cell>
          <cell r="H195"/>
          <cell r="I195">
            <v>1500</v>
          </cell>
          <cell r="J195">
            <v>1500</v>
          </cell>
          <cell r="K195">
            <v>1500</v>
          </cell>
          <cell r="L195">
            <v>2500</v>
          </cell>
          <cell r="M195">
            <v>1500</v>
          </cell>
          <cell r="N195">
            <v>1500</v>
          </cell>
          <cell r="O195">
            <v>3000</v>
          </cell>
          <cell r="P195"/>
          <cell r="Q195">
            <v>1500</v>
          </cell>
          <cell r="R195">
            <v>1500</v>
          </cell>
          <cell r="S195">
            <v>2000</v>
          </cell>
          <cell r="T195">
            <v>5000</v>
          </cell>
          <cell r="U195">
            <v>3000</v>
          </cell>
          <cell r="V195">
            <v>6000</v>
          </cell>
          <cell r="W195">
            <v>3000</v>
          </cell>
          <cell r="X195">
            <v>2000</v>
          </cell>
          <cell r="Y195">
            <v>7500</v>
          </cell>
          <cell r="Z195"/>
          <cell r="AA195"/>
          <cell r="AB195"/>
          <cell r="AC195">
            <v>1000</v>
          </cell>
          <cell r="AD195">
            <v>2500</v>
          </cell>
          <cell r="AE195"/>
          <cell r="AF195">
            <v>2500</v>
          </cell>
          <cell r="AG195">
            <v>1000</v>
          </cell>
          <cell r="AH195">
            <v>2500</v>
          </cell>
          <cell r="AI195">
            <v>2500</v>
          </cell>
          <cell r="AJ195">
            <v>2500</v>
          </cell>
          <cell r="AK195">
            <v>2000</v>
          </cell>
          <cell r="AL195">
            <v>2000</v>
          </cell>
          <cell r="AM195">
            <v>2000</v>
          </cell>
          <cell r="AN195"/>
          <cell r="AO195">
            <v>500</v>
          </cell>
          <cell r="AP195">
            <v>4000</v>
          </cell>
          <cell r="AQ195">
            <v>2000</v>
          </cell>
          <cell r="AR195">
            <v>3500</v>
          </cell>
          <cell r="AS195"/>
          <cell r="AT195">
            <v>1500</v>
          </cell>
          <cell r="AU195">
            <v>2500</v>
          </cell>
          <cell r="AV195"/>
          <cell r="AW195">
            <v>3000</v>
          </cell>
          <cell r="AX195">
            <v>1000</v>
          </cell>
          <cell r="AY195">
            <v>500</v>
          </cell>
          <cell r="AZ195"/>
          <cell r="BA195">
            <v>1500</v>
          </cell>
          <cell r="BB195">
            <v>1500</v>
          </cell>
          <cell r="BC195">
            <v>1500</v>
          </cell>
          <cell r="BD195">
            <v>4000</v>
          </cell>
          <cell r="BE195">
            <v>1500</v>
          </cell>
          <cell r="BF195"/>
          <cell r="BG195">
            <v>2000</v>
          </cell>
          <cell r="BH195">
            <v>4500</v>
          </cell>
          <cell r="BI195"/>
          <cell r="BJ195">
            <v>2000</v>
          </cell>
          <cell r="BK195">
            <v>2000</v>
          </cell>
          <cell r="BL195">
            <v>2000</v>
          </cell>
          <cell r="BM195">
            <v>1500</v>
          </cell>
          <cell r="BN195">
            <v>5000</v>
          </cell>
          <cell r="BO195"/>
          <cell r="BP195"/>
          <cell r="BQ195">
            <v>4500</v>
          </cell>
          <cell r="BR195"/>
          <cell r="BS195">
            <v>4500</v>
          </cell>
          <cell r="BT195">
            <v>1000</v>
          </cell>
          <cell r="BU195">
            <v>2000</v>
          </cell>
          <cell r="BV195">
            <v>2000</v>
          </cell>
          <cell r="BW195">
            <v>3000</v>
          </cell>
          <cell r="BX195">
            <v>500</v>
          </cell>
          <cell r="BY195">
            <v>2000</v>
          </cell>
          <cell r="BZ195">
            <v>2000</v>
          </cell>
          <cell r="CA195">
            <v>3500</v>
          </cell>
          <cell r="CB195">
            <v>1500</v>
          </cell>
          <cell r="CC195"/>
          <cell r="CD195">
            <v>16000</v>
          </cell>
          <cell r="CE195"/>
          <cell r="CF195">
            <v>2000</v>
          </cell>
          <cell r="CG195"/>
          <cell r="CH195">
            <v>2000</v>
          </cell>
          <cell r="CI195">
            <v>5000</v>
          </cell>
          <cell r="CJ195"/>
          <cell r="CK195">
            <v>5000</v>
          </cell>
          <cell r="CL195"/>
          <cell r="CM195"/>
          <cell r="CN195">
            <v>1000</v>
          </cell>
          <cell r="CO195">
            <v>4000</v>
          </cell>
          <cell r="CP195">
            <v>1500</v>
          </cell>
          <cell r="CQ195">
            <v>1000</v>
          </cell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 t="str">
            <v>SIN USO</v>
          </cell>
          <cell r="DH195" t="str">
            <v>C</v>
          </cell>
          <cell r="DI195"/>
          <cell r="DJ195">
            <v>2687.5</v>
          </cell>
          <cell r="DK195">
            <v>447.91666666666669</v>
          </cell>
          <cell r="DL195">
            <v>2427.7360727691121</v>
          </cell>
          <cell r="DM195">
            <v>0</v>
          </cell>
          <cell r="DN195" t="str">
            <v>0</v>
          </cell>
          <cell r="DO195">
            <v>0</v>
          </cell>
          <cell r="DP195" t="str">
            <v>INACTIVO</v>
          </cell>
          <cell r="DQ195">
            <v>2687.5</v>
          </cell>
        </row>
        <row r="196">
          <cell r="B196">
            <v>404749</v>
          </cell>
          <cell r="C196" t="str">
            <v>ETIQUETA BLANCA 100x80 JUMBO</v>
          </cell>
          <cell r="D196"/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>
            <v>5000</v>
          </cell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 t="str">
            <v>SIN USO</v>
          </cell>
          <cell r="DH196" t="str">
            <v>C</v>
          </cell>
          <cell r="DI196"/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 t="str">
            <v>0</v>
          </cell>
          <cell r="DO196">
            <v>0</v>
          </cell>
          <cell r="DP196" t="str">
            <v>INACTIVO</v>
          </cell>
          <cell r="DQ196">
            <v>0</v>
          </cell>
        </row>
        <row r="197">
          <cell r="B197">
            <v>405174</v>
          </cell>
          <cell r="C197" t="str">
            <v>ETIQUETA GENERICA TORTA CHOCOLATE MANJAR</v>
          </cell>
          <cell r="D197">
            <v>2000</v>
          </cell>
          <cell r="E197">
            <v>3000</v>
          </cell>
          <cell r="F197">
            <v>2500</v>
          </cell>
          <cell r="G197">
            <v>4500</v>
          </cell>
          <cell r="H197"/>
          <cell r="I197">
            <v>5000</v>
          </cell>
          <cell r="J197">
            <v>4500</v>
          </cell>
          <cell r="K197">
            <v>5000</v>
          </cell>
          <cell r="L197">
            <v>2500</v>
          </cell>
          <cell r="M197">
            <v>4500</v>
          </cell>
          <cell r="N197">
            <v>5500</v>
          </cell>
          <cell r="O197">
            <v>2500</v>
          </cell>
          <cell r="P197"/>
          <cell r="Q197">
            <v>500</v>
          </cell>
          <cell r="R197">
            <v>5500</v>
          </cell>
          <cell r="S197">
            <v>3000</v>
          </cell>
          <cell r="T197"/>
          <cell r="U197"/>
          <cell r="V197">
            <v>5000</v>
          </cell>
          <cell r="W197">
            <v>4000</v>
          </cell>
          <cell r="X197">
            <v>3500</v>
          </cell>
          <cell r="Y197"/>
          <cell r="Z197"/>
          <cell r="AA197">
            <v>9500</v>
          </cell>
          <cell r="AB197">
            <v>1500</v>
          </cell>
          <cell r="AC197"/>
          <cell r="AD197">
            <v>3000</v>
          </cell>
          <cell r="AE197"/>
          <cell r="AF197"/>
          <cell r="AG197"/>
          <cell r="AH197"/>
          <cell r="AI197">
            <v>3500</v>
          </cell>
          <cell r="AJ197"/>
          <cell r="AK197"/>
          <cell r="AL197">
            <v>5000</v>
          </cell>
          <cell r="AM197"/>
          <cell r="AN197"/>
          <cell r="AO197"/>
          <cell r="AP197"/>
          <cell r="AQ197">
            <v>4000</v>
          </cell>
          <cell r="AR197">
            <v>5500</v>
          </cell>
          <cell r="AS197"/>
          <cell r="AT197"/>
          <cell r="AU197">
            <v>4000</v>
          </cell>
          <cell r="AV197"/>
          <cell r="AW197">
            <v>4000</v>
          </cell>
          <cell r="AX197"/>
          <cell r="AY197"/>
          <cell r="AZ197"/>
          <cell r="BA197">
            <v>3000</v>
          </cell>
          <cell r="BB197"/>
          <cell r="BC197">
            <v>4500</v>
          </cell>
          <cell r="BD197">
            <v>6000</v>
          </cell>
          <cell r="BE197">
            <v>4000</v>
          </cell>
          <cell r="BF197"/>
          <cell r="BG197">
            <v>4000</v>
          </cell>
          <cell r="BH197">
            <v>5000</v>
          </cell>
          <cell r="BI197"/>
          <cell r="BJ197">
            <v>8500</v>
          </cell>
          <cell r="BK197">
            <v>2000</v>
          </cell>
          <cell r="BL197"/>
          <cell r="BM197">
            <v>4000</v>
          </cell>
          <cell r="BN197">
            <v>8000</v>
          </cell>
          <cell r="BO197"/>
          <cell r="BP197"/>
          <cell r="BQ197">
            <v>1500</v>
          </cell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>
            <v>22000</v>
          </cell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 t="str">
            <v>SIN USO</v>
          </cell>
          <cell r="DH197" t="str">
            <v>C</v>
          </cell>
          <cell r="DI197"/>
          <cell r="DJ197">
            <v>22000</v>
          </cell>
          <cell r="DK197">
            <v>3666.6666666666665</v>
          </cell>
          <cell r="DL197">
            <v>1802.7756377319947</v>
          </cell>
          <cell r="DM197">
            <v>0</v>
          </cell>
          <cell r="DN197" t="str">
            <v>0</v>
          </cell>
          <cell r="DO197">
            <v>0</v>
          </cell>
          <cell r="DP197" t="str">
            <v>INACTIVO</v>
          </cell>
          <cell r="DQ197">
            <v>22000</v>
          </cell>
        </row>
        <row r="198">
          <cell r="B198">
            <v>405176</v>
          </cell>
          <cell r="C198" t="str">
            <v>ETIQUETA GENERICA TORTA CHOCOQUINDA</v>
          </cell>
          <cell r="D198">
            <v>3000</v>
          </cell>
          <cell r="E198">
            <v>3500</v>
          </cell>
          <cell r="F198">
            <v>3000</v>
          </cell>
          <cell r="G198">
            <v>3000</v>
          </cell>
          <cell r="H198"/>
          <cell r="I198">
            <v>1500</v>
          </cell>
          <cell r="J198">
            <v>1500</v>
          </cell>
          <cell r="K198">
            <v>3000</v>
          </cell>
          <cell r="L198">
            <v>3000</v>
          </cell>
          <cell r="M198">
            <v>3000</v>
          </cell>
          <cell r="N198"/>
          <cell r="O198">
            <v>3000</v>
          </cell>
          <cell r="P198"/>
          <cell r="Q198"/>
          <cell r="R198"/>
          <cell r="S198"/>
          <cell r="T198">
            <v>2500</v>
          </cell>
          <cell r="U198"/>
          <cell r="V198"/>
          <cell r="W198"/>
          <cell r="X198"/>
          <cell r="Y198">
            <v>4000</v>
          </cell>
          <cell r="Z198"/>
          <cell r="AA198"/>
          <cell r="AB198">
            <v>4000</v>
          </cell>
          <cell r="AC198"/>
          <cell r="AD198"/>
          <cell r="AE198"/>
          <cell r="AF198"/>
          <cell r="AG198"/>
          <cell r="AH198">
            <v>500</v>
          </cell>
          <cell r="AI198"/>
          <cell r="AJ198">
            <v>4500</v>
          </cell>
          <cell r="AK198">
            <v>2000</v>
          </cell>
          <cell r="AL198"/>
          <cell r="AM198"/>
          <cell r="AN198"/>
          <cell r="AO198">
            <v>2000</v>
          </cell>
          <cell r="AP198">
            <v>2500</v>
          </cell>
          <cell r="AQ198">
            <v>3500</v>
          </cell>
          <cell r="AR198">
            <v>1500</v>
          </cell>
          <cell r="AS198"/>
          <cell r="AT198"/>
          <cell r="AU198">
            <v>4500</v>
          </cell>
          <cell r="AV198"/>
          <cell r="AW198">
            <v>5000</v>
          </cell>
          <cell r="AX198"/>
          <cell r="AY198"/>
          <cell r="AZ198"/>
          <cell r="BA198">
            <v>1500</v>
          </cell>
          <cell r="BB198">
            <v>1000</v>
          </cell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>
            <v>24000</v>
          </cell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>
            <v>24000</v>
          </cell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 t="str">
            <v>SIN USO</v>
          </cell>
          <cell r="DH198" t="str">
            <v>C</v>
          </cell>
          <cell r="DI198"/>
          <cell r="DJ198">
            <v>24000</v>
          </cell>
          <cell r="DK198">
            <v>4000</v>
          </cell>
          <cell r="DL198">
            <v>6353.6854015459548</v>
          </cell>
          <cell r="DM198">
            <v>0</v>
          </cell>
          <cell r="DN198" t="str">
            <v>0</v>
          </cell>
          <cell r="DO198">
            <v>0</v>
          </cell>
          <cell r="DP198" t="str">
            <v>INACTIVO</v>
          </cell>
          <cell r="DQ198">
            <v>24000</v>
          </cell>
        </row>
        <row r="199">
          <cell r="B199">
            <v>405178</v>
          </cell>
          <cell r="C199" t="str">
            <v>ETIQUETA GENERICA TORTA CREMA MARACUYA</v>
          </cell>
          <cell r="D199"/>
          <cell r="E199">
            <v>3000</v>
          </cell>
          <cell r="F199">
            <v>500</v>
          </cell>
          <cell r="G199">
            <v>1000</v>
          </cell>
          <cell r="H199"/>
          <cell r="I199">
            <v>500</v>
          </cell>
          <cell r="J199">
            <v>500</v>
          </cell>
          <cell r="K199">
            <v>500</v>
          </cell>
          <cell r="L199">
            <v>1000</v>
          </cell>
          <cell r="M199">
            <v>500</v>
          </cell>
          <cell r="N199"/>
          <cell r="O199"/>
          <cell r="P199"/>
          <cell r="Q199">
            <v>500</v>
          </cell>
          <cell r="R199">
            <v>500</v>
          </cell>
          <cell r="S199">
            <v>500</v>
          </cell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 t="str">
            <v>SIN USO</v>
          </cell>
          <cell r="DH199" t="str">
            <v/>
          </cell>
          <cell r="DI199"/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 t="str">
            <v>0</v>
          </cell>
          <cell r="DO199">
            <v>0</v>
          </cell>
          <cell r="DP199" t="str">
            <v>INACTIVO</v>
          </cell>
          <cell r="DQ199">
            <v>0</v>
          </cell>
        </row>
        <row r="200">
          <cell r="B200">
            <v>405180</v>
          </cell>
          <cell r="C200" t="str">
            <v>ETIQUETA GENERICA TORTA CREMA MOKA</v>
          </cell>
          <cell r="D200"/>
          <cell r="E200">
            <v>3500</v>
          </cell>
          <cell r="F200">
            <v>3000</v>
          </cell>
          <cell r="G200">
            <v>3500</v>
          </cell>
          <cell r="H200"/>
          <cell r="I200">
            <v>1000</v>
          </cell>
          <cell r="J200">
            <v>1500</v>
          </cell>
          <cell r="K200">
            <v>5000</v>
          </cell>
          <cell r="L200">
            <v>3000</v>
          </cell>
          <cell r="M200">
            <v>2500</v>
          </cell>
          <cell r="N200"/>
          <cell r="O200">
            <v>2500</v>
          </cell>
          <cell r="P200"/>
          <cell r="Q200"/>
          <cell r="R200"/>
          <cell r="S200"/>
          <cell r="T200">
            <v>2500</v>
          </cell>
          <cell r="U200"/>
          <cell r="V200">
            <v>2500</v>
          </cell>
          <cell r="W200">
            <v>2500</v>
          </cell>
          <cell r="X200"/>
          <cell r="Y200"/>
          <cell r="Z200"/>
          <cell r="AA200"/>
          <cell r="AB200">
            <v>5500</v>
          </cell>
          <cell r="AC200"/>
          <cell r="AD200"/>
          <cell r="AE200"/>
          <cell r="AF200"/>
          <cell r="AG200"/>
          <cell r="AH200"/>
          <cell r="AI200"/>
          <cell r="AJ200"/>
          <cell r="AK200">
            <v>500</v>
          </cell>
          <cell r="AL200">
            <v>500</v>
          </cell>
          <cell r="AM200">
            <v>2000</v>
          </cell>
          <cell r="AN200">
            <v>2000</v>
          </cell>
          <cell r="AO200">
            <v>2500</v>
          </cell>
          <cell r="AP200">
            <v>2500</v>
          </cell>
          <cell r="AQ200"/>
          <cell r="AR200">
            <v>3000</v>
          </cell>
          <cell r="AS200"/>
          <cell r="AT200">
            <v>1000</v>
          </cell>
          <cell r="AU200"/>
          <cell r="AV200"/>
          <cell r="AW200"/>
          <cell r="AX200">
            <v>2500</v>
          </cell>
          <cell r="AY200"/>
          <cell r="AZ200"/>
          <cell r="BA200">
            <v>500</v>
          </cell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>
            <v>11500</v>
          </cell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 t="str">
            <v>SIN USO</v>
          </cell>
          <cell r="DH200" t="str">
            <v>C</v>
          </cell>
          <cell r="DI200"/>
          <cell r="DJ200">
            <v>0</v>
          </cell>
          <cell r="DK200">
            <v>0</v>
          </cell>
          <cell r="DL200">
            <v>3096.9192903446951</v>
          </cell>
          <cell r="DM200">
            <v>0</v>
          </cell>
          <cell r="DN200" t="str">
            <v>0</v>
          </cell>
          <cell r="DO200">
            <v>0</v>
          </cell>
          <cell r="DP200" t="str">
            <v>INACTIVO</v>
          </cell>
          <cell r="DQ200">
            <v>0</v>
          </cell>
        </row>
        <row r="201">
          <cell r="B201">
            <v>405187</v>
          </cell>
          <cell r="C201" t="str">
            <v>ETIQUETA GENERICA TORTA MOUSSE MANJAR</v>
          </cell>
          <cell r="D201">
            <v>3000</v>
          </cell>
          <cell r="E201">
            <v>3000</v>
          </cell>
          <cell r="F201"/>
          <cell r="G201">
            <v>3000</v>
          </cell>
          <cell r="H201"/>
          <cell r="I201"/>
          <cell r="J201">
            <v>4000</v>
          </cell>
          <cell r="K201">
            <v>2000</v>
          </cell>
          <cell r="L201"/>
          <cell r="M201">
            <v>2500</v>
          </cell>
          <cell r="N201"/>
          <cell r="O201">
            <v>2500</v>
          </cell>
          <cell r="P201"/>
          <cell r="Q201"/>
          <cell r="R201">
            <v>2500</v>
          </cell>
          <cell r="S201">
            <v>2500</v>
          </cell>
          <cell r="T201">
            <v>1500</v>
          </cell>
          <cell r="U201"/>
          <cell r="V201">
            <v>3000</v>
          </cell>
          <cell r="W201">
            <v>2500</v>
          </cell>
          <cell r="X201"/>
          <cell r="Y201"/>
          <cell r="Z201"/>
          <cell r="AA201"/>
          <cell r="AB201">
            <v>5500</v>
          </cell>
          <cell r="AC201"/>
          <cell r="AD201"/>
          <cell r="AE201"/>
          <cell r="AF201"/>
          <cell r="AG201"/>
          <cell r="AH201"/>
          <cell r="AI201">
            <v>500</v>
          </cell>
          <cell r="AJ201">
            <v>4000</v>
          </cell>
          <cell r="AK201"/>
          <cell r="AL201"/>
          <cell r="AM201"/>
          <cell r="AN201"/>
          <cell r="AO201">
            <v>2500</v>
          </cell>
          <cell r="AP201"/>
          <cell r="AQ201"/>
          <cell r="AR201">
            <v>4000</v>
          </cell>
          <cell r="AS201"/>
          <cell r="AT201"/>
          <cell r="AU201"/>
          <cell r="AV201"/>
          <cell r="AW201"/>
          <cell r="AX201">
            <v>5000</v>
          </cell>
          <cell r="AY201"/>
          <cell r="AZ201">
            <v>1000</v>
          </cell>
          <cell r="BA201">
            <v>2500</v>
          </cell>
          <cell r="BB201"/>
          <cell r="BC201"/>
          <cell r="BD201">
            <v>2000</v>
          </cell>
          <cell r="BE201"/>
          <cell r="BF201"/>
          <cell r="BG201">
            <v>2000</v>
          </cell>
          <cell r="BH201"/>
          <cell r="BI201"/>
          <cell r="BJ201">
            <v>3000</v>
          </cell>
          <cell r="BK201">
            <v>2500</v>
          </cell>
          <cell r="BL201">
            <v>2500</v>
          </cell>
          <cell r="BM201">
            <v>2500</v>
          </cell>
          <cell r="BN201"/>
          <cell r="BO201"/>
          <cell r="BP201"/>
          <cell r="BQ201"/>
          <cell r="BR201"/>
          <cell r="BS201"/>
          <cell r="BT201"/>
          <cell r="BU201">
            <v>15500</v>
          </cell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 t="str">
            <v>SIN USO</v>
          </cell>
          <cell r="DH201" t="str">
            <v>C</v>
          </cell>
          <cell r="DI201"/>
          <cell r="DJ201">
            <v>0</v>
          </cell>
          <cell r="DK201">
            <v>0</v>
          </cell>
          <cell r="DL201">
            <v>3634.5790451116668</v>
          </cell>
          <cell r="DM201">
            <v>0</v>
          </cell>
          <cell r="DN201" t="str">
            <v>0</v>
          </cell>
          <cell r="DO201">
            <v>0</v>
          </cell>
          <cell r="DP201" t="str">
            <v>INACTIVO</v>
          </cell>
          <cell r="DQ201">
            <v>0</v>
          </cell>
        </row>
        <row r="202">
          <cell r="B202">
            <v>405376</v>
          </cell>
          <cell r="C202" t="str">
            <v>ETIQUETA CIRCULAR 9cm TORTA SACHER</v>
          </cell>
          <cell r="D202"/>
          <cell r="E202"/>
          <cell r="F202"/>
          <cell r="G202"/>
          <cell r="H202"/>
          <cell r="I202"/>
          <cell r="J202"/>
          <cell r="K202">
            <v>1500</v>
          </cell>
          <cell r="L202"/>
          <cell r="M202">
            <v>5000</v>
          </cell>
          <cell r="N202">
            <v>4000</v>
          </cell>
          <cell r="O202"/>
          <cell r="P202">
            <v>3000</v>
          </cell>
          <cell r="Q202"/>
          <cell r="R202">
            <v>4000</v>
          </cell>
          <cell r="S202">
            <v>4000</v>
          </cell>
          <cell r="T202"/>
          <cell r="U202"/>
          <cell r="V202">
            <v>1000</v>
          </cell>
          <cell r="W202"/>
          <cell r="X202">
            <v>6000</v>
          </cell>
          <cell r="Y202">
            <v>6000</v>
          </cell>
          <cell r="Z202">
            <v>2000</v>
          </cell>
          <cell r="AA202"/>
          <cell r="AB202"/>
          <cell r="AC202">
            <v>5000</v>
          </cell>
          <cell r="AD202"/>
          <cell r="AE202"/>
          <cell r="AF202">
            <v>5000</v>
          </cell>
          <cell r="AG202"/>
          <cell r="AH202">
            <v>4000</v>
          </cell>
          <cell r="AI202">
            <v>4000</v>
          </cell>
          <cell r="AJ202"/>
          <cell r="AK202">
            <v>10000</v>
          </cell>
          <cell r="AL202">
            <v>1000</v>
          </cell>
          <cell r="AM202">
            <v>3000</v>
          </cell>
          <cell r="AN202">
            <v>3000</v>
          </cell>
          <cell r="AO202"/>
          <cell r="AP202">
            <v>2000</v>
          </cell>
          <cell r="AQ202"/>
          <cell r="AR202">
            <v>2500</v>
          </cell>
          <cell r="AS202">
            <v>3500</v>
          </cell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>
            <v>8000</v>
          </cell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 t="str">
            <v>SIN USO</v>
          </cell>
          <cell r="DH202" t="str">
            <v>C</v>
          </cell>
          <cell r="DI202"/>
          <cell r="DJ202">
            <v>0</v>
          </cell>
          <cell r="DK202">
            <v>0</v>
          </cell>
          <cell r="DL202">
            <v>2648.3270877360223</v>
          </cell>
          <cell r="DM202">
            <v>0</v>
          </cell>
          <cell r="DN202" t="str">
            <v>0</v>
          </cell>
          <cell r="DO202">
            <v>0</v>
          </cell>
          <cell r="DP202" t="str">
            <v>INACTIVO</v>
          </cell>
          <cell r="DQ202">
            <v>0</v>
          </cell>
        </row>
        <row r="203">
          <cell r="B203">
            <v>405377</v>
          </cell>
          <cell r="C203" t="str">
            <v>ETIQUETA CIRCULAR 9cm TORTA MANJAR LUCUMA</v>
          </cell>
          <cell r="D203"/>
          <cell r="E203"/>
          <cell r="F203"/>
          <cell r="G203"/>
          <cell r="H203"/>
          <cell r="I203"/>
          <cell r="J203"/>
          <cell r="K203">
            <v>1500</v>
          </cell>
          <cell r="L203">
            <v>3000</v>
          </cell>
          <cell r="M203">
            <v>3500</v>
          </cell>
          <cell r="N203">
            <v>3000</v>
          </cell>
          <cell r="O203">
            <v>6000</v>
          </cell>
          <cell r="P203"/>
          <cell r="Q203">
            <v>3000</v>
          </cell>
          <cell r="R203">
            <v>1500</v>
          </cell>
          <cell r="S203">
            <v>2000</v>
          </cell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>
            <v>17000</v>
          </cell>
          <cell r="AL203"/>
          <cell r="AM203"/>
          <cell r="AN203"/>
          <cell r="AO203">
            <v>6000</v>
          </cell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 t="str">
            <v>SIN USO</v>
          </cell>
          <cell r="DH203" t="str">
            <v>C</v>
          </cell>
          <cell r="DI203"/>
          <cell r="DJ203">
            <v>0</v>
          </cell>
          <cell r="DK203">
            <v>0</v>
          </cell>
          <cell r="DL203">
            <v>7778.1745930520228</v>
          </cell>
          <cell r="DM203">
            <v>0</v>
          </cell>
          <cell r="DN203" t="str">
            <v>0</v>
          </cell>
          <cell r="DO203">
            <v>0</v>
          </cell>
          <cell r="DP203" t="str">
            <v>INACTIVO</v>
          </cell>
          <cell r="DQ203">
            <v>0</v>
          </cell>
        </row>
        <row r="204">
          <cell r="B204">
            <v>405353</v>
          </cell>
          <cell r="C204" t="str">
            <v>ETIQ. CIRCULAR 90cm IMPR. TORTA CUSINE &amp; CO JUMBO COOKIES AND CREAM</v>
          </cell>
          <cell r="D204"/>
          <cell r="E204"/>
          <cell r="F204"/>
          <cell r="G204"/>
          <cell r="H204"/>
          <cell r="I204"/>
          <cell r="J204"/>
          <cell r="K204">
            <v>1000</v>
          </cell>
          <cell r="L204">
            <v>3000</v>
          </cell>
          <cell r="M204">
            <v>5000</v>
          </cell>
          <cell r="N204"/>
          <cell r="O204"/>
          <cell r="P204"/>
          <cell r="Q204"/>
          <cell r="R204"/>
          <cell r="S204"/>
          <cell r="T204"/>
          <cell r="U204"/>
          <cell r="V204">
            <v>10000</v>
          </cell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 t="str">
            <v>SIN USO</v>
          </cell>
          <cell r="DH204" t="str">
            <v/>
          </cell>
          <cell r="DI204"/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 t="str">
            <v>0</v>
          </cell>
          <cell r="DO204">
            <v>0</v>
          </cell>
          <cell r="DP204" t="str">
            <v>INACTIVO</v>
          </cell>
          <cell r="DQ204">
            <v>0</v>
          </cell>
        </row>
        <row r="205">
          <cell r="B205">
            <v>405378</v>
          </cell>
          <cell r="C205" t="str">
            <v>ETIQUETA CIRCULAR 9cm TORTA GUINDA CHOCOLATE</v>
          </cell>
          <cell r="D205"/>
          <cell r="E205"/>
          <cell r="F205"/>
          <cell r="G205"/>
          <cell r="H205"/>
          <cell r="I205"/>
          <cell r="J205"/>
          <cell r="K205">
            <v>8000</v>
          </cell>
          <cell r="L205"/>
          <cell r="M205">
            <v>4000</v>
          </cell>
          <cell r="N205">
            <v>3000</v>
          </cell>
          <cell r="O205"/>
          <cell r="P205">
            <v>4000</v>
          </cell>
          <cell r="Q205">
            <v>2000</v>
          </cell>
          <cell r="R205">
            <v>1500</v>
          </cell>
          <cell r="S205">
            <v>2000</v>
          </cell>
          <cell r="T205">
            <v>3000</v>
          </cell>
          <cell r="U205"/>
          <cell r="V205">
            <v>15000</v>
          </cell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>
            <v>5000</v>
          </cell>
          <cell r="AP205"/>
          <cell r="AQ205">
            <v>4000</v>
          </cell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>
            <v>5000</v>
          </cell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 t="str">
            <v>SIN USO</v>
          </cell>
          <cell r="DH205" t="str">
            <v>C</v>
          </cell>
          <cell r="DI205"/>
          <cell r="DJ205">
            <v>0</v>
          </cell>
          <cell r="DK205">
            <v>0</v>
          </cell>
          <cell r="DL205">
            <v>577.35026918962467</v>
          </cell>
          <cell r="DM205">
            <v>0</v>
          </cell>
          <cell r="DN205" t="str">
            <v>0</v>
          </cell>
          <cell r="DO205">
            <v>0</v>
          </cell>
          <cell r="DP205" t="str">
            <v>INACTIVO</v>
          </cell>
          <cell r="DQ205">
            <v>0</v>
          </cell>
        </row>
        <row r="206">
          <cell r="B206">
            <v>405402</v>
          </cell>
          <cell r="C206" t="str">
            <v>ETIQUETA GENERICA TORTA CHOCOLATE AVELLANA</v>
          </cell>
          <cell r="D206"/>
          <cell r="E206"/>
          <cell r="F206"/>
          <cell r="G206"/>
          <cell r="H206"/>
          <cell r="I206"/>
          <cell r="J206"/>
          <cell r="K206"/>
          <cell r="L206"/>
          <cell r="M206"/>
          <cell r="N206">
            <v>1000</v>
          </cell>
          <cell r="O206"/>
          <cell r="P206"/>
          <cell r="Q206">
            <v>1500</v>
          </cell>
          <cell r="R206">
            <v>1000</v>
          </cell>
          <cell r="S206"/>
          <cell r="T206"/>
          <cell r="U206"/>
          <cell r="V206"/>
          <cell r="W206"/>
          <cell r="X206"/>
          <cell r="Y206">
            <v>4000</v>
          </cell>
          <cell r="Z206"/>
          <cell r="AA206"/>
          <cell r="AB206"/>
          <cell r="AC206"/>
          <cell r="AD206"/>
          <cell r="AE206"/>
          <cell r="AF206"/>
          <cell r="AG206"/>
          <cell r="AH206">
            <v>3500</v>
          </cell>
          <cell r="AI206"/>
          <cell r="AJ206"/>
          <cell r="AK206"/>
          <cell r="AL206"/>
          <cell r="AM206"/>
          <cell r="AN206">
            <v>1000</v>
          </cell>
          <cell r="AO206"/>
          <cell r="AP206">
            <v>1500</v>
          </cell>
          <cell r="AQ206"/>
          <cell r="AR206"/>
          <cell r="AS206">
            <v>1000</v>
          </cell>
          <cell r="AT206"/>
          <cell r="AU206"/>
          <cell r="AV206"/>
          <cell r="AW206">
            <v>1000</v>
          </cell>
          <cell r="AX206"/>
          <cell r="AY206"/>
          <cell r="AZ206">
            <v>2500</v>
          </cell>
          <cell r="BA206"/>
          <cell r="BB206"/>
          <cell r="BC206"/>
          <cell r="BD206">
            <v>2000</v>
          </cell>
          <cell r="BE206"/>
          <cell r="BF206"/>
          <cell r="BG206"/>
          <cell r="BH206"/>
          <cell r="BI206"/>
          <cell r="BJ206">
            <v>1000</v>
          </cell>
          <cell r="BK206"/>
          <cell r="BL206">
            <v>1000</v>
          </cell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>
            <v>7000</v>
          </cell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 t="str">
            <v>SIN USO</v>
          </cell>
          <cell r="DH206" t="str">
            <v>C</v>
          </cell>
          <cell r="DI206"/>
          <cell r="DJ206">
            <v>7000</v>
          </cell>
          <cell r="DK206">
            <v>1166.6666666666667</v>
          </cell>
          <cell r="DL206">
            <v>893.65044123030066</v>
          </cell>
          <cell r="DM206">
            <v>0</v>
          </cell>
          <cell r="DN206" t="str">
            <v>0</v>
          </cell>
          <cell r="DO206">
            <v>0</v>
          </cell>
          <cell r="DP206" t="str">
            <v>INACTIVO</v>
          </cell>
          <cell r="DQ206">
            <v>7000</v>
          </cell>
        </row>
        <row r="207">
          <cell r="B207">
            <v>107298</v>
          </cell>
          <cell r="C207" t="str">
            <v>ETIQUETA GENÉRICA TORTA RAINBOW</v>
          </cell>
          <cell r="D207">
            <v>1000</v>
          </cell>
          <cell r="E207">
            <v>1000</v>
          </cell>
          <cell r="F207">
            <v>1000</v>
          </cell>
          <cell r="G207">
            <v>1000</v>
          </cell>
          <cell r="H207">
            <v>1000</v>
          </cell>
          <cell r="I207">
            <v>1000</v>
          </cell>
          <cell r="J207">
            <v>1000</v>
          </cell>
          <cell r="K207">
            <v>500</v>
          </cell>
          <cell r="L207"/>
          <cell r="M207">
            <v>1000</v>
          </cell>
          <cell r="N207">
            <v>1000</v>
          </cell>
          <cell r="O207">
            <v>2000</v>
          </cell>
          <cell r="P207"/>
          <cell r="Q207"/>
          <cell r="R207">
            <v>1000</v>
          </cell>
          <cell r="S207"/>
          <cell r="T207"/>
          <cell r="U207"/>
          <cell r="V207"/>
          <cell r="W207">
            <v>1000</v>
          </cell>
          <cell r="X207"/>
          <cell r="Y207"/>
          <cell r="Z207"/>
          <cell r="AA207">
            <v>500</v>
          </cell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>
            <v>5000</v>
          </cell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 t="str">
            <v>SIN USO</v>
          </cell>
          <cell r="DH207" t="str">
            <v>C</v>
          </cell>
          <cell r="DI207"/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 t="str">
            <v>0</v>
          </cell>
          <cell r="DO207">
            <v>0</v>
          </cell>
          <cell r="DP207" t="str">
            <v>INACTIVO</v>
          </cell>
          <cell r="DQ207">
            <v>0</v>
          </cell>
        </row>
        <row r="208">
          <cell r="B208">
            <v>107327</v>
          </cell>
          <cell r="C208" t="str">
            <v>ETIQUETA GENERICA TORTA HOJA MANJAR CHOCOLATE</v>
          </cell>
          <cell r="D208">
            <v>500</v>
          </cell>
          <cell r="E208">
            <v>3000</v>
          </cell>
          <cell r="F208">
            <v>2000</v>
          </cell>
          <cell r="G208">
            <v>8500</v>
          </cell>
          <cell r="H208">
            <v>1000</v>
          </cell>
          <cell r="I208">
            <v>6500</v>
          </cell>
          <cell r="J208">
            <v>4500</v>
          </cell>
          <cell r="K208">
            <v>2500</v>
          </cell>
          <cell r="L208">
            <v>6500</v>
          </cell>
          <cell r="M208">
            <v>4500</v>
          </cell>
          <cell r="N208">
            <v>4000</v>
          </cell>
          <cell r="O208">
            <v>8000</v>
          </cell>
          <cell r="P208"/>
          <cell r="Q208">
            <v>4500</v>
          </cell>
          <cell r="R208">
            <v>3000</v>
          </cell>
          <cell r="S208">
            <v>5000</v>
          </cell>
          <cell r="T208">
            <v>2500</v>
          </cell>
          <cell r="U208"/>
          <cell r="V208">
            <v>3500</v>
          </cell>
          <cell r="W208">
            <v>1000</v>
          </cell>
          <cell r="X208"/>
          <cell r="Y208">
            <v>6500</v>
          </cell>
          <cell r="Z208"/>
          <cell r="AA208">
            <v>3000</v>
          </cell>
          <cell r="AB208"/>
          <cell r="AC208">
            <v>1000</v>
          </cell>
          <cell r="AD208"/>
          <cell r="AE208"/>
          <cell r="AF208">
            <v>3500</v>
          </cell>
          <cell r="AG208">
            <v>1500</v>
          </cell>
          <cell r="AH208">
            <v>3500</v>
          </cell>
          <cell r="AI208"/>
          <cell r="AJ208">
            <v>5000</v>
          </cell>
          <cell r="AK208">
            <v>3000</v>
          </cell>
          <cell r="AL208">
            <v>500</v>
          </cell>
          <cell r="AM208">
            <v>2000</v>
          </cell>
          <cell r="AN208">
            <v>2000</v>
          </cell>
          <cell r="AO208">
            <v>2000</v>
          </cell>
          <cell r="AP208">
            <v>2000</v>
          </cell>
          <cell r="AQ208">
            <v>2500</v>
          </cell>
          <cell r="AR208">
            <v>1000</v>
          </cell>
          <cell r="AS208"/>
          <cell r="AT208">
            <v>3500</v>
          </cell>
          <cell r="AU208">
            <v>13501</v>
          </cell>
          <cell r="AV208">
            <v>7000</v>
          </cell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 t="str">
            <v>SIN USO</v>
          </cell>
          <cell r="DH208" t="str">
            <v>C</v>
          </cell>
          <cell r="DI208"/>
          <cell r="DJ208">
            <v>0</v>
          </cell>
          <cell r="DK208">
            <v>0</v>
          </cell>
          <cell r="DL208">
            <v>3207.357623310741</v>
          </cell>
          <cell r="DM208">
            <v>0</v>
          </cell>
          <cell r="DN208" t="str">
            <v>0</v>
          </cell>
          <cell r="DO208">
            <v>0</v>
          </cell>
          <cell r="DP208" t="str">
            <v>INACTIVO</v>
          </cell>
          <cell r="DQ208">
            <v>0</v>
          </cell>
        </row>
        <row r="209">
          <cell r="B209">
            <v>405310</v>
          </cell>
          <cell r="C209" t="str">
            <v>ETIQUETA OPP TRANSPARENTE 22X32 CRISME</v>
          </cell>
          <cell r="D209"/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>
            <v>15000</v>
          </cell>
          <cell r="AD209"/>
          <cell r="AE209"/>
          <cell r="AF209"/>
          <cell r="AG209">
            <v>5000</v>
          </cell>
          <cell r="AH209">
            <v>5000</v>
          </cell>
          <cell r="AI209"/>
          <cell r="AJ209"/>
          <cell r="AK209"/>
          <cell r="AL209"/>
          <cell r="AM209"/>
          <cell r="AN209"/>
          <cell r="AO209"/>
          <cell r="AP209">
            <v>5000</v>
          </cell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>
            <v>5000</v>
          </cell>
          <cell r="BC209">
            <v>20000</v>
          </cell>
          <cell r="BD209">
            <v>10000</v>
          </cell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>
            <v>20000</v>
          </cell>
          <cell r="BX209"/>
          <cell r="BY209"/>
          <cell r="BZ209"/>
          <cell r="CA209">
            <v>50000</v>
          </cell>
          <cell r="CB209">
            <v>30000</v>
          </cell>
          <cell r="CC209">
            <v>40000</v>
          </cell>
          <cell r="CD209">
            <v>175000</v>
          </cell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>
            <v>10000</v>
          </cell>
          <cell r="CQ209"/>
          <cell r="CR209"/>
          <cell r="CS209">
            <v>20000</v>
          </cell>
          <cell r="CT209"/>
          <cell r="CU209"/>
          <cell r="CV209"/>
          <cell r="CW209"/>
          <cell r="CX209"/>
          <cell r="CY209">
            <v>20000</v>
          </cell>
          <cell r="CZ209"/>
          <cell r="DA209"/>
          <cell r="DB209"/>
          <cell r="DC209"/>
          <cell r="DD209"/>
          <cell r="DE209"/>
          <cell r="DF209"/>
          <cell r="DG209" t="str">
            <v>SIN USO</v>
          </cell>
          <cell r="DH209" t="str">
            <v>C</v>
          </cell>
          <cell r="DI209"/>
          <cell r="DJ209">
            <v>16666.666666666668</v>
          </cell>
          <cell r="DK209">
            <v>2777.7777777777778</v>
          </cell>
          <cell r="DL209">
            <v>49511.24757430009</v>
          </cell>
          <cell r="DM209">
            <v>130000</v>
          </cell>
          <cell r="DN209">
            <v>949000</v>
          </cell>
          <cell r="DO209">
            <v>7.8</v>
          </cell>
          <cell r="DP209" t="str">
            <v>INACTIVO</v>
          </cell>
          <cell r="DQ209">
            <v>16666.666666666668</v>
          </cell>
        </row>
        <row r="210">
          <cell r="B210">
            <v>107407</v>
          </cell>
          <cell r="C210" t="str">
            <v>ETIQUETA GALLETA AMERICAN CRISPY CHIP DE CHOCOLATE</v>
          </cell>
          <cell r="D210"/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>
            <v>1000</v>
          </cell>
          <cell r="AA210"/>
          <cell r="AB210"/>
          <cell r="AC210"/>
          <cell r="AD210"/>
          <cell r="AE210"/>
          <cell r="AF210"/>
          <cell r="AG210"/>
          <cell r="AH210">
            <v>1000</v>
          </cell>
          <cell r="AI210"/>
          <cell r="AJ210">
            <v>2000</v>
          </cell>
          <cell r="AK210"/>
          <cell r="AL210"/>
          <cell r="AM210"/>
          <cell r="AN210">
            <v>1000</v>
          </cell>
          <cell r="AO210"/>
          <cell r="AP210"/>
          <cell r="AQ210"/>
          <cell r="AR210"/>
          <cell r="AS210"/>
          <cell r="AT210"/>
          <cell r="AU210">
            <v>2000</v>
          </cell>
          <cell r="AV210">
            <v>1000</v>
          </cell>
          <cell r="AW210"/>
          <cell r="AX210"/>
          <cell r="AY210">
            <v>1000</v>
          </cell>
          <cell r="AZ210"/>
          <cell r="BA210">
            <v>1000</v>
          </cell>
          <cell r="BB210"/>
          <cell r="BC210"/>
          <cell r="BD210">
            <v>2000</v>
          </cell>
          <cell r="BE210">
            <v>500</v>
          </cell>
          <cell r="BF210"/>
          <cell r="BG210"/>
          <cell r="BH210"/>
          <cell r="BI210"/>
          <cell r="BJ210"/>
          <cell r="BK210">
            <v>1200</v>
          </cell>
          <cell r="BL210"/>
          <cell r="BM210"/>
          <cell r="BN210"/>
          <cell r="BO210"/>
          <cell r="BP210"/>
          <cell r="BQ210"/>
          <cell r="BR210">
            <v>1000</v>
          </cell>
          <cell r="BS210">
            <v>1000</v>
          </cell>
          <cell r="BT210"/>
          <cell r="BU210"/>
          <cell r="BV210"/>
          <cell r="BW210"/>
          <cell r="BX210">
            <v>1000</v>
          </cell>
          <cell r="BY210">
            <v>2000</v>
          </cell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 t="str">
            <v>SIN USO</v>
          </cell>
          <cell r="DH210" t="str">
            <v>C</v>
          </cell>
          <cell r="DI210"/>
          <cell r="DJ210">
            <v>0</v>
          </cell>
          <cell r="DK210">
            <v>0</v>
          </cell>
          <cell r="DL210">
            <v>504.75758516363067</v>
          </cell>
          <cell r="DM210">
            <v>0</v>
          </cell>
          <cell r="DN210" t="str">
            <v>0</v>
          </cell>
          <cell r="DO210">
            <v>0</v>
          </cell>
          <cell r="DP210" t="str">
            <v>INACTIVO</v>
          </cell>
          <cell r="DQ210">
            <v>0</v>
          </cell>
        </row>
        <row r="211">
          <cell r="B211">
            <v>107408</v>
          </cell>
          <cell r="C211" t="str">
            <v>ETIQUETA GALLETA AMERICAN CRISPY CARAMELO SALADO</v>
          </cell>
          <cell r="D211"/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>
            <v>1000</v>
          </cell>
          <cell r="AA211"/>
          <cell r="AB211"/>
          <cell r="AC211"/>
          <cell r="AD211"/>
          <cell r="AE211"/>
          <cell r="AF211">
            <v>1000</v>
          </cell>
          <cell r="AG211"/>
          <cell r="AH211">
            <v>1000</v>
          </cell>
          <cell r="AI211"/>
          <cell r="AJ211">
            <v>2000</v>
          </cell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>
            <v>1000</v>
          </cell>
          <cell r="AZ211"/>
          <cell r="BA211"/>
          <cell r="BB211">
            <v>3000</v>
          </cell>
          <cell r="BC211"/>
          <cell r="BD211">
            <v>1000</v>
          </cell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>
            <v>2000</v>
          </cell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 t="str">
            <v>SIN USO</v>
          </cell>
          <cell r="DH211" t="str">
            <v>C</v>
          </cell>
          <cell r="DI211"/>
          <cell r="DJ211">
            <v>0</v>
          </cell>
          <cell r="DK211">
            <v>0</v>
          </cell>
          <cell r="DL211">
            <v>786.79579246944297</v>
          </cell>
          <cell r="DM211">
            <v>0</v>
          </cell>
          <cell r="DN211" t="str">
            <v>0</v>
          </cell>
          <cell r="DO211">
            <v>0</v>
          </cell>
          <cell r="DP211" t="str">
            <v>INACTIVO</v>
          </cell>
          <cell r="DQ211">
            <v>0</v>
          </cell>
        </row>
        <row r="212">
          <cell r="B212">
            <v>107409</v>
          </cell>
          <cell r="C212" t="str">
            <v>ETIQUETA GALLETA AMERICAN CRISPY ALMENDRAS Y CRAMBERRY</v>
          </cell>
          <cell r="D212"/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>
            <v>1000</v>
          </cell>
          <cell r="AA212"/>
          <cell r="AB212"/>
          <cell r="AC212"/>
          <cell r="AD212"/>
          <cell r="AE212"/>
          <cell r="AF212"/>
          <cell r="AG212"/>
          <cell r="AH212">
            <v>1000</v>
          </cell>
          <cell r="AI212"/>
          <cell r="AJ212"/>
          <cell r="AK212"/>
          <cell r="AL212"/>
          <cell r="AM212"/>
          <cell r="AN212"/>
          <cell r="AO212"/>
          <cell r="AP212">
            <v>1000</v>
          </cell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>
            <v>3000</v>
          </cell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 t="str">
            <v>SIN USO</v>
          </cell>
          <cell r="DH212" t="str">
            <v>C</v>
          </cell>
          <cell r="DI212"/>
          <cell r="DJ212">
            <v>0</v>
          </cell>
          <cell r="DK212">
            <v>0</v>
          </cell>
          <cell r="DL212">
            <v>1154.7005383792516</v>
          </cell>
          <cell r="DM212">
            <v>0</v>
          </cell>
          <cell r="DN212" t="str">
            <v>0</v>
          </cell>
          <cell r="DO212">
            <v>0</v>
          </cell>
          <cell r="DP212" t="str">
            <v>INACTIVO</v>
          </cell>
          <cell r="DQ212">
            <v>0</v>
          </cell>
        </row>
        <row r="213">
          <cell r="B213">
            <v>107410</v>
          </cell>
          <cell r="C213" t="str">
            <v>ETIQUETA GALLETA AMERICAN CRISPY BROWNIE CHIPS</v>
          </cell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>
            <v>1000</v>
          </cell>
          <cell r="AA213"/>
          <cell r="AB213"/>
          <cell r="AC213"/>
          <cell r="AD213"/>
          <cell r="AE213"/>
          <cell r="AF213"/>
          <cell r="AG213"/>
          <cell r="AH213">
            <v>3000</v>
          </cell>
          <cell r="AI213"/>
          <cell r="AJ213"/>
          <cell r="AK213"/>
          <cell r="AL213">
            <v>500</v>
          </cell>
          <cell r="AM213"/>
          <cell r="AN213"/>
          <cell r="AO213"/>
          <cell r="AP213">
            <v>1000</v>
          </cell>
          <cell r="AQ213"/>
          <cell r="AR213">
            <v>1000</v>
          </cell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>
            <v>1000</v>
          </cell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>
            <v>3000</v>
          </cell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 t="str">
            <v>SIN USO</v>
          </cell>
          <cell r="DH213" t="str">
            <v>C</v>
          </cell>
          <cell r="DI213"/>
          <cell r="DJ213">
            <v>0</v>
          </cell>
          <cell r="DK213">
            <v>0</v>
          </cell>
          <cell r="DL213">
            <v>1114.3009766964519</v>
          </cell>
          <cell r="DM213">
            <v>0</v>
          </cell>
          <cell r="DN213" t="str">
            <v>0</v>
          </cell>
          <cell r="DO213">
            <v>0</v>
          </cell>
          <cell r="DP213" t="str">
            <v>INACTIVO</v>
          </cell>
          <cell r="DQ213">
            <v>0</v>
          </cell>
        </row>
        <row r="214">
          <cell r="B214">
            <v>107411</v>
          </cell>
          <cell r="C214" t="str">
            <v>ETIQUETA GALLETA AMERICAN COCADA CRANBERRY</v>
          </cell>
          <cell r="D214"/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>
            <v>1000</v>
          </cell>
          <cell r="AA214"/>
          <cell r="AB214"/>
          <cell r="AC214"/>
          <cell r="AD214"/>
          <cell r="AE214"/>
          <cell r="AF214"/>
          <cell r="AG214"/>
          <cell r="AH214">
            <v>2000</v>
          </cell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 t="str">
            <v>SIN USO</v>
          </cell>
          <cell r="DH214" t="str">
            <v>C</v>
          </cell>
          <cell r="DI214"/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 t="str">
            <v>0</v>
          </cell>
          <cell r="DO214">
            <v>0</v>
          </cell>
          <cell r="DP214" t="str">
            <v>INACTIVO</v>
          </cell>
          <cell r="DQ214">
            <v>0</v>
          </cell>
        </row>
        <row r="215">
          <cell r="B215">
            <v>107412</v>
          </cell>
          <cell r="C215" t="str">
            <v>ETIQUETA GALLETA AMERICAN CHUNK CHOCOLATE</v>
          </cell>
          <cell r="D215"/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>
            <v>1000</v>
          </cell>
          <cell r="AA215"/>
          <cell r="AB215"/>
          <cell r="AC215"/>
          <cell r="AD215"/>
          <cell r="AE215"/>
          <cell r="AF215"/>
          <cell r="AG215"/>
          <cell r="AH215">
            <v>1000</v>
          </cell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>
            <v>1000</v>
          </cell>
          <cell r="AU215"/>
          <cell r="AV215"/>
          <cell r="AW215"/>
          <cell r="AX215"/>
          <cell r="AY215"/>
          <cell r="AZ215"/>
          <cell r="BA215">
            <v>1000</v>
          </cell>
          <cell r="BB215"/>
          <cell r="BC215"/>
          <cell r="BD215"/>
          <cell r="BE215"/>
          <cell r="BF215"/>
          <cell r="BG215"/>
          <cell r="BH215">
            <v>1000</v>
          </cell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>
            <v>1600</v>
          </cell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 t="str">
            <v>SIN USO</v>
          </cell>
          <cell r="DH215" t="str">
            <v>C</v>
          </cell>
          <cell r="DI215"/>
          <cell r="DJ215">
            <v>0</v>
          </cell>
          <cell r="DK215">
            <v>0</v>
          </cell>
          <cell r="DL215">
            <v>268.32815729997475</v>
          </cell>
          <cell r="DM215">
            <v>0</v>
          </cell>
          <cell r="DN215" t="str">
            <v>0</v>
          </cell>
          <cell r="DO215">
            <v>0</v>
          </cell>
          <cell r="DP215" t="str">
            <v>INACTIVO</v>
          </cell>
          <cell r="DQ215">
            <v>0</v>
          </cell>
        </row>
        <row r="216">
          <cell r="B216">
            <v>107413</v>
          </cell>
          <cell r="C216" t="str">
            <v>ETIQUETA GALLETA AMERICAN CHUNK MACADAMIA Y CHOCOLATE BLANCO</v>
          </cell>
          <cell r="D216"/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>
            <v>1000</v>
          </cell>
          <cell r="AA216"/>
          <cell r="AB216"/>
          <cell r="AC216"/>
          <cell r="AD216"/>
          <cell r="AE216"/>
          <cell r="AF216"/>
          <cell r="AG216"/>
          <cell r="AH216">
            <v>1000</v>
          </cell>
          <cell r="AI216"/>
          <cell r="AJ216"/>
          <cell r="AK216"/>
          <cell r="AL216"/>
          <cell r="AM216"/>
          <cell r="AN216"/>
          <cell r="AO216"/>
          <cell r="AP216"/>
          <cell r="AQ216">
            <v>2000</v>
          </cell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>
            <v>4000</v>
          </cell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 t="str">
            <v>SIN USO</v>
          </cell>
          <cell r="DH216" t="str">
            <v>C</v>
          </cell>
          <cell r="DI216"/>
          <cell r="DJ216">
            <v>0</v>
          </cell>
          <cell r="DK216">
            <v>0</v>
          </cell>
          <cell r="DL216">
            <v>1527.5252316519466</v>
          </cell>
          <cell r="DM216">
            <v>0</v>
          </cell>
          <cell r="DN216" t="str">
            <v>0</v>
          </cell>
          <cell r="DO216">
            <v>0</v>
          </cell>
          <cell r="DP216" t="str">
            <v>INACTIVO</v>
          </cell>
          <cell r="DQ216">
            <v>0</v>
          </cell>
        </row>
        <row r="217">
          <cell r="B217">
            <v>107414</v>
          </cell>
          <cell r="C217" t="str">
            <v>ETIQUETA GALLETA AMERICAN CHUNK CHOCOLATE Y CARAMELO</v>
          </cell>
          <cell r="D217"/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>
            <v>1000</v>
          </cell>
          <cell r="AA217"/>
          <cell r="AB217"/>
          <cell r="AC217"/>
          <cell r="AD217"/>
          <cell r="AE217"/>
          <cell r="AF217">
            <v>1000</v>
          </cell>
          <cell r="AG217"/>
          <cell r="AH217">
            <v>4000</v>
          </cell>
          <cell r="AI217"/>
          <cell r="AJ217">
            <v>1000</v>
          </cell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 t="str">
            <v>SIN USO</v>
          </cell>
          <cell r="DH217" t="str">
            <v>C</v>
          </cell>
          <cell r="DI217"/>
          <cell r="DJ217">
            <v>0</v>
          </cell>
          <cell r="DK217">
            <v>0</v>
          </cell>
          <cell r="DL217">
            <v>1732.0508075688772</v>
          </cell>
          <cell r="DM217">
            <v>0</v>
          </cell>
          <cell r="DN217" t="str">
            <v>0</v>
          </cell>
          <cell r="DO217">
            <v>0</v>
          </cell>
          <cell r="DP217" t="str">
            <v>INACTIVO</v>
          </cell>
          <cell r="DQ217">
            <v>0</v>
          </cell>
        </row>
        <row r="218">
          <cell r="B218"/>
          <cell r="C218"/>
          <cell r="D218">
            <v>318500</v>
          </cell>
          <cell r="E218">
            <v>240500</v>
          </cell>
          <cell r="F218">
            <v>261000</v>
          </cell>
          <cell r="G218">
            <v>481500</v>
          </cell>
          <cell r="H218">
            <v>62500</v>
          </cell>
          <cell r="I218">
            <v>274500</v>
          </cell>
          <cell r="J218">
            <v>319000</v>
          </cell>
          <cell r="K218">
            <v>360000</v>
          </cell>
          <cell r="L218">
            <v>267000</v>
          </cell>
          <cell r="M218">
            <v>256500</v>
          </cell>
          <cell r="N218">
            <v>244000</v>
          </cell>
          <cell r="O218">
            <v>313500</v>
          </cell>
          <cell r="P218">
            <v>32500</v>
          </cell>
          <cell r="Q218">
            <v>215500</v>
          </cell>
          <cell r="R218">
            <v>199500</v>
          </cell>
          <cell r="S218">
            <v>220500</v>
          </cell>
          <cell r="T218">
            <v>253500</v>
          </cell>
          <cell r="U218">
            <v>65000</v>
          </cell>
          <cell r="V218">
            <v>296000</v>
          </cell>
          <cell r="W218">
            <v>236500</v>
          </cell>
          <cell r="X218">
            <v>280500</v>
          </cell>
          <cell r="Y218">
            <v>387500</v>
          </cell>
          <cell r="Z218">
            <v>66500</v>
          </cell>
          <cell r="AA218">
            <v>219500</v>
          </cell>
          <cell r="AB218">
            <v>185000</v>
          </cell>
          <cell r="AC218">
            <v>168500</v>
          </cell>
          <cell r="AD218">
            <v>104500</v>
          </cell>
          <cell r="AE218">
            <v>15500</v>
          </cell>
          <cell r="AF218">
            <v>176000</v>
          </cell>
          <cell r="AG218">
            <v>159500</v>
          </cell>
          <cell r="AH218">
            <v>293500</v>
          </cell>
          <cell r="AI218">
            <v>240200</v>
          </cell>
          <cell r="AJ218">
            <v>216000</v>
          </cell>
          <cell r="AK218">
            <v>217500</v>
          </cell>
          <cell r="AL218">
            <v>198000</v>
          </cell>
          <cell r="AM218">
            <v>169000</v>
          </cell>
          <cell r="AN218">
            <v>237500</v>
          </cell>
          <cell r="AO218">
            <v>192502</v>
          </cell>
          <cell r="AP218">
            <v>304000</v>
          </cell>
          <cell r="AQ218">
            <v>192999</v>
          </cell>
          <cell r="AR218">
            <v>390500</v>
          </cell>
          <cell r="AS218">
            <v>109300</v>
          </cell>
          <cell r="AT218">
            <v>250000</v>
          </cell>
          <cell r="AU218">
            <v>431501</v>
          </cell>
          <cell r="AV218">
            <v>254500</v>
          </cell>
          <cell r="AW218">
            <v>449000</v>
          </cell>
          <cell r="AX218">
            <v>241000</v>
          </cell>
          <cell r="AY218">
            <v>285000</v>
          </cell>
          <cell r="AZ218">
            <v>124300</v>
          </cell>
          <cell r="BA218">
            <v>234200</v>
          </cell>
          <cell r="BB218">
            <v>277000</v>
          </cell>
          <cell r="BC218">
            <v>280500</v>
          </cell>
          <cell r="BD218">
            <v>359300</v>
          </cell>
          <cell r="BE218">
            <v>254700</v>
          </cell>
          <cell r="BF218">
            <v>49000</v>
          </cell>
          <cell r="BG218">
            <v>245000</v>
          </cell>
          <cell r="BH218">
            <v>471000</v>
          </cell>
          <cell r="BI218">
            <v>135000</v>
          </cell>
          <cell r="BJ218">
            <v>276500</v>
          </cell>
          <cell r="BK218">
            <v>256700</v>
          </cell>
          <cell r="BL218">
            <v>272001</v>
          </cell>
          <cell r="BM218">
            <v>257000</v>
          </cell>
          <cell r="BN218">
            <v>448500</v>
          </cell>
          <cell r="BO218">
            <v>128000</v>
          </cell>
          <cell r="BP218">
            <v>35500</v>
          </cell>
          <cell r="BQ218">
            <v>428001</v>
          </cell>
          <cell r="BR218">
            <v>51100</v>
          </cell>
          <cell r="BS218">
            <v>462500</v>
          </cell>
          <cell r="BT218">
            <v>137500</v>
          </cell>
          <cell r="BU218">
            <v>298600</v>
          </cell>
          <cell r="BV218">
            <v>221500</v>
          </cell>
          <cell r="BW218">
            <v>376000</v>
          </cell>
          <cell r="BX218">
            <v>91500</v>
          </cell>
          <cell r="BY218">
            <v>199500</v>
          </cell>
          <cell r="BZ218">
            <v>227000</v>
          </cell>
          <cell r="CA218">
            <v>335500</v>
          </cell>
          <cell r="CB218">
            <v>169500</v>
          </cell>
          <cell r="CC218">
            <v>92000</v>
          </cell>
          <cell r="CD218">
            <v>873500</v>
          </cell>
          <cell r="CE218">
            <v>31500</v>
          </cell>
          <cell r="CF218">
            <v>95000</v>
          </cell>
          <cell r="CG218">
            <v>161500</v>
          </cell>
          <cell r="CH218">
            <v>262500</v>
          </cell>
          <cell r="CI218">
            <v>413015</v>
          </cell>
          <cell r="CJ218">
            <v>133500</v>
          </cell>
          <cell r="CK218">
            <v>220000</v>
          </cell>
          <cell r="CL218">
            <v>237500</v>
          </cell>
          <cell r="CM218">
            <v>202000</v>
          </cell>
          <cell r="CN218">
            <v>272000</v>
          </cell>
          <cell r="CO218">
            <v>371500</v>
          </cell>
          <cell r="CP218">
            <v>94500</v>
          </cell>
          <cell r="CQ218">
            <v>143100</v>
          </cell>
          <cell r="CR218">
            <v>233000</v>
          </cell>
          <cell r="CS218">
            <v>205000</v>
          </cell>
          <cell r="CT218">
            <v>384500</v>
          </cell>
          <cell r="CU218">
            <v>343000</v>
          </cell>
          <cell r="CV218">
            <v>570400</v>
          </cell>
          <cell r="CW218">
            <v>427500</v>
          </cell>
          <cell r="CX218">
            <v>56500</v>
          </cell>
          <cell r="CY218">
            <v>222500</v>
          </cell>
          <cell r="CZ218">
            <v>286000</v>
          </cell>
          <cell r="DA218">
            <v>202000</v>
          </cell>
          <cell r="DB218">
            <v>180500</v>
          </cell>
          <cell r="DC218">
            <v>342500</v>
          </cell>
          <cell r="DD218">
            <v>210000</v>
          </cell>
          <cell r="DE218">
            <v>185000</v>
          </cell>
          <cell r="DF218"/>
          <cell r="DG218" t="str">
            <v>ACTIVO</v>
          </cell>
          <cell r="DH218" t="str">
            <v/>
          </cell>
          <cell r="DI218"/>
          <cell r="DJ218">
            <v>250780.6</v>
          </cell>
          <cell r="DK218">
            <v>41796.76666666667</v>
          </cell>
          <cell r="DL218">
            <v>144791.2464981387</v>
          </cell>
          <cell r="DM218">
            <v>0</v>
          </cell>
          <cell r="DN218" t="str">
            <v>0</v>
          </cell>
          <cell r="DO218">
            <v>0</v>
          </cell>
          <cell r="DP218" t="str">
            <v>INACTIVO</v>
          </cell>
          <cell r="DQ218">
            <v>0</v>
          </cell>
        </row>
        <row r="219">
          <cell r="B219">
            <v>401010</v>
          </cell>
          <cell r="C219" t="str">
            <v>STRECH FILM BLANCO</v>
          </cell>
          <cell r="D219"/>
          <cell r="E219"/>
          <cell r="F219">
            <v>2</v>
          </cell>
          <cell r="G219"/>
          <cell r="H219"/>
          <cell r="I219"/>
          <cell r="J219"/>
          <cell r="K219"/>
          <cell r="L219">
            <v>12</v>
          </cell>
          <cell r="M219">
            <v>2</v>
          </cell>
          <cell r="N219"/>
          <cell r="O219"/>
          <cell r="P219">
            <v>6</v>
          </cell>
          <cell r="Q219"/>
          <cell r="R219"/>
          <cell r="S219"/>
          <cell r="T219"/>
          <cell r="U219"/>
          <cell r="V219"/>
          <cell r="W219"/>
          <cell r="X219"/>
          <cell r="Y219"/>
          <cell r="Z219">
            <v>6</v>
          </cell>
          <cell r="AA219"/>
          <cell r="AB219"/>
          <cell r="AC219">
            <v>12</v>
          </cell>
          <cell r="AD219"/>
          <cell r="AE219"/>
          <cell r="AF219"/>
          <cell r="AG219"/>
          <cell r="AH219"/>
          <cell r="AI219"/>
          <cell r="AJ219">
            <v>165</v>
          </cell>
          <cell r="AK219"/>
          <cell r="AL219"/>
          <cell r="AM219"/>
          <cell r="AN219"/>
          <cell r="AO219"/>
          <cell r="AP219"/>
          <cell r="AQ219"/>
          <cell r="AR219"/>
          <cell r="AS219"/>
          <cell r="AT219">
            <v>11</v>
          </cell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>
            <v>21</v>
          </cell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>
            <v>30</v>
          </cell>
          <cell r="BS219"/>
          <cell r="BT219"/>
          <cell r="BU219"/>
          <cell r="BV219">
            <v>24</v>
          </cell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>
            <v>1</v>
          </cell>
          <cell r="CK219"/>
          <cell r="CL219"/>
          <cell r="CM219"/>
          <cell r="CN219"/>
          <cell r="CO219"/>
          <cell r="CP219"/>
          <cell r="CQ219"/>
          <cell r="CR219">
            <v>19</v>
          </cell>
          <cell r="CS219"/>
          <cell r="CT219">
            <v>1</v>
          </cell>
          <cell r="CU219">
            <v>1</v>
          </cell>
          <cell r="CV219">
            <v>3</v>
          </cell>
          <cell r="CW219"/>
          <cell r="CX219"/>
          <cell r="CY219"/>
          <cell r="CZ219"/>
          <cell r="DA219"/>
          <cell r="DB219">
            <v>62</v>
          </cell>
          <cell r="DC219">
            <v>6</v>
          </cell>
          <cell r="DD219"/>
          <cell r="DE219">
            <v>3</v>
          </cell>
          <cell r="DF219"/>
          <cell r="DG219" t="str">
            <v>ACTIVO</v>
          </cell>
          <cell r="DH219" t="str">
            <v>C</v>
          </cell>
          <cell r="DI219"/>
          <cell r="DJ219">
            <v>13.285714285714286</v>
          </cell>
          <cell r="DK219">
            <v>2.2142857142857144</v>
          </cell>
          <cell r="DL219">
            <v>64.542234234646699</v>
          </cell>
          <cell r="DM219">
            <v>224</v>
          </cell>
          <cell r="DN219">
            <v>885967.04</v>
          </cell>
          <cell r="DO219">
            <v>16.86021505376344</v>
          </cell>
          <cell r="DP219" t="str">
            <v>OK</v>
          </cell>
          <cell r="DQ219">
            <v>6.6428571428571432</v>
          </cell>
        </row>
        <row r="220">
          <cell r="B220">
            <v>401012</v>
          </cell>
          <cell r="C220" t="str">
            <v>STRECH FILM VERDE</v>
          </cell>
          <cell r="D220">
            <v>2</v>
          </cell>
          <cell r="E220">
            <v>6</v>
          </cell>
          <cell r="F220"/>
          <cell r="G220">
            <v>9</v>
          </cell>
          <cell r="H220">
            <v>15</v>
          </cell>
          <cell r="I220">
            <v>12</v>
          </cell>
          <cell r="J220">
            <v>3</v>
          </cell>
          <cell r="K220">
            <v>2</v>
          </cell>
          <cell r="L220"/>
          <cell r="M220"/>
          <cell r="N220">
            <v>7</v>
          </cell>
          <cell r="O220">
            <v>7</v>
          </cell>
          <cell r="P220"/>
          <cell r="Q220"/>
          <cell r="R220">
            <v>6</v>
          </cell>
          <cell r="S220">
            <v>5</v>
          </cell>
          <cell r="T220"/>
          <cell r="U220"/>
          <cell r="V220">
            <v>3</v>
          </cell>
          <cell r="W220">
            <v>8</v>
          </cell>
          <cell r="X220">
            <v>3</v>
          </cell>
          <cell r="Y220">
            <v>6</v>
          </cell>
          <cell r="Z220">
            <v>6</v>
          </cell>
          <cell r="AA220"/>
          <cell r="AB220"/>
          <cell r="AC220">
            <v>3</v>
          </cell>
          <cell r="AD220"/>
          <cell r="AE220"/>
          <cell r="AF220"/>
          <cell r="AG220"/>
          <cell r="AH220"/>
          <cell r="AI220">
            <v>6</v>
          </cell>
          <cell r="AJ220">
            <v>6</v>
          </cell>
          <cell r="AK220">
            <v>42</v>
          </cell>
          <cell r="AL220">
            <v>5</v>
          </cell>
          <cell r="AM220">
            <v>3</v>
          </cell>
          <cell r="AN220">
            <v>1</v>
          </cell>
          <cell r="AO220">
            <v>2</v>
          </cell>
          <cell r="AP220"/>
          <cell r="AQ220"/>
          <cell r="AR220">
            <v>6</v>
          </cell>
          <cell r="AS220"/>
          <cell r="AT220"/>
          <cell r="AU220">
            <v>10</v>
          </cell>
          <cell r="AV220"/>
          <cell r="AW220">
            <v>3</v>
          </cell>
          <cell r="AX220">
            <v>10</v>
          </cell>
          <cell r="AY220">
            <v>5</v>
          </cell>
          <cell r="AZ220">
            <v>3</v>
          </cell>
          <cell r="BA220">
            <v>3</v>
          </cell>
          <cell r="BB220">
            <v>4</v>
          </cell>
          <cell r="BC220">
            <v>4</v>
          </cell>
          <cell r="BD220">
            <v>8</v>
          </cell>
          <cell r="BE220">
            <v>1</v>
          </cell>
          <cell r="BF220">
            <v>1</v>
          </cell>
          <cell r="BG220"/>
          <cell r="BH220"/>
          <cell r="BI220">
            <v>1</v>
          </cell>
          <cell r="BJ220">
            <v>5</v>
          </cell>
          <cell r="BK220">
            <v>3</v>
          </cell>
          <cell r="BL220">
            <v>4</v>
          </cell>
          <cell r="BM220"/>
          <cell r="BN220"/>
          <cell r="BO220">
            <v>3</v>
          </cell>
          <cell r="BP220">
            <v>4</v>
          </cell>
          <cell r="BQ220"/>
          <cell r="BR220">
            <v>2</v>
          </cell>
          <cell r="BS220">
            <v>4</v>
          </cell>
          <cell r="BT220"/>
          <cell r="BU220">
            <v>1</v>
          </cell>
          <cell r="BV220">
            <v>1</v>
          </cell>
          <cell r="BW220">
            <v>2</v>
          </cell>
          <cell r="BX220"/>
          <cell r="BY220"/>
          <cell r="BZ220">
            <v>7</v>
          </cell>
          <cell r="CA220"/>
          <cell r="CB220">
            <v>2</v>
          </cell>
          <cell r="CC220"/>
          <cell r="CD220">
            <v>2</v>
          </cell>
          <cell r="CE220"/>
          <cell r="CF220">
            <v>1</v>
          </cell>
          <cell r="CG220">
            <v>6</v>
          </cell>
          <cell r="CH220">
            <v>1</v>
          </cell>
          <cell r="CI220">
            <v>4</v>
          </cell>
          <cell r="CJ220"/>
          <cell r="CK220">
            <v>3</v>
          </cell>
          <cell r="CL220">
            <v>4</v>
          </cell>
          <cell r="CM220">
            <v>2</v>
          </cell>
          <cell r="CN220">
            <v>2</v>
          </cell>
          <cell r="CO220">
            <v>5</v>
          </cell>
          <cell r="CP220">
            <v>6</v>
          </cell>
          <cell r="CQ220">
            <v>4</v>
          </cell>
          <cell r="CR220">
            <v>5</v>
          </cell>
          <cell r="CS220">
            <v>3</v>
          </cell>
          <cell r="CT220">
            <v>3</v>
          </cell>
          <cell r="CU220">
            <v>6</v>
          </cell>
          <cell r="CV220">
            <v>2</v>
          </cell>
          <cell r="CW220">
            <v>2</v>
          </cell>
          <cell r="CX220">
            <v>2</v>
          </cell>
          <cell r="CY220">
            <v>3</v>
          </cell>
          <cell r="CZ220">
            <v>4</v>
          </cell>
          <cell r="DA220">
            <v>3</v>
          </cell>
          <cell r="DB220">
            <v>62</v>
          </cell>
          <cell r="DC220">
            <v>3</v>
          </cell>
          <cell r="DD220">
            <v>2</v>
          </cell>
          <cell r="DE220">
            <v>3</v>
          </cell>
          <cell r="DF220"/>
          <cell r="DG220" t="str">
            <v>ACTIVO</v>
          </cell>
          <cell r="DH220" t="str">
            <v>C</v>
          </cell>
          <cell r="DI220"/>
          <cell r="DJ220">
            <v>5.75</v>
          </cell>
          <cell r="DK220">
            <v>0.95833333333333337</v>
          </cell>
          <cell r="DL220">
            <v>7.0820408803044215</v>
          </cell>
          <cell r="DM220">
            <v>186</v>
          </cell>
          <cell r="DN220">
            <v>731750.04</v>
          </cell>
          <cell r="DO220">
            <v>32.347826086956523</v>
          </cell>
          <cell r="DP220" t="str">
            <v>OK</v>
          </cell>
          <cell r="DQ220">
            <v>2.875</v>
          </cell>
        </row>
        <row r="221">
          <cell r="B221">
            <v>401013</v>
          </cell>
          <cell r="C221" t="str">
            <v>STRECH FILM AZUL</v>
          </cell>
          <cell r="D221">
            <v>33</v>
          </cell>
          <cell r="E221">
            <v>12</v>
          </cell>
          <cell r="F221"/>
          <cell r="G221">
            <v>8</v>
          </cell>
          <cell r="H221">
            <v>15</v>
          </cell>
          <cell r="I221">
            <v>12</v>
          </cell>
          <cell r="J221">
            <v>36</v>
          </cell>
          <cell r="K221">
            <v>21</v>
          </cell>
          <cell r="L221">
            <v>13</v>
          </cell>
          <cell r="M221">
            <v>9</v>
          </cell>
          <cell r="N221">
            <v>12</v>
          </cell>
          <cell r="O221">
            <v>3</v>
          </cell>
          <cell r="P221">
            <v>5</v>
          </cell>
          <cell r="Q221"/>
          <cell r="R221"/>
          <cell r="S221"/>
          <cell r="T221"/>
          <cell r="U221"/>
          <cell r="V221"/>
          <cell r="W221"/>
          <cell r="X221">
            <v>1</v>
          </cell>
          <cell r="Y221">
            <v>6</v>
          </cell>
          <cell r="Z221">
            <v>6</v>
          </cell>
          <cell r="AA221"/>
          <cell r="AB221">
            <v>1</v>
          </cell>
          <cell r="AC221"/>
          <cell r="AD221"/>
          <cell r="AE221">
            <v>4</v>
          </cell>
          <cell r="AF221">
            <v>5</v>
          </cell>
          <cell r="AG221">
            <v>9</v>
          </cell>
          <cell r="AH221">
            <v>5</v>
          </cell>
          <cell r="AI221">
            <v>58</v>
          </cell>
          <cell r="AJ221">
            <v>9</v>
          </cell>
          <cell r="AK221">
            <v>49</v>
          </cell>
          <cell r="AL221">
            <v>8</v>
          </cell>
          <cell r="AM221"/>
          <cell r="AN221">
            <v>4</v>
          </cell>
          <cell r="AO221">
            <v>10</v>
          </cell>
          <cell r="AP221">
            <v>5</v>
          </cell>
          <cell r="AQ221"/>
          <cell r="AR221"/>
          <cell r="AS221"/>
          <cell r="AT221"/>
          <cell r="AU221"/>
          <cell r="AV221"/>
          <cell r="AW221"/>
          <cell r="AX221"/>
          <cell r="AY221">
            <v>4</v>
          </cell>
          <cell r="AZ221">
            <v>9</v>
          </cell>
          <cell r="BA221">
            <v>7</v>
          </cell>
          <cell r="BB221">
            <v>5</v>
          </cell>
          <cell r="BC221">
            <v>7</v>
          </cell>
          <cell r="BD221">
            <v>6</v>
          </cell>
          <cell r="BE221">
            <v>4</v>
          </cell>
          <cell r="BF221">
            <v>1</v>
          </cell>
          <cell r="BG221">
            <v>3</v>
          </cell>
          <cell r="BH221">
            <v>4</v>
          </cell>
          <cell r="BI221">
            <v>8</v>
          </cell>
          <cell r="BJ221">
            <v>12</v>
          </cell>
          <cell r="BK221">
            <v>10</v>
          </cell>
          <cell r="BL221">
            <v>5</v>
          </cell>
          <cell r="BM221">
            <v>1</v>
          </cell>
          <cell r="BN221">
            <v>7</v>
          </cell>
          <cell r="BO221">
            <v>7</v>
          </cell>
          <cell r="BP221">
            <v>2</v>
          </cell>
          <cell r="BQ221">
            <v>10</v>
          </cell>
          <cell r="BR221">
            <v>6</v>
          </cell>
          <cell r="BS221">
            <v>15</v>
          </cell>
          <cell r="BT221">
            <v>3</v>
          </cell>
          <cell r="BU221">
            <v>11</v>
          </cell>
          <cell r="BV221">
            <v>6</v>
          </cell>
          <cell r="BW221">
            <v>6</v>
          </cell>
          <cell r="BX221">
            <v>2</v>
          </cell>
          <cell r="BY221">
            <v>5</v>
          </cell>
          <cell r="BZ221">
            <v>10</v>
          </cell>
          <cell r="CA221">
            <v>17</v>
          </cell>
          <cell r="CB221">
            <v>6</v>
          </cell>
          <cell r="CC221">
            <v>7</v>
          </cell>
          <cell r="CD221">
            <v>5</v>
          </cell>
          <cell r="CE221">
            <v>3</v>
          </cell>
          <cell r="CF221"/>
          <cell r="CG221">
            <v>9</v>
          </cell>
          <cell r="CH221">
            <v>5</v>
          </cell>
          <cell r="CI221">
            <v>14</v>
          </cell>
          <cell r="CJ221">
            <v>2</v>
          </cell>
          <cell r="CK221">
            <v>11</v>
          </cell>
          <cell r="CL221">
            <v>10</v>
          </cell>
          <cell r="CM221">
            <v>5</v>
          </cell>
          <cell r="CN221"/>
          <cell r="CO221">
            <v>8</v>
          </cell>
          <cell r="CP221">
            <v>68</v>
          </cell>
          <cell r="CQ221">
            <v>11</v>
          </cell>
          <cell r="CR221">
            <v>13</v>
          </cell>
          <cell r="CS221">
            <v>8</v>
          </cell>
          <cell r="CT221">
            <v>1</v>
          </cell>
          <cell r="CU221">
            <v>12</v>
          </cell>
          <cell r="CV221">
            <v>18</v>
          </cell>
          <cell r="CW221">
            <v>9</v>
          </cell>
          <cell r="CX221">
            <v>17</v>
          </cell>
          <cell r="CY221">
            <v>96</v>
          </cell>
          <cell r="CZ221">
            <v>4</v>
          </cell>
          <cell r="DA221">
            <v>11</v>
          </cell>
          <cell r="DB221">
            <v>8</v>
          </cell>
          <cell r="DC221">
            <v>14</v>
          </cell>
          <cell r="DD221">
            <v>4</v>
          </cell>
          <cell r="DE221">
            <v>12</v>
          </cell>
          <cell r="DF221"/>
          <cell r="DG221" t="str">
            <v>ACTIVO</v>
          </cell>
          <cell r="DH221" t="str">
            <v>C</v>
          </cell>
          <cell r="DI221"/>
          <cell r="DJ221">
            <v>15.565217391304348</v>
          </cell>
          <cell r="DK221">
            <v>2.5942028985507246</v>
          </cell>
          <cell r="DL221">
            <v>10.51043979141118</v>
          </cell>
          <cell r="DM221">
            <v>91</v>
          </cell>
          <cell r="DN221">
            <v>360313.59</v>
          </cell>
          <cell r="DO221">
            <v>5.8463687150837993</v>
          </cell>
          <cell r="DP221" t="str">
            <v>OK</v>
          </cell>
          <cell r="DQ221">
            <v>7.7826086956521738</v>
          </cell>
        </row>
        <row r="222">
          <cell r="B222">
            <v>401011</v>
          </cell>
          <cell r="C222" t="str">
            <v>STRECH FILM NEGRO</v>
          </cell>
          <cell r="D222"/>
          <cell r="E222"/>
          <cell r="F222"/>
          <cell r="G222"/>
          <cell r="H222"/>
          <cell r="I222"/>
          <cell r="J222"/>
          <cell r="K222"/>
          <cell r="L222">
            <v>2</v>
          </cell>
          <cell r="M222"/>
          <cell r="N222">
            <v>2</v>
          </cell>
          <cell r="O222">
            <v>1</v>
          </cell>
          <cell r="P222"/>
          <cell r="Q222"/>
          <cell r="R222">
            <v>3</v>
          </cell>
          <cell r="S222">
            <v>2</v>
          </cell>
          <cell r="T222">
            <v>2</v>
          </cell>
          <cell r="U222"/>
          <cell r="V222">
            <v>5</v>
          </cell>
          <cell r="W222"/>
          <cell r="X222"/>
          <cell r="Y222"/>
          <cell r="Z222"/>
          <cell r="AA222"/>
          <cell r="AB222">
            <v>2</v>
          </cell>
          <cell r="AC222">
            <v>6</v>
          </cell>
          <cell r="AD222"/>
          <cell r="AE222"/>
          <cell r="AF222"/>
          <cell r="AG222">
            <v>3</v>
          </cell>
          <cell r="AH222">
            <v>2</v>
          </cell>
          <cell r="AI222">
            <v>2</v>
          </cell>
          <cell r="AJ222"/>
          <cell r="AK222">
            <v>64</v>
          </cell>
          <cell r="AL222">
            <v>1</v>
          </cell>
          <cell r="AM222"/>
          <cell r="AN222">
            <v>6</v>
          </cell>
          <cell r="AO222"/>
          <cell r="AP222">
            <v>2</v>
          </cell>
          <cell r="AQ222"/>
          <cell r="AR222"/>
          <cell r="AS222"/>
          <cell r="AT222">
            <v>4</v>
          </cell>
          <cell r="AU222"/>
          <cell r="AV222"/>
          <cell r="AW222"/>
          <cell r="AX222"/>
          <cell r="AY222">
            <v>2</v>
          </cell>
          <cell r="AZ222"/>
          <cell r="BA222"/>
          <cell r="BB222"/>
          <cell r="BC222">
            <v>2</v>
          </cell>
          <cell r="BD222"/>
          <cell r="BE222"/>
          <cell r="BF222"/>
          <cell r="BG222"/>
          <cell r="BH222">
            <v>3</v>
          </cell>
          <cell r="BI222">
            <v>3</v>
          </cell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>
            <v>1</v>
          </cell>
          <cell r="BV222"/>
          <cell r="BW222">
            <v>3</v>
          </cell>
          <cell r="BX222"/>
          <cell r="BY222"/>
          <cell r="BZ222">
            <v>6</v>
          </cell>
          <cell r="CA222"/>
          <cell r="CB222"/>
          <cell r="CC222"/>
          <cell r="CD222"/>
          <cell r="CE222"/>
          <cell r="CF222"/>
          <cell r="CG222"/>
          <cell r="CH222"/>
          <cell r="CI222">
            <v>2</v>
          </cell>
          <cell r="CJ222"/>
          <cell r="CK222"/>
          <cell r="CL222"/>
          <cell r="CM222">
            <v>1</v>
          </cell>
          <cell r="CN222"/>
          <cell r="CO222"/>
          <cell r="CP222">
            <v>5</v>
          </cell>
          <cell r="CQ222"/>
          <cell r="CR222"/>
          <cell r="CS222"/>
          <cell r="CT222"/>
          <cell r="CU222"/>
          <cell r="CV222">
            <v>2</v>
          </cell>
          <cell r="CW222">
            <v>3</v>
          </cell>
          <cell r="CX222">
            <v>1</v>
          </cell>
          <cell r="CY222"/>
          <cell r="CZ222"/>
          <cell r="DA222"/>
          <cell r="DB222"/>
          <cell r="DC222"/>
          <cell r="DD222"/>
          <cell r="DE222"/>
          <cell r="DF222"/>
          <cell r="DG222" t="str">
            <v>ACTIVO</v>
          </cell>
          <cell r="DH222" t="str">
            <v>C</v>
          </cell>
          <cell r="DI222"/>
          <cell r="DJ222">
            <v>2.3333333333333335</v>
          </cell>
          <cell r="DK222">
            <v>0.3888888888888889</v>
          </cell>
          <cell r="DL222">
            <v>15.858601391523722</v>
          </cell>
          <cell r="DM222">
            <v>60</v>
          </cell>
          <cell r="DN222">
            <v>237600</v>
          </cell>
          <cell r="DO222">
            <v>25.714285714285712</v>
          </cell>
          <cell r="DP222" t="str">
            <v>OK</v>
          </cell>
          <cell r="DQ222">
            <v>1.1666666666666667</v>
          </cell>
        </row>
        <row r="223">
          <cell r="B223">
            <v>401014</v>
          </cell>
          <cell r="C223" t="str">
            <v>STRECH FILM ANARANJADO</v>
          </cell>
          <cell r="D223"/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O223">
            <v>3</v>
          </cell>
          <cell r="P223"/>
          <cell r="Q223">
            <v>3</v>
          </cell>
          <cell r="R223">
            <v>11</v>
          </cell>
          <cell r="S223"/>
          <cell r="T223"/>
          <cell r="U223"/>
          <cell r="V223"/>
          <cell r="W223"/>
          <cell r="X223">
            <v>3</v>
          </cell>
          <cell r="Y223"/>
          <cell r="Z223"/>
          <cell r="AA223"/>
          <cell r="AB223"/>
          <cell r="AC223"/>
          <cell r="AD223"/>
          <cell r="AE223"/>
          <cell r="AF223"/>
          <cell r="AG223"/>
          <cell r="AH223">
            <v>2</v>
          </cell>
          <cell r="AI223"/>
          <cell r="AJ223"/>
          <cell r="AK223">
            <v>62</v>
          </cell>
          <cell r="AL223">
            <v>1</v>
          </cell>
          <cell r="AM223">
            <v>2</v>
          </cell>
          <cell r="AN223"/>
          <cell r="AO223">
            <v>4</v>
          </cell>
          <cell r="AP223"/>
          <cell r="AQ223"/>
          <cell r="AR223"/>
          <cell r="AS223"/>
          <cell r="AT223"/>
          <cell r="AU223"/>
          <cell r="AV223"/>
          <cell r="AW223"/>
          <cell r="AX223"/>
          <cell r="AY223">
            <v>1</v>
          </cell>
          <cell r="AZ223"/>
          <cell r="BA223"/>
          <cell r="BB223"/>
          <cell r="BC223"/>
          <cell r="BD223"/>
          <cell r="BE223"/>
          <cell r="BF223"/>
          <cell r="BG223"/>
          <cell r="BH223">
            <v>3</v>
          </cell>
          <cell r="BI223"/>
          <cell r="BJ223"/>
          <cell r="BK223"/>
          <cell r="BL223"/>
          <cell r="BM223"/>
          <cell r="BN223"/>
          <cell r="BO223"/>
          <cell r="BP223"/>
          <cell r="BQ223"/>
          <cell r="BR223">
            <v>1</v>
          </cell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>
            <v>4</v>
          </cell>
          <cell r="CG223"/>
          <cell r="CH223"/>
          <cell r="CI223"/>
          <cell r="CJ223"/>
          <cell r="CK223">
            <v>1</v>
          </cell>
          <cell r="CL223">
            <v>1</v>
          </cell>
          <cell r="CM223"/>
          <cell r="CN223"/>
          <cell r="CO223">
            <v>1</v>
          </cell>
          <cell r="CP223"/>
          <cell r="CQ223"/>
          <cell r="CR223"/>
          <cell r="CS223"/>
          <cell r="CT223">
            <v>1</v>
          </cell>
          <cell r="CU223"/>
          <cell r="CV223">
            <v>1</v>
          </cell>
          <cell r="CW223">
            <v>2</v>
          </cell>
          <cell r="CX223"/>
          <cell r="CY223"/>
          <cell r="CZ223"/>
          <cell r="DA223">
            <v>2</v>
          </cell>
          <cell r="DB223">
            <v>60</v>
          </cell>
          <cell r="DC223"/>
          <cell r="DD223"/>
          <cell r="DE223">
            <v>1</v>
          </cell>
          <cell r="DF223"/>
          <cell r="DG223" t="str">
            <v>ACTIVO</v>
          </cell>
          <cell r="DH223" t="str">
            <v>C</v>
          </cell>
          <cell r="DI223"/>
          <cell r="DJ223">
            <v>8.1111111111111107</v>
          </cell>
          <cell r="DK223">
            <v>1.3518518518518519</v>
          </cell>
          <cell r="DL223">
            <v>21.240123755356446</v>
          </cell>
          <cell r="DM223">
            <v>135</v>
          </cell>
          <cell r="DN223">
            <v>518665.95</v>
          </cell>
          <cell r="DO223">
            <v>16.643835616438356</v>
          </cell>
          <cell r="DP223" t="str">
            <v>OK</v>
          </cell>
          <cell r="DQ223">
            <v>4.0555555555555554</v>
          </cell>
        </row>
        <row r="224">
          <cell r="B224">
            <v>401019</v>
          </cell>
          <cell r="C224" t="str">
            <v>STRECH FILM ROJO</v>
          </cell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>
            <v>6</v>
          </cell>
          <cell r="Q224"/>
          <cell r="R224"/>
          <cell r="S224">
            <v>11</v>
          </cell>
          <cell r="T224">
            <v>17</v>
          </cell>
          <cell r="U224">
            <v>9</v>
          </cell>
          <cell r="V224">
            <v>4</v>
          </cell>
          <cell r="W224">
            <v>11</v>
          </cell>
          <cell r="X224">
            <v>14</v>
          </cell>
          <cell r="Y224"/>
          <cell r="Z224"/>
          <cell r="AA224">
            <v>4</v>
          </cell>
          <cell r="AB224"/>
          <cell r="AC224">
            <v>2</v>
          </cell>
          <cell r="AD224"/>
          <cell r="AE224"/>
          <cell r="AF224"/>
          <cell r="AG224"/>
          <cell r="AH224"/>
          <cell r="AI224"/>
          <cell r="AJ224"/>
          <cell r="AK224">
            <v>60</v>
          </cell>
          <cell r="AL224"/>
          <cell r="AM224"/>
          <cell r="AN224"/>
          <cell r="AO224"/>
          <cell r="AP224"/>
          <cell r="AQ224"/>
          <cell r="AR224"/>
          <cell r="AS224"/>
          <cell r="AT224">
            <v>6</v>
          </cell>
          <cell r="AU224"/>
          <cell r="AV224">
            <v>3</v>
          </cell>
          <cell r="AW224">
            <v>5</v>
          </cell>
          <cell r="AX224">
            <v>11</v>
          </cell>
          <cell r="AY224">
            <v>4</v>
          </cell>
          <cell r="AZ224"/>
          <cell r="BA224">
            <v>3</v>
          </cell>
          <cell r="BB224"/>
          <cell r="BC224">
            <v>1</v>
          </cell>
          <cell r="BD224">
            <v>2</v>
          </cell>
          <cell r="BE224">
            <v>2</v>
          </cell>
          <cell r="BF224">
            <v>3</v>
          </cell>
          <cell r="BG224"/>
          <cell r="BH224"/>
          <cell r="BI224"/>
          <cell r="BJ224"/>
          <cell r="BK224"/>
          <cell r="BL224">
            <v>9</v>
          </cell>
          <cell r="BM224">
            <v>5</v>
          </cell>
          <cell r="BN224">
            <v>2</v>
          </cell>
          <cell r="BO224"/>
          <cell r="BP224">
            <v>3</v>
          </cell>
          <cell r="BQ224">
            <v>1</v>
          </cell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>
            <v>4</v>
          </cell>
          <cell r="CK224"/>
          <cell r="CL224"/>
          <cell r="CM224">
            <v>2</v>
          </cell>
          <cell r="CN224">
            <v>5</v>
          </cell>
          <cell r="CO224">
            <v>1</v>
          </cell>
          <cell r="CP224"/>
          <cell r="CQ224"/>
          <cell r="CR224"/>
          <cell r="CS224"/>
          <cell r="CT224">
            <v>6</v>
          </cell>
          <cell r="CU224"/>
          <cell r="CV224">
            <v>2</v>
          </cell>
          <cell r="CW224"/>
          <cell r="CX224"/>
          <cell r="CY224"/>
          <cell r="CZ224"/>
          <cell r="DA224"/>
          <cell r="DB224">
            <v>60</v>
          </cell>
          <cell r="DC224"/>
          <cell r="DD224"/>
          <cell r="DE224"/>
          <cell r="DF224"/>
          <cell r="DG224" t="str">
            <v>ACTIVO</v>
          </cell>
          <cell r="DH224" t="str">
            <v>C</v>
          </cell>
          <cell r="DI224"/>
          <cell r="DJ224">
            <v>11.428571428571429</v>
          </cell>
          <cell r="DK224">
            <v>1.9047619047619049</v>
          </cell>
          <cell r="DL224">
            <v>14.268847185389575</v>
          </cell>
          <cell r="DM224">
            <v>104</v>
          </cell>
          <cell r="DN224">
            <v>399360</v>
          </cell>
          <cell r="DO224">
            <v>9.1</v>
          </cell>
          <cell r="DP224" t="str">
            <v>OK</v>
          </cell>
          <cell r="DQ224">
            <v>5.7142857142857144</v>
          </cell>
        </row>
        <row r="225">
          <cell r="B225">
            <v>401015</v>
          </cell>
          <cell r="C225" t="str">
            <v>STRECH FILM AMARILLO</v>
          </cell>
          <cell r="D225"/>
          <cell r="E225"/>
          <cell r="F225"/>
          <cell r="G225"/>
          <cell r="H225"/>
          <cell r="I225">
            <v>2</v>
          </cell>
          <cell r="J225"/>
          <cell r="K225"/>
          <cell r="L225"/>
          <cell r="M225">
            <v>1</v>
          </cell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>
            <v>1</v>
          </cell>
          <cell r="AB225"/>
          <cell r="AC225"/>
          <cell r="AD225"/>
          <cell r="AE225"/>
          <cell r="AF225"/>
          <cell r="AG225"/>
          <cell r="AH225"/>
          <cell r="AI225"/>
          <cell r="AJ225">
            <v>1</v>
          </cell>
          <cell r="AK225">
            <v>60</v>
          </cell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>
            <v>2</v>
          </cell>
          <cell r="BQ225"/>
          <cell r="BR225"/>
          <cell r="BS225"/>
          <cell r="BT225"/>
          <cell r="BU225"/>
          <cell r="BV225"/>
          <cell r="BW225"/>
          <cell r="BX225">
            <v>3</v>
          </cell>
          <cell r="BY225"/>
          <cell r="BZ225"/>
          <cell r="CA225"/>
          <cell r="CB225"/>
          <cell r="CC225"/>
          <cell r="CD225">
            <v>1</v>
          </cell>
          <cell r="CE225"/>
          <cell r="CF225"/>
          <cell r="CG225"/>
          <cell r="CH225">
            <v>1</v>
          </cell>
          <cell r="CI225"/>
          <cell r="CJ225"/>
          <cell r="CK225"/>
          <cell r="CL225">
            <v>1</v>
          </cell>
          <cell r="CM225"/>
          <cell r="CN225"/>
          <cell r="CO225">
            <v>1</v>
          </cell>
          <cell r="CP225">
            <v>4</v>
          </cell>
          <cell r="CQ225"/>
          <cell r="CR225">
            <v>1</v>
          </cell>
          <cell r="CS225"/>
          <cell r="CT225"/>
          <cell r="CU225">
            <v>3</v>
          </cell>
          <cell r="CV225">
            <v>2</v>
          </cell>
          <cell r="CW225">
            <v>2</v>
          </cell>
          <cell r="CX225">
            <v>2</v>
          </cell>
          <cell r="CY225"/>
          <cell r="CZ225"/>
          <cell r="DA225">
            <v>1</v>
          </cell>
          <cell r="DB225">
            <v>60</v>
          </cell>
          <cell r="DC225"/>
          <cell r="DD225">
            <v>1</v>
          </cell>
          <cell r="DE225">
            <v>2</v>
          </cell>
          <cell r="DF225"/>
          <cell r="DG225" t="str">
            <v>ACTIVO</v>
          </cell>
          <cell r="DH225" t="str">
            <v>C</v>
          </cell>
          <cell r="DI225"/>
          <cell r="DJ225">
            <v>6.583333333333333</v>
          </cell>
          <cell r="DK225">
            <v>1.0972222222222221</v>
          </cell>
          <cell r="DL225">
            <v>26.06338427756457</v>
          </cell>
          <cell r="DM225">
            <v>203</v>
          </cell>
          <cell r="DN225">
            <v>798043.75</v>
          </cell>
          <cell r="DO225">
            <v>30.835443037974684</v>
          </cell>
          <cell r="DP225" t="str">
            <v>OK</v>
          </cell>
          <cell r="DQ225">
            <v>3.2916666666666661</v>
          </cell>
        </row>
        <row r="226">
          <cell r="B226">
            <v>402111</v>
          </cell>
          <cell r="C226" t="str">
            <v>FILM TRANSPARENTE  685 MM (23CM) BATTISTA</v>
          </cell>
          <cell r="D226"/>
          <cell r="E226"/>
          <cell r="F226"/>
          <cell r="G226"/>
          <cell r="H226">
            <v>300</v>
          </cell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 t="str">
            <v>SIN USO</v>
          </cell>
          <cell r="DH226" t="str">
            <v/>
          </cell>
          <cell r="DI226"/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 t="str">
            <v>0</v>
          </cell>
          <cell r="DO226">
            <v>0</v>
          </cell>
          <cell r="DP226" t="str">
            <v>INACTIVO</v>
          </cell>
          <cell r="DQ226">
            <v>0</v>
          </cell>
        </row>
        <row r="227">
          <cell r="B227"/>
          <cell r="C227"/>
          <cell r="D227">
            <v>35</v>
          </cell>
          <cell r="E227">
            <v>18</v>
          </cell>
          <cell r="F227">
            <v>2</v>
          </cell>
          <cell r="G227">
            <v>17</v>
          </cell>
          <cell r="H227">
            <v>330</v>
          </cell>
          <cell r="I227">
            <v>26</v>
          </cell>
          <cell r="J227">
            <v>39</v>
          </cell>
          <cell r="K227">
            <v>23</v>
          </cell>
          <cell r="L227">
            <v>27</v>
          </cell>
          <cell r="M227">
            <v>12</v>
          </cell>
          <cell r="N227">
            <v>21</v>
          </cell>
          <cell r="O227">
            <v>14</v>
          </cell>
          <cell r="P227">
            <v>17</v>
          </cell>
          <cell r="Q227">
            <v>3</v>
          </cell>
          <cell r="R227">
            <v>20</v>
          </cell>
          <cell r="S227">
            <v>18</v>
          </cell>
          <cell r="T227">
            <v>19</v>
          </cell>
          <cell r="U227">
            <v>9</v>
          </cell>
          <cell r="V227">
            <v>12</v>
          </cell>
          <cell r="W227">
            <v>19</v>
          </cell>
          <cell r="X227">
            <v>21</v>
          </cell>
          <cell r="Y227">
            <v>12</v>
          </cell>
          <cell r="Z227">
            <v>18</v>
          </cell>
          <cell r="AA227">
            <v>5</v>
          </cell>
          <cell r="AB227">
            <v>3</v>
          </cell>
          <cell r="AC227">
            <v>23</v>
          </cell>
          <cell r="AD227"/>
          <cell r="AE227">
            <v>4</v>
          </cell>
          <cell r="AF227">
            <v>5</v>
          </cell>
          <cell r="AG227">
            <v>12</v>
          </cell>
          <cell r="AH227">
            <v>9</v>
          </cell>
          <cell r="AI227">
            <v>66</v>
          </cell>
          <cell r="AJ227">
            <v>181</v>
          </cell>
          <cell r="AK227">
            <v>337</v>
          </cell>
          <cell r="AL227">
            <v>15</v>
          </cell>
          <cell r="AM227">
            <v>5</v>
          </cell>
          <cell r="AN227">
            <v>11</v>
          </cell>
          <cell r="AO227">
            <v>16</v>
          </cell>
          <cell r="AP227">
            <v>7</v>
          </cell>
          <cell r="AQ227"/>
          <cell r="AR227">
            <v>6</v>
          </cell>
          <cell r="AS227"/>
          <cell r="AT227">
            <v>21</v>
          </cell>
          <cell r="AU227">
            <v>10</v>
          </cell>
          <cell r="AV227">
            <v>3</v>
          </cell>
          <cell r="AW227">
            <v>8</v>
          </cell>
          <cell r="AX227">
            <v>21</v>
          </cell>
          <cell r="AY227">
            <v>16</v>
          </cell>
          <cell r="AZ227">
            <v>12</v>
          </cell>
          <cell r="BA227">
            <v>13</v>
          </cell>
          <cell r="BB227">
            <v>9</v>
          </cell>
          <cell r="BC227">
            <v>14</v>
          </cell>
          <cell r="BD227">
            <v>16</v>
          </cell>
          <cell r="BE227">
            <v>7</v>
          </cell>
          <cell r="BF227">
            <v>5</v>
          </cell>
          <cell r="BG227">
            <v>24</v>
          </cell>
          <cell r="BH227">
            <v>10</v>
          </cell>
          <cell r="BI227">
            <v>12</v>
          </cell>
          <cell r="BJ227">
            <v>17</v>
          </cell>
          <cell r="BK227">
            <v>13</v>
          </cell>
          <cell r="BL227">
            <v>18</v>
          </cell>
          <cell r="BM227">
            <v>6</v>
          </cell>
          <cell r="BN227">
            <v>9</v>
          </cell>
          <cell r="BO227">
            <v>10</v>
          </cell>
          <cell r="BP227">
            <v>11</v>
          </cell>
          <cell r="BQ227">
            <v>11</v>
          </cell>
          <cell r="BR227">
            <v>39</v>
          </cell>
          <cell r="BS227">
            <v>19</v>
          </cell>
          <cell r="BT227">
            <v>3</v>
          </cell>
          <cell r="BU227">
            <v>13</v>
          </cell>
          <cell r="BV227">
            <v>31</v>
          </cell>
          <cell r="BW227">
            <v>11</v>
          </cell>
          <cell r="BX227">
            <v>5</v>
          </cell>
          <cell r="BY227">
            <v>5</v>
          </cell>
          <cell r="BZ227">
            <v>23</v>
          </cell>
          <cell r="CA227">
            <v>17</v>
          </cell>
          <cell r="CB227">
            <v>8</v>
          </cell>
          <cell r="CC227">
            <v>7</v>
          </cell>
          <cell r="CD227">
            <v>8</v>
          </cell>
          <cell r="CE227">
            <v>3</v>
          </cell>
          <cell r="CF227">
            <v>5</v>
          </cell>
          <cell r="CG227">
            <v>15</v>
          </cell>
          <cell r="CH227">
            <v>7</v>
          </cell>
          <cell r="CI227">
            <v>20</v>
          </cell>
          <cell r="CJ227">
            <v>7</v>
          </cell>
          <cell r="CK227">
            <v>15</v>
          </cell>
          <cell r="CL227">
            <v>16</v>
          </cell>
          <cell r="CM227">
            <v>10</v>
          </cell>
          <cell r="CN227">
            <v>7</v>
          </cell>
          <cell r="CO227">
            <v>16</v>
          </cell>
          <cell r="CP227">
            <v>83</v>
          </cell>
          <cell r="CQ227">
            <v>15</v>
          </cell>
          <cell r="CR227">
            <v>38</v>
          </cell>
          <cell r="CS227">
            <v>11</v>
          </cell>
          <cell r="CT227">
            <v>12</v>
          </cell>
          <cell r="CU227">
            <v>22</v>
          </cell>
          <cell r="CV227">
            <v>30</v>
          </cell>
          <cell r="CW227">
            <v>18</v>
          </cell>
          <cell r="CX227">
            <v>22</v>
          </cell>
          <cell r="CY227">
            <v>99</v>
          </cell>
          <cell r="CZ227">
            <v>8</v>
          </cell>
          <cell r="DA227">
            <v>17</v>
          </cell>
          <cell r="DB227">
            <v>312</v>
          </cell>
          <cell r="DC227">
            <v>23</v>
          </cell>
          <cell r="DD227">
            <v>7</v>
          </cell>
          <cell r="DE227">
            <v>21</v>
          </cell>
          <cell r="DF227"/>
          <cell r="DG227" t="str">
            <v>ACTIVO</v>
          </cell>
          <cell r="DH227" t="str">
            <v/>
          </cell>
          <cell r="DI227"/>
          <cell r="DJ227">
            <v>33.4</v>
          </cell>
          <cell r="DK227">
            <v>5.5666666666666664</v>
          </cell>
          <cell r="DL227">
            <v>51.706213833731894</v>
          </cell>
          <cell r="DM227">
            <v>0</v>
          </cell>
          <cell r="DN227" t="str">
            <v>0</v>
          </cell>
          <cell r="DO227">
            <v>0</v>
          </cell>
          <cell r="DP227" t="str">
            <v>INACTIVO</v>
          </cell>
          <cell r="DQ227">
            <v>0</v>
          </cell>
        </row>
        <row r="228">
          <cell r="B228">
            <v>402132</v>
          </cell>
          <cell r="C228" t="str">
            <v>FRAMBUESA CONGELADA ALTA FRUTA</v>
          </cell>
          <cell r="D228"/>
          <cell r="E228"/>
          <cell r="F228"/>
          <cell r="G228"/>
          <cell r="H228"/>
          <cell r="I228"/>
          <cell r="J228">
            <v>98.5</v>
          </cell>
          <cell r="K228">
            <v>1.5</v>
          </cell>
          <cell r="L228">
            <v>70</v>
          </cell>
          <cell r="M228">
            <v>30</v>
          </cell>
          <cell r="N228"/>
          <cell r="O228"/>
          <cell r="P228"/>
          <cell r="Q228"/>
          <cell r="R228"/>
          <cell r="S228"/>
          <cell r="T228">
            <v>19</v>
          </cell>
          <cell r="U228">
            <v>179</v>
          </cell>
          <cell r="V228">
            <v>180</v>
          </cell>
          <cell r="W228">
            <v>114.5</v>
          </cell>
          <cell r="X228">
            <v>195</v>
          </cell>
          <cell r="Y228">
            <v>154</v>
          </cell>
          <cell r="Z228"/>
          <cell r="AA228"/>
          <cell r="AB228">
            <v>148</v>
          </cell>
          <cell r="AC228">
            <v>78</v>
          </cell>
          <cell r="AD228">
            <v>54</v>
          </cell>
          <cell r="AE228">
            <v>52</v>
          </cell>
          <cell r="AF228">
            <v>147</v>
          </cell>
          <cell r="AG228">
            <v>80</v>
          </cell>
          <cell r="AH228">
            <v>50.25</v>
          </cell>
          <cell r="AI228">
            <v>895</v>
          </cell>
          <cell r="AJ228">
            <v>92.5</v>
          </cell>
          <cell r="AK228">
            <v>102</v>
          </cell>
          <cell r="AL228">
            <v>171.5</v>
          </cell>
          <cell r="AM228">
            <v>36</v>
          </cell>
          <cell r="AN228"/>
          <cell r="AO228"/>
          <cell r="AP228"/>
          <cell r="AQ228">
            <v>1.5</v>
          </cell>
          <cell r="AR228"/>
          <cell r="AS228"/>
          <cell r="AT228"/>
          <cell r="AU228"/>
          <cell r="AV228"/>
          <cell r="AW228"/>
          <cell r="AX228"/>
          <cell r="AY228">
            <v>66</v>
          </cell>
          <cell r="AZ228">
            <v>200</v>
          </cell>
          <cell r="BA228">
            <v>190</v>
          </cell>
          <cell r="BB228">
            <v>398</v>
          </cell>
          <cell r="BC228">
            <v>198</v>
          </cell>
          <cell r="BD228">
            <v>253</v>
          </cell>
          <cell r="BE228">
            <v>91</v>
          </cell>
          <cell r="BF228">
            <v>18.7</v>
          </cell>
          <cell r="BG228"/>
          <cell r="BH228"/>
          <cell r="BI228"/>
          <cell r="BJ228"/>
          <cell r="BK228"/>
          <cell r="BL228">
            <v>85</v>
          </cell>
          <cell r="BM228">
            <v>239.5</v>
          </cell>
          <cell r="BN228">
            <v>162</v>
          </cell>
          <cell r="BO228">
            <v>192</v>
          </cell>
          <cell r="BP228">
            <v>21</v>
          </cell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>
            <v>56</v>
          </cell>
          <cell r="CC228">
            <v>103.5</v>
          </cell>
          <cell r="CD228">
            <v>268</v>
          </cell>
          <cell r="CE228">
            <v>41</v>
          </cell>
          <cell r="CF228">
            <v>36</v>
          </cell>
          <cell r="CG228">
            <v>132</v>
          </cell>
          <cell r="CH228">
            <v>218</v>
          </cell>
          <cell r="CI228">
            <v>324</v>
          </cell>
          <cell r="CJ228">
            <v>252</v>
          </cell>
          <cell r="CK228">
            <v>204</v>
          </cell>
          <cell r="CL228">
            <v>72</v>
          </cell>
          <cell r="CM228">
            <v>138.19999999999999</v>
          </cell>
          <cell r="CN228">
            <v>192</v>
          </cell>
          <cell r="CO228">
            <v>120</v>
          </cell>
          <cell r="CP228">
            <v>228</v>
          </cell>
          <cell r="CQ228">
            <v>120</v>
          </cell>
          <cell r="CR228">
            <v>108</v>
          </cell>
          <cell r="CS228"/>
          <cell r="CT228"/>
          <cell r="CU228"/>
          <cell r="CV228"/>
          <cell r="CW228">
            <v>38</v>
          </cell>
          <cell r="CX228">
            <v>112</v>
          </cell>
          <cell r="CY228">
            <v>145</v>
          </cell>
          <cell r="CZ228">
            <v>117.5</v>
          </cell>
          <cell r="DA228">
            <v>235</v>
          </cell>
          <cell r="DB228">
            <v>185</v>
          </cell>
          <cell r="DC228">
            <v>137.5</v>
          </cell>
          <cell r="DD228">
            <v>262.5</v>
          </cell>
          <cell r="DE228">
            <v>130</v>
          </cell>
          <cell r="DF228">
            <v>15</v>
          </cell>
          <cell r="DG228" t="str">
            <v>ACTIVO</v>
          </cell>
          <cell r="DH228" t="str">
            <v>B</v>
          </cell>
          <cell r="DI228"/>
          <cell r="DJ228">
            <v>160.79523809523809</v>
          </cell>
          <cell r="DK228">
            <v>26.799206349206347</v>
          </cell>
          <cell r="DL228">
            <v>174.70156019717638</v>
          </cell>
          <cell r="DM228">
            <v>217.5</v>
          </cell>
          <cell r="DN228">
            <v>1276725</v>
          </cell>
          <cell r="DO228">
            <v>1.3526519975123641</v>
          </cell>
          <cell r="DP228" t="str">
            <v>OK</v>
          </cell>
          <cell r="DQ228">
            <v>80.397619047619045</v>
          </cell>
        </row>
        <row r="229">
          <cell r="B229">
            <v>107306</v>
          </cell>
          <cell r="C229" t="str">
            <v>FRAMBUESA CONGELADA FRUTOS DEL MAIPO</v>
          </cell>
          <cell r="D229"/>
          <cell r="E229"/>
          <cell r="F229">
            <v>8</v>
          </cell>
          <cell r="G229">
            <v>82</v>
          </cell>
          <cell r="H229">
            <v>68</v>
          </cell>
          <cell r="I229">
            <v>72.5</v>
          </cell>
          <cell r="J229"/>
          <cell r="K229">
            <v>123.5</v>
          </cell>
          <cell r="L229"/>
          <cell r="M229">
            <v>147.5</v>
          </cell>
          <cell r="N229"/>
          <cell r="O229"/>
          <cell r="P229"/>
          <cell r="Q229"/>
          <cell r="R229"/>
          <cell r="S229"/>
          <cell r="T229">
            <v>180</v>
          </cell>
          <cell r="U229">
            <v>7.5</v>
          </cell>
          <cell r="V229"/>
          <cell r="W229">
            <v>78.5</v>
          </cell>
          <cell r="X229">
            <v>3.5</v>
          </cell>
          <cell r="Y229">
            <v>92</v>
          </cell>
          <cell r="Z229">
            <v>114.5</v>
          </cell>
          <cell r="AA229">
            <v>16</v>
          </cell>
          <cell r="AB229">
            <v>96</v>
          </cell>
          <cell r="AC229">
            <v>135</v>
          </cell>
          <cell r="AD229">
            <v>30</v>
          </cell>
          <cell r="AE229">
            <v>64</v>
          </cell>
          <cell r="AF229">
            <v>167</v>
          </cell>
          <cell r="AG229">
            <v>16.25</v>
          </cell>
          <cell r="AH229">
            <v>2.75</v>
          </cell>
          <cell r="AI229"/>
          <cell r="AJ229"/>
          <cell r="AK229"/>
          <cell r="AL229">
            <v>25</v>
          </cell>
          <cell r="AM229">
            <v>119</v>
          </cell>
          <cell r="AN229">
            <v>164</v>
          </cell>
          <cell r="AO229">
            <v>194</v>
          </cell>
          <cell r="AP229">
            <v>180</v>
          </cell>
          <cell r="AQ229">
            <v>172</v>
          </cell>
          <cell r="AR229">
            <v>1179</v>
          </cell>
          <cell r="AS229">
            <v>98</v>
          </cell>
          <cell r="AT229">
            <v>204</v>
          </cell>
          <cell r="AU229">
            <v>173</v>
          </cell>
          <cell r="AV229">
            <v>110</v>
          </cell>
          <cell r="AW229">
            <v>135.5</v>
          </cell>
          <cell r="AX229">
            <v>110.5</v>
          </cell>
          <cell r="AY229"/>
          <cell r="AZ229"/>
          <cell r="BA229"/>
          <cell r="BB229"/>
          <cell r="BC229"/>
          <cell r="BD229"/>
          <cell r="BE229">
            <v>156</v>
          </cell>
          <cell r="BF229">
            <v>193.3</v>
          </cell>
          <cell r="BG229">
            <v>258</v>
          </cell>
          <cell r="BH229">
            <v>199.5</v>
          </cell>
          <cell r="BI229">
            <v>182</v>
          </cell>
          <cell r="BJ229">
            <v>404</v>
          </cell>
          <cell r="BK229">
            <v>213.5</v>
          </cell>
          <cell r="BL229">
            <v>154.5</v>
          </cell>
          <cell r="BM229"/>
          <cell r="BN229"/>
          <cell r="BO229"/>
          <cell r="BP229"/>
          <cell r="BQ229"/>
          <cell r="BR229">
            <v>232</v>
          </cell>
          <cell r="BS229">
            <v>244</v>
          </cell>
          <cell r="BT229">
            <v>85</v>
          </cell>
          <cell r="BU229">
            <v>241</v>
          </cell>
          <cell r="BV229">
            <v>106</v>
          </cell>
          <cell r="BW229">
            <v>202</v>
          </cell>
          <cell r="BX229">
            <v>116</v>
          </cell>
          <cell r="BY229">
            <v>126</v>
          </cell>
          <cell r="BZ229">
            <v>220.9</v>
          </cell>
          <cell r="CA229">
            <v>182.5</v>
          </cell>
          <cell r="CB229">
            <v>81</v>
          </cell>
          <cell r="CC229">
            <v>14.5</v>
          </cell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>
            <v>138</v>
          </cell>
          <cell r="CT229">
            <v>112</v>
          </cell>
          <cell r="CU229">
            <v>210</v>
          </cell>
          <cell r="CV229">
            <v>124</v>
          </cell>
          <cell r="CW229">
            <v>120</v>
          </cell>
          <cell r="CX229"/>
          <cell r="CY229"/>
          <cell r="CZ229"/>
          <cell r="DA229"/>
          <cell r="DB229"/>
          <cell r="DC229"/>
          <cell r="DD229"/>
          <cell r="DE229"/>
          <cell r="DF229"/>
          <cell r="DG229" t="str">
            <v>ACTIVO</v>
          </cell>
          <cell r="DH229" t="str">
            <v>B</v>
          </cell>
          <cell r="DI229"/>
          <cell r="DJ229">
            <v>140.80000000000001</v>
          </cell>
          <cell r="DK229">
            <v>23.466666666666669</v>
          </cell>
          <cell r="DL229">
            <v>186.16154969900828</v>
          </cell>
          <cell r="DM229">
            <v>0</v>
          </cell>
          <cell r="DN229" t="str">
            <v>0</v>
          </cell>
          <cell r="DO229">
            <v>0</v>
          </cell>
          <cell r="DP229" t="str">
            <v>COMPRAR</v>
          </cell>
          <cell r="DQ229">
            <v>46.933333333333337</v>
          </cell>
        </row>
        <row r="230">
          <cell r="B230">
            <v>107317</v>
          </cell>
          <cell r="C230" t="str">
            <v>CRUMBLE FRAMBUESA CONGELADA ALTA FRUTA</v>
          </cell>
          <cell r="D230"/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>
            <v>40</v>
          </cell>
          <cell r="CS230"/>
          <cell r="CT230">
            <v>550</v>
          </cell>
          <cell r="CU230">
            <v>220</v>
          </cell>
          <cell r="CV230">
            <v>280</v>
          </cell>
          <cell r="CW230">
            <v>530</v>
          </cell>
          <cell r="CX230">
            <v>180</v>
          </cell>
          <cell r="CY230"/>
          <cell r="CZ230">
            <v>80</v>
          </cell>
          <cell r="DA230">
            <v>140</v>
          </cell>
          <cell r="DB230">
            <v>130</v>
          </cell>
          <cell r="DC230">
            <v>40</v>
          </cell>
          <cell r="DD230">
            <v>90</v>
          </cell>
          <cell r="DE230">
            <v>102.5</v>
          </cell>
          <cell r="DF230"/>
          <cell r="DG230" t="str">
            <v>ACTIVO</v>
          </cell>
          <cell r="DH230" t="str">
            <v/>
          </cell>
          <cell r="DI230"/>
          <cell r="DJ230">
            <v>207.27272727272728</v>
          </cell>
          <cell r="DK230">
            <v>34.545454545454547</v>
          </cell>
          <cell r="DL230">
            <v>0</v>
          </cell>
          <cell r="DM230">
            <v>490</v>
          </cell>
          <cell r="DN230">
            <v>2059009.4</v>
          </cell>
          <cell r="DO230">
            <v>2.3640350877192984</v>
          </cell>
          <cell r="DP230" t="str">
            <v>OK</v>
          </cell>
          <cell r="DQ230">
            <v>103.63636363636364</v>
          </cell>
        </row>
        <row r="231">
          <cell r="B231">
            <v>405285</v>
          </cell>
          <cell r="C231" t="str">
            <v>FRUTILLA PICADILLO CONGELADA ALTA FRUTA</v>
          </cell>
          <cell r="D231"/>
          <cell r="E231"/>
          <cell r="F231"/>
          <cell r="G231">
            <v>15</v>
          </cell>
          <cell r="H231">
            <v>69.5</v>
          </cell>
          <cell r="I231">
            <v>40.5</v>
          </cell>
          <cell r="J231">
            <v>79.5</v>
          </cell>
          <cell r="K231">
            <v>230.2</v>
          </cell>
          <cell r="L231">
            <v>136</v>
          </cell>
          <cell r="M231">
            <v>133.69999999999999</v>
          </cell>
          <cell r="N231">
            <v>135.99999999999997</v>
          </cell>
          <cell r="O231">
            <v>13.6</v>
          </cell>
          <cell r="P231">
            <v>149.68</v>
          </cell>
          <cell r="Q231">
            <v>163.19999999999999</v>
          </cell>
          <cell r="R231">
            <v>122.19999999999999</v>
          </cell>
          <cell r="S231">
            <v>108.69999999999999</v>
          </cell>
          <cell r="T231">
            <v>54.4</v>
          </cell>
          <cell r="U231">
            <v>95.199999999999989</v>
          </cell>
          <cell r="V231">
            <v>68</v>
          </cell>
          <cell r="W231">
            <v>95.21</v>
          </cell>
          <cell r="X231">
            <v>108.8</v>
          </cell>
          <cell r="Y231"/>
          <cell r="Z231"/>
          <cell r="AA231"/>
          <cell r="AB231"/>
          <cell r="AC231"/>
          <cell r="AD231"/>
          <cell r="AE231"/>
          <cell r="AF231"/>
          <cell r="AG231">
            <v>13.65</v>
          </cell>
          <cell r="AH231"/>
          <cell r="AI231"/>
          <cell r="AJ231"/>
          <cell r="AK231"/>
          <cell r="AL231"/>
          <cell r="AM231"/>
          <cell r="AN231"/>
          <cell r="AO231"/>
          <cell r="AP231"/>
          <cell r="AQ231">
            <v>50</v>
          </cell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>
            <v>445</v>
          </cell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 t="str">
            <v>SIN USO</v>
          </cell>
          <cell r="DH231" t="str">
            <v>C</v>
          </cell>
          <cell r="DI231"/>
          <cell r="DJ231">
            <v>0</v>
          </cell>
          <cell r="DK231">
            <v>0</v>
          </cell>
          <cell r="DL231">
            <v>239.23807702788451</v>
          </cell>
          <cell r="DM231">
            <v>0</v>
          </cell>
          <cell r="DN231" t="str">
            <v>0</v>
          </cell>
          <cell r="DO231">
            <v>0</v>
          </cell>
          <cell r="DP231" t="str">
            <v>INACTIVO</v>
          </cell>
          <cell r="DQ231">
            <v>0</v>
          </cell>
        </row>
        <row r="232">
          <cell r="B232">
            <v>107354</v>
          </cell>
          <cell r="C232" t="str">
            <v>FRUTILLA CONGELADA ALTA FRUTA</v>
          </cell>
          <cell r="D232"/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>
            <v>109.2</v>
          </cell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 t="str">
            <v>SIN USO</v>
          </cell>
          <cell r="DH232" t="str">
            <v>C</v>
          </cell>
          <cell r="DI232"/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 t="str">
            <v>0</v>
          </cell>
          <cell r="DO232">
            <v>0</v>
          </cell>
          <cell r="DP232" t="str">
            <v>INACTIVO</v>
          </cell>
          <cell r="DQ232">
            <v>0</v>
          </cell>
        </row>
        <row r="233">
          <cell r="B233">
            <v>402131</v>
          </cell>
          <cell r="C233" t="str">
            <v>FRAMBUESA CONGELADA MINUTO VERDE</v>
          </cell>
          <cell r="D233"/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>
            <v>100</v>
          </cell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 t="str">
            <v>SIN USO</v>
          </cell>
          <cell r="DH233" t="str">
            <v/>
          </cell>
          <cell r="DI233"/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 t="str">
            <v>0</v>
          </cell>
          <cell r="DO233">
            <v>0</v>
          </cell>
          <cell r="DP233" t="str">
            <v>INACTIVO</v>
          </cell>
          <cell r="DQ233">
            <v>0</v>
          </cell>
        </row>
        <row r="234">
          <cell r="B234">
            <v>107368</v>
          </cell>
          <cell r="C234" t="str">
            <v>FRAMBUESA MITAD CONGELADA MEL</v>
          </cell>
          <cell r="D234"/>
          <cell r="E234"/>
          <cell r="F234"/>
          <cell r="G234"/>
          <cell r="H234"/>
          <cell r="I234"/>
          <cell r="J234"/>
          <cell r="K234">
            <v>220</v>
          </cell>
          <cell r="L234">
            <v>110</v>
          </cell>
          <cell r="M234">
            <v>70</v>
          </cell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 t="str">
            <v>SIN USO</v>
          </cell>
          <cell r="DH234" t="str">
            <v/>
          </cell>
          <cell r="DI234"/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 t="str">
            <v>0</v>
          </cell>
          <cell r="DO234">
            <v>0</v>
          </cell>
          <cell r="DP234" t="str">
            <v>INACTIVO</v>
          </cell>
          <cell r="DQ234">
            <v>0</v>
          </cell>
        </row>
        <row r="235">
          <cell r="B235">
            <v>107277</v>
          </cell>
          <cell r="C235" t="str">
            <v>PULPA MARACUYÁ CON PEPAS ALTA FRUTA</v>
          </cell>
          <cell r="D235"/>
          <cell r="E235">
            <v>13</v>
          </cell>
          <cell r="F235">
            <v>2</v>
          </cell>
          <cell r="G235">
            <v>12</v>
          </cell>
          <cell r="H235">
            <v>30</v>
          </cell>
          <cell r="I235">
            <v>14</v>
          </cell>
          <cell r="J235">
            <v>13</v>
          </cell>
          <cell r="K235">
            <v>10</v>
          </cell>
          <cell r="L235">
            <v>20</v>
          </cell>
          <cell r="M235">
            <v>15</v>
          </cell>
          <cell r="N235">
            <v>15</v>
          </cell>
          <cell r="O235"/>
          <cell r="P235">
            <v>30</v>
          </cell>
          <cell r="Q235">
            <v>15</v>
          </cell>
          <cell r="R235"/>
          <cell r="S235">
            <v>15</v>
          </cell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>
            <v>180</v>
          </cell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 t="str">
            <v>SIN USO</v>
          </cell>
          <cell r="DH235" t="str">
            <v>C</v>
          </cell>
          <cell r="DI235"/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 t="str">
            <v>0</v>
          </cell>
          <cell r="DO235">
            <v>0</v>
          </cell>
          <cell r="DP235" t="str">
            <v>INACTIVO</v>
          </cell>
          <cell r="DQ235">
            <v>0</v>
          </cell>
        </row>
        <row r="236">
          <cell r="B236"/>
          <cell r="C236"/>
          <cell r="D236"/>
          <cell r="E236">
            <v>13</v>
          </cell>
          <cell r="F236">
            <v>10</v>
          </cell>
          <cell r="G236">
            <v>109</v>
          </cell>
          <cell r="H236">
            <v>167.5</v>
          </cell>
          <cell r="I236">
            <v>127</v>
          </cell>
          <cell r="J236">
            <v>191</v>
          </cell>
          <cell r="K236">
            <v>585.20000000000005</v>
          </cell>
          <cell r="L236">
            <v>336</v>
          </cell>
          <cell r="M236">
            <v>396.2</v>
          </cell>
          <cell r="N236">
            <v>150.99999999999997</v>
          </cell>
          <cell r="O236">
            <v>13.6</v>
          </cell>
          <cell r="P236">
            <v>179.68</v>
          </cell>
          <cell r="Q236">
            <v>178.2</v>
          </cell>
          <cell r="R236">
            <v>222.2</v>
          </cell>
          <cell r="S236">
            <v>123.69999999999999</v>
          </cell>
          <cell r="T236">
            <v>253.4</v>
          </cell>
          <cell r="U236">
            <v>281.7</v>
          </cell>
          <cell r="V236">
            <v>248</v>
          </cell>
          <cell r="W236">
            <v>288.20999999999998</v>
          </cell>
          <cell r="X236">
            <v>307.3</v>
          </cell>
          <cell r="Y236">
            <v>246</v>
          </cell>
          <cell r="Z236">
            <v>114.5</v>
          </cell>
          <cell r="AA236">
            <v>16</v>
          </cell>
          <cell r="AB236">
            <v>244</v>
          </cell>
          <cell r="AC236">
            <v>213</v>
          </cell>
          <cell r="AD236">
            <v>84</v>
          </cell>
          <cell r="AE236">
            <v>116</v>
          </cell>
          <cell r="AF236">
            <v>314</v>
          </cell>
          <cell r="AG236">
            <v>109.9</v>
          </cell>
          <cell r="AH236">
            <v>53</v>
          </cell>
          <cell r="AI236">
            <v>895</v>
          </cell>
          <cell r="AJ236">
            <v>92.5</v>
          </cell>
          <cell r="AK236">
            <v>102</v>
          </cell>
          <cell r="AL236">
            <v>196.5</v>
          </cell>
          <cell r="AM236">
            <v>155</v>
          </cell>
          <cell r="AN236">
            <v>164</v>
          </cell>
          <cell r="AO236">
            <v>194</v>
          </cell>
          <cell r="AP236">
            <v>180</v>
          </cell>
          <cell r="AQ236">
            <v>223.5</v>
          </cell>
          <cell r="AR236">
            <v>1179</v>
          </cell>
          <cell r="AS236">
            <v>98</v>
          </cell>
          <cell r="AT236">
            <v>204</v>
          </cell>
          <cell r="AU236">
            <v>173</v>
          </cell>
          <cell r="AV236">
            <v>110</v>
          </cell>
          <cell r="AW236">
            <v>135.5</v>
          </cell>
          <cell r="AX236">
            <v>110.5</v>
          </cell>
          <cell r="AY236">
            <v>66</v>
          </cell>
          <cell r="AZ236">
            <v>200</v>
          </cell>
          <cell r="BA236">
            <v>190</v>
          </cell>
          <cell r="BB236">
            <v>398</v>
          </cell>
          <cell r="BC236">
            <v>198</v>
          </cell>
          <cell r="BD236">
            <v>253</v>
          </cell>
          <cell r="BE236">
            <v>247</v>
          </cell>
          <cell r="BF236">
            <v>212</v>
          </cell>
          <cell r="BG236">
            <v>258</v>
          </cell>
          <cell r="BH236">
            <v>199.5</v>
          </cell>
          <cell r="BI236">
            <v>182</v>
          </cell>
          <cell r="BJ236">
            <v>404</v>
          </cell>
          <cell r="BK236">
            <v>213.5</v>
          </cell>
          <cell r="BL236">
            <v>239.5</v>
          </cell>
          <cell r="BM236">
            <v>239.5</v>
          </cell>
          <cell r="BN236">
            <v>162</v>
          </cell>
          <cell r="BO236">
            <v>192</v>
          </cell>
          <cell r="BP236">
            <v>21</v>
          </cell>
          <cell r="BQ236">
            <v>625</v>
          </cell>
          <cell r="BR236">
            <v>341.2</v>
          </cell>
          <cell r="BS236">
            <v>244</v>
          </cell>
          <cell r="BT236">
            <v>85</v>
          </cell>
          <cell r="BU236">
            <v>241</v>
          </cell>
          <cell r="BV236">
            <v>106</v>
          </cell>
          <cell r="BW236">
            <v>202</v>
          </cell>
          <cell r="BX236">
            <v>116</v>
          </cell>
          <cell r="BY236">
            <v>126</v>
          </cell>
          <cell r="BZ236">
            <v>220.9</v>
          </cell>
          <cell r="CA236">
            <v>182.5</v>
          </cell>
          <cell r="CB236">
            <v>137</v>
          </cell>
          <cell r="CC236">
            <v>118</v>
          </cell>
          <cell r="CD236">
            <v>268</v>
          </cell>
          <cell r="CE236">
            <v>41</v>
          </cell>
          <cell r="CF236">
            <v>36</v>
          </cell>
          <cell r="CG236">
            <v>132</v>
          </cell>
          <cell r="CH236">
            <v>218</v>
          </cell>
          <cell r="CI236">
            <v>324</v>
          </cell>
          <cell r="CJ236">
            <v>252</v>
          </cell>
          <cell r="CK236">
            <v>204</v>
          </cell>
          <cell r="CL236">
            <v>72</v>
          </cell>
          <cell r="CM236">
            <v>138.19999999999999</v>
          </cell>
          <cell r="CN236">
            <v>192</v>
          </cell>
          <cell r="CO236">
            <v>120</v>
          </cell>
          <cell r="CP236">
            <v>228</v>
          </cell>
          <cell r="CQ236">
            <v>120</v>
          </cell>
          <cell r="CR236">
            <v>148</v>
          </cell>
          <cell r="CS236">
            <v>138</v>
          </cell>
          <cell r="CT236">
            <v>662</v>
          </cell>
          <cell r="CU236">
            <v>430</v>
          </cell>
          <cell r="CV236">
            <v>404</v>
          </cell>
          <cell r="CW236">
            <v>688</v>
          </cell>
          <cell r="CX236">
            <v>292</v>
          </cell>
          <cell r="CY236">
            <v>145</v>
          </cell>
          <cell r="CZ236">
            <v>197.5</v>
          </cell>
          <cell r="DA236">
            <v>375</v>
          </cell>
          <cell r="DB236">
            <v>315</v>
          </cell>
          <cell r="DC236">
            <v>177.5</v>
          </cell>
          <cell r="DD236">
            <v>352.5</v>
          </cell>
          <cell r="DE236">
            <v>232.5</v>
          </cell>
          <cell r="DF236">
            <v>15</v>
          </cell>
          <cell r="DG236" t="str">
            <v>ACTIVO</v>
          </cell>
          <cell r="DH236" t="str">
            <v/>
          </cell>
          <cell r="DI236"/>
          <cell r="DJ236">
            <v>254.428</v>
          </cell>
          <cell r="DK236">
            <v>42.404666666666664</v>
          </cell>
          <cell r="DL236">
            <v>193.57876747271487</v>
          </cell>
          <cell r="DM236">
            <v>0</v>
          </cell>
          <cell r="DN236" t="str">
            <v>0</v>
          </cell>
          <cell r="DO236">
            <v>0</v>
          </cell>
          <cell r="DP236" t="str">
            <v>INACTIVO</v>
          </cell>
          <cell r="DQ236">
            <v>0</v>
          </cell>
        </row>
        <row r="237">
          <cell r="B237">
            <v>107183</v>
          </cell>
          <cell r="C237" t="str">
            <v>FRUIT FILLING MANZANA FRUCOL</v>
          </cell>
          <cell r="D237">
            <v>939.30000000000007</v>
          </cell>
          <cell r="E237">
            <v>728.5</v>
          </cell>
          <cell r="F237">
            <v>629.30000000000007</v>
          </cell>
          <cell r="G237">
            <v>837.00000000000011</v>
          </cell>
          <cell r="H237">
            <v>868.00000000000011</v>
          </cell>
          <cell r="I237">
            <v>744.00000000000011</v>
          </cell>
          <cell r="J237">
            <v>1026.0999999999999</v>
          </cell>
          <cell r="K237">
            <v>734.69999999999993</v>
          </cell>
          <cell r="L237">
            <v>1419.8000000000004</v>
          </cell>
          <cell r="M237">
            <v>1092.2</v>
          </cell>
          <cell r="N237">
            <v>1376.4000000000003</v>
          </cell>
          <cell r="O237">
            <v>883.49999999999989</v>
          </cell>
          <cell r="P237">
            <v>1153.2</v>
          </cell>
          <cell r="Q237">
            <v>1258.5999999999999</v>
          </cell>
          <cell r="R237">
            <v>1565.5</v>
          </cell>
          <cell r="S237">
            <v>1035.4000000000001</v>
          </cell>
          <cell r="T237">
            <v>1004.4000000000001</v>
          </cell>
          <cell r="U237">
            <v>1109.8</v>
          </cell>
          <cell r="V237">
            <v>1897.1999999999994</v>
          </cell>
          <cell r="W237">
            <v>629.29999999999995</v>
          </cell>
          <cell r="X237">
            <v>1267.2</v>
          </cell>
          <cell r="Y237">
            <v>1668.3500000000004</v>
          </cell>
          <cell r="Z237">
            <v>551.80000000000007</v>
          </cell>
          <cell r="AA237">
            <v>1499.3</v>
          </cell>
          <cell r="AB237">
            <v>898.95000000000016</v>
          </cell>
          <cell r="AC237">
            <v>870.25000000000011</v>
          </cell>
          <cell r="AD237">
            <v>313.10000000000002</v>
          </cell>
          <cell r="AE237">
            <v>306.89999999999998</v>
          </cell>
          <cell r="AF237">
            <v>1072.5999999999999</v>
          </cell>
          <cell r="AG237">
            <v>1325.7999999999995</v>
          </cell>
          <cell r="AH237">
            <v>40.5</v>
          </cell>
          <cell r="AI237"/>
          <cell r="AJ237"/>
          <cell r="AK237"/>
          <cell r="AL237"/>
          <cell r="AM237"/>
          <cell r="AN237"/>
          <cell r="AO237"/>
          <cell r="AP237">
            <v>3</v>
          </cell>
          <cell r="AQ237">
            <v>39</v>
          </cell>
          <cell r="AR237"/>
          <cell r="AS237"/>
          <cell r="AT237"/>
          <cell r="AU237">
            <v>445.1</v>
          </cell>
          <cell r="AV237"/>
          <cell r="AW237"/>
          <cell r="AX237"/>
          <cell r="AY237">
            <v>467.80000000000007</v>
          </cell>
          <cell r="AZ237"/>
          <cell r="BA237"/>
          <cell r="BB237">
            <v>873.59999999999991</v>
          </cell>
          <cell r="BC237">
            <v>421.6</v>
          </cell>
          <cell r="BD237">
            <v>723.45</v>
          </cell>
          <cell r="BE237">
            <v>397.85</v>
          </cell>
          <cell r="BF237">
            <v>184.4</v>
          </cell>
          <cell r="BG237">
            <v>350.25000000000006</v>
          </cell>
          <cell r="BH237">
            <v>401.85</v>
          </cell>
          <cell r="BI237">
            <v>562.15000000000009</v>
          </cell>
          <cell r="BJ237">
            <v>861.6</v>
          </cell>
          <cell r="BK237">
            <v>273</v>
          </cell>
          <cell r="BL237">
            <v>225</v>
          </cell>
          <cell r="BM237">
            <v>274</v>
          </cell>
          <cell r="BN237">
            <v>411.9</v>
          </cell>
          <cell r="BO237">
            <v>759</v>
          </cell>
          <cell r="BP237">
            <v>417</v>
          </cell>
          <cell r="BQ237">
            <v>711</v>
          </cell>
          <cell r="BR237">
            <v>714</v>
          </cell>
          <cell r="BS237">
            <v>453</v>
          </cell>
          <cell r="BT237">
            <v>1149</v>
          </cell>
          <cell r="BU237">
            <v>586.5</v>
          </cell>
          <cell r="BV237">
            <v>280.3</v>
          </cell>
          <cell r="BW237">
            <v>568.79999999999995</v>
          </cell>
          <cell r="BX237">
            <v>588</v>
          </cell>
          <cell r="BY237">
            <v>824.5</v>
          </cell>
          <cell r="BZ237">
            <v>527.15000000000009</v>
          </cell>
          <cell r="CA237">
            <v>495.55</v>
          </cell>
          <cell r="CB237">
            <v>347.15000000000003</v>
          </cell>
          <cell r="CC237">
            <v>540.54999999999995</v>
          </cell>
          <cell r="CD237">
            <v>427.85</v>
          </cell>
          <cell r="CE237">
            <v>27</v>
          </cell>
          <cell r="CF237"/>
          <cell r="CG237">
            <v>403.85</v>
          </cell>
          <cell r="CH237">
            <v>628.75</v>
          </cell>
          <cell r="CI237">
            <v>895.3</v>
          </cell>
          <cell r="CJ237">
            <v>858.6</v>
          </cell>
          <cell r="CK237">
            <v>429.3</v>
          </cell>
          <cell r="CL237">
            <v>858.6</v>
          </cell>
          <cell r="CM237">
            <v>429.3</v>
          </cell>
          <cell r="CN237">
            <v>707.3</v>
          </cell>
          <cell r="CO237">
            <v>429.3</v>
          </cell>
          <cell r="CP237">
            <v>3.1</v>
          </cell>
          <cell r="CQ237"/>
          <cell r="CR237"/>
          <cell r="CS237"/>
          <cell r="CT237">
            <v>74.2</v>
          </cell>
          <cell r="CU237">
            <v>275.55</v>
          </cell>
          <cell r="CV237">
            <v>191.95000000000002</v>
          </cell>
          <cell r="CW237">
            <v>193.45</v>
          </cell>
          <cell r="CX237">
            <v>156.95000000000002</v>
          </cell>
          <cell r="CY237">
            <v>129.85</v>
          </cell>
          <cell r="CZ237">
            <v>111.3</v>
          </cell>
          <cell r="DA237">
            <v>119.7</v>
          </cell>
          <cell r="DB237">
            <v>129.85</v>
          </cell>
          <cell r="DC237">
            <v>143.1</v>
          </cell>
          <cell r="DD237">
            <v>229.7</v>
          </cell>
          <cell r="DE237">
            <v>145.75</v>
          </cell>
          <cell r="DF237">
            <v>18.55</v>
          </cell>
          <cell r="DG237" t="str">
            <v>ACTIVO</v>
          </cell>
          <cell r="DH237" t="str">
            <v>B</v>
          </cell>
          <cell r="DI237"/>
          <cell r="DJ237">
            <v>352.33333333333337</v>
          </cell>
          <cell r="DK237">
            <v>58.722222222222229</v>
          </cell>
          <cell r="DL237">
            <v>302.95610773640766</v>
          </cell>
          <cell r="DM237">
            <v>209.35</v>
          </cell>
          <cell r="DN237">
            <v>481505</v>
          </cell>
          <cell r="DO237">
            <v>0.59418164616840108</v>
          </cell>
          <cell r="DP237" t="str">
            <v>OK</v>
          </cell>
          <cell r="DQ237">
            <v>293.61111111111114</v>
          </cell>
        </row>
        <row r="238">
          <cell r="B238">
            <v>107124</v>
          </cell>
          <cell r="C238" t="str">
            <v>DURAZNO EN MITADES ALTO LA CRUZ</v>
          </cell>
          <cell r="D238">
            <v>346.41</v>
          </cell>
          <cell r="E238">
            <v>288.89999999999998</v>
          </cell>
          <cell r="F238">
            <v>223.64999999999998</v>
          </cell>
          <cell r="G238">
            <v>244.44</v>
          </cell>
          <cell r="H238">
            <v>271.33999999999997</v>
          </cell>
          <cell r="I238">
            <v>241.47</v>
          </cell>
          <cell r="J238">
            <v>214.20000000000002</v>
          </cell>
          <cell r="K238">
            <v>183.24</v>
          </cell>
          <cell r="L238">
            <v>323.73</v>
          </cell>
          <cell r="M238">
            <v>226.12</v>
          </cell>
          <cell r="N238">
            <v>187.20000000000002</v>
          </cell>
          <cell r="O238">
            <v>55.8</v>
          </cell>
          <cell r="P238">
            <v>213.51999999999998</v>
          </cell>
          <cell r="Q238">
            <v>217.79999999999998</v>
          </cell>
          <cell r="R238">
            <v>225.4</v>
          </cell>
          <cell r="S238">
            <v>117</v>
          </cell>
          <cell r="T238"/>
          <cell r="U238">
            <v>151.19999999999999</v>
          </cell>
          <cell r="V238">
            <v>216</v>
          </cell>
          <cell r="W238">
            <v>75.599999999999994</v>
          </cell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>
            <v>7.2</v>
          </cell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>
            <v>297</v>
          </cell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>
            <v>1.8</v>
          </cell>
          <cell r="BS238"/>
          <cell r="BT238"/>
          <cell r="BU238"/>
          <cell r="BV238"/>
          <cell r="BW238"/>
          <cell r="BX238">
            <v>7.2</v>
          </cell>
          <cell r="BY238"/>
          <cell r="BZ238"/>
          <cell r="CA238"/>
          <cell r="CB238"/>
          <cell r="CC238"/>
          <cell r="CD238">
            <v>7.2</v>
          </cell>
          <cell r="CE238"/>
          <cell r="CF238"/>
          <cell r="CG238"/>
          <cell r="CH238"/>
          <cell r="CI238"/>
          <cell r="CJ238"/>
          <cell r="CK238"/>
          <cell r="CL238"/>
          <cell r="CM238"/>
          <cell r="CN238">
            <v>3.6</v>
          </cell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 t="str">
            <v>ACTIVO</v>
          </cell>
          <cell r="DH238" t="str">
            <v>C</v>
          </cell>
          <cell r="DI238"/>
          <cell r="DJ238">
            <v>3.6</v>
          </cell>
          <cell r="DK238">
            <v>0.6</v>
          </cell>
          <cell r="DL238">
            <v>130.22723217514837</v>
          </cell>
          <cell r="DM238">
            <v>183.6</v>
          </cell>
          <cell r="DN238">
            <v>494699.18400000001</v>
          </cell>
          <cell r="DO238">
            <v>51</v>
          </cell>
          <cell r="DP238" t="str">
            <v>OK</v>
          </cell>
          <cell r="DQ238">
            <v>1.7999999999999998</v>
          </cell>
        </row>
        <row r="239">
          <cell r="B239">
            <v>107313</v>
          </cell>
          <cell r="C239" t="str">
            <v>DURAZNO EN CUBOS CAMPOS</v>
          </cell>
          <cell r="D239"/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>
            <v>6.62</v>
          </cell>
          <cell r="AV239">
            <v>250.20000000000002</v>
          </cell>
          <cell r="AW239">
            <v>21.6</v>
          </cell>
          <cell r="AX239"/>
          <cell r="AY239"/>
          <cell r="AZ239"/>
          <cell r="BA239"/>
          <cell r="BB239"/>
          <cell r="BC239">
            <v>230.85000000000002</v>
          </cell>
          <cell r="BD239">
            <v>356.4</v>
          </cell>
          <cell r="BE239">
            <v>162</v>
          </cell>
          <cell r="BF239"/>
          <cell r="BG239">
            <v>45</v>
          </cell>
          <cell r="BH239">
            <v>30.8</v>
          </cell>
          <cell r="BI239">
            <v>18</v>
          </cell>
          <cell r="BJ239">
            <v>10.8</v>
          </cell>
          <cell r="BK239">
            <v>18</v>
          </cell>
          <cell r="BL239">
            <v>59.4</v>
          </cell>
          <cell r="BM239">
            <v>14.4</v>
          </cell>
          <cell r="BN239">
            <v>7.2</v>
          </cell>
          <cell r="BO239">
            <v>5.4</v>
          </cell>
          <cell r="BP239">
            <v>16.200000000000003</v>
          </cell>
          <cell r="BQ239">
            <v>6.52</v>
          </cell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 t="str">
            <v>ACTIVO</v>
          </cell>
          <cell r="DH239" t="str">
            <v>C</v>
          </cell>
          <cell r="DI239"/>
          <cell r="DJ239">
            <v>0</v>
          </cell>
          <cell r="DK239">
            <v>0</v>
          </cell>
          <cell r="DL239">
            <v>107.30482970463714</v>
          </cell>
          <cell r="DM239">
            <v>0</v>
          </cell>
          <cell r="DN239" t="str">
            <v>0</v>
          </cell>
          <cell r="DO239">
            <v>0</v>
          </cell>
          <cell r="DP239" t="str">
            <v>COMPRAR</v>
          </cell>
          <cell r="DQ239">
            <v>0</v>
          </cell>
        </row>
        <row r="240">
          <cell r="B240">
            <v>107125</v>
          </cell>
          <cell r="C240" t="str">
            <v>DURAZNO EN CUBOS ALTO LA CRUZ</v>
          </cell>
          <cell r="D240"/>
          <cell r="E240"/>
          <cell r="F240">
            <v>9.4499999999999993</v>
          </cell>
          <cell r="G240">
            <v>41.440000000000005</v>
          </cell>
          <cell r="H240">
            <v>79.599999999999994</v>
          </cell>
          <cell r="I240">
            <v>61.2</v>
          </cell>
          <cell r="J240">
            <v>102.6</v>
          </cell>
          <cell r="K240">
            <v>205.74</v>
          </cell>
          <cell r="L240">
            <v>344.02000000000004</v>
          </cell>
          <cell r="M240">
            <v>270.12</v>
          </cell>
          <cell r="N240">
            <v>229.49999999999997</v>
          </cell>
          <cell r="O240">
            <v>93.96</v>
          </cell>
          <cell r="P240">
            <v>435.32999999999993</v>
          </cell>
          <cell r="Q240">
            <v>390.59999999999997</v>
          </cell>
          <cell r="R240">
            <v>318.60000000000008</v>
          </cell>
          <cell r="S240">
            <v>261</v>
          </cell>
          <cell r="T240">
            <v>319.39999999999998</v>
          </cell>
          <cell r="U240">
            <v>372.6</v>
          </cell>
          <cell r="V240">
            <v>335.1</v>
          </cell>
          <cell r="W240">
            <v>254.80999999999997</v>
          </cell>
          <cell r="X240">
            <v>275.52</v>
          </cell>
          <cell r="Y240">
            <v>334.79999999999995</v>
          </cell>
          <cell r="Z240">
            <v>259.2</v>
          </cell>
          <cell r="AA240">
            <v>250.39999999999998</v>
          </cell>
          <cell r="AB240">
            <v>308.34000000000003</v>
          </cell>
          <cell r="AC240">
            <v>334.12</v>
          </cell>
          <cell r="AD240">
            <v>153</v>
          </cell>
          <cell r="AE240">
            <v>160.19999999999999</v>
          </cell>
          <cell r="AF240">
            <v>419.57999999999993</v>
          </cell>
          <cell r="AG240">
            <v>68.760000000000005</v>
          </cell>
          <cell r="AH240">
            <v>261.06</v>
          </cell>
          <cell r="AI240">
            <v>266.39999999999998</v>
          </cell>
          <cell r="AJ240">
            <v>255.60000000000002</v>
          </cell>
          <cell r="AK240">
            <v>608.08000000000004</v>
          </cell>
          <cell r="AL240">
            <v>248.4</v>
          </cell>
          <cell r="AM240">
            <v>235.8</v>
          </cell>
          <cell r="AN240">
            <v>244.88000000000002</v>
          </cell>
          <cell r="AO240">
            <v>297</v>
          </cell>
          <cell r="AP240">
            <v>250.20000000000002</v>
          </cell>
          <cell r="AQ240">
            <v>237.6</v>
          </cell>
          <cell r="AR240">
            <v>282.59999999999997</v>
          </cell>
          <cell r="AS240">
            <v>264.60000000000002</v>
          </cell>
          <cell r="AT240">
            <v>315</v>
          </cell>
          <cell r="AU240">
            <v>236.4</v>
          </cell>
          <cell r="AV240">
            <v>43.2</v>
          </cell>
          <cell r="AW240">
            <v>302.40000000000003</v>
          </cell>
          <cell r="AX240">
            <v>262.8</v>
          </cell>
          <cell r="AY240">
            <v>255.6</v>
          </cell>
          <cell r="AZ240">
            <v>397.8</v>
          </cell>
          <cell r="BA240">
            <v>325.79999999999995</v>
          </cell>
          <cell r="BB240">
            <v>445.04999999999995</v>
          </cell>
          <cell r="BC240">
            <v>125.54999999999998</v>
          </cell>
          <cell r="BD240"/>
          <cell r="BE240">
            <v>165.6</v>
          </cell>
          <cell r="BF240">
            <v>347.40000000000003</v>
          </cell>
          <cell r="BG240">
            <v>295.2</v>
          </cell>
          <cell r="BH240">
            <v>313.20000000000005</v>
          </cell>
          <cell r="BI240">
            <v>277.2</v>
          </cell>
          <cell r="BJ240">
            <v>228.6</v>
          </cell>
          <cell r="BK240">
            <v>266.39999999999998</v>
          </cell>
          <cell r="BL240">
            <v>279</v>
          </cell>
          <cell r="BM240">
            <v>261</v>
          </cell>
          <cell r="BN240">
            <v>259.2</v>
          </cell>
          <cell r="BO240">
            <v>295.2</v>
          </cell>
          <cell r="BP240">
            <v>27</v>
          </cell>
          <cell r="BQ240">
            <v>348.08</v>
          </cell>
          <cell r="BR240">
            <v>360</v>
          </cell>
          <cell r="BS240">
            <v>311.39999999999998</v>
          </cell>
          <cell r="BT240">
            <v>250.20000000000002</v>
          </cell>
          <cell r="BU240">
            <v>259.2</v>
          </cell>
          <cell r="BV240">
            <v>241.2</v>
          </cell>
          <cell r="BW240">
            <v>232.20000000000002</v>
          </cell>
          <cell r="BX240">
            <v>182.4</v>
          </cell>
          <cell r="BY240">
            <v>192.6</v>
          </cell>
          <cell r="BZ240">
            <v>242.05</v>
          </cell>
          <cell r="CA240">
            <v>239.4</v>
          </cell>
          <cell r="CB240">
            <v>154.80000000000001</v>
          </cell>
          <cell r="CC240">
            <v>300.60000000000002</v>
          </cell>
          <cell r="CD240">
            <v>171.32</v>
          </cell>
          <cell r="CE240">
            <v>90.04</v>
          </cell>
          <cell r="CF240">
            <v>68.400000000000006</v>
          </cell>
          <cell r="CG240">
            <v>203.4</v>
          </cell>
          <cell r="CH240">
            <v>187.20000000000002</v>
          </cell>
          <cell r="CI240">
            <v>261.00000000000006</v>
          </cell>
          <cell r="CJ240">
            <v>169.2</v>
          </cell>
          <cell r="CK240">
            <v>181.82999999999998</v>
          </cell>
          <cell r="CL240">
            <v>160.19999999999999</v>
          </cell>
          <cell r="CM240">
            <v>158.4</v>
          </cell>
          <cell r="CN240">
            <v>183.6</v>
          </cell>
          <cell r="CO240">
            <v>198</v>
          </cell>
          <cell r="CP240">
            <v>183.60000000000002</v>
          </cell>
          <cell r="CQ240">
            <v>194.40000000000003</v>
          </cell>
          <cell r="CR240">
            <v>232.2</v>
          </cell>
          <cell r="CS240">
            <v>196.2</v>
          </cell>
          <cell r="CT240">
            <v>272.80000000000007</v>
          </cell>
          <cell r="CU240">
            <v>203.39999999999998</v>
          </cell>
          <cell r="CV240">
            <v>203.4</v>
          </cell>
          <cell r="CW240">
            <v>243.68</v>
          </cell>
          <cell r="CX240">
            <v>237.60000000000002</v>
          </cell>
          <cell r="CY240">
            <v>210.6</v>
          </cell>
          <cell r="CZ240">
            <v>183.6</v>
          </cell>
          <cell r="DA240">
            <v>221.4</v>
          </cell>
          <cell r="DB240">
            <v>763.2</v>
          </cell>
          <cell r="DC240">
            <v>50.4</v>
          </cell>
          <cell r="DD240">
            <v>225</v>
          </cell>
          <cell r="DE240">
            <v>189</v>
          </cell>
          <cell r="DF240">
            <v>30.6</v>
          </cell>
          <cell r="DG240" t="str">
            <v>ACTIVO</v>
          </cell>
          <cell r="DH240" t="str">
            <v>B</v>
          </cell>
          <cell r="DI240"/>
          <cell r="DJ240">
            <v>215.70839999999995</v>
          </cell>
          <cell r="DK240">
            <v>35.951399999999992</v>
          </cell>
          <cell r="DL240">
            <v>97.485546681945578</v>
          </cell>
          <cell r="DM240">
            <v>412.2</v>
          </cell>
          <cell r="DN240">
            <v>1064428.182</v>
          </cell>
          <cell r="DO240">
            <v>1.9109130659723965</v>
          </cell>
          <cell r="DP240" t="str">
            <v>OK</v>
          </cell>
          <cell r="DQ240">
            <v>107.85419999999998</v>
          </cell>
        </row>
        <row r="241">
          <cell r="B241">
            <v>107102</v>
          </cell>
          <cell r="C241" t="str">
            <v>TRUFA CHOCOLATE PURATOS</v>
          </cell>
          <cell r="D241">
            <v>227.5</v>
          </cell>
          <cell r="E241">
            <v>241</v>
          </cell>
          <cell r="F241">
            <v>210.5</v>
          </cell>
          <cell r="G241">
            <v>262.5</v>
          </cell>
          <cell r="H241">
            <v>202</v>
          </cell>
          <cell r="I241">
            <v>68</v>
          </cell>
          <cell r="J241">
            <v>217</v>
          </cell>
          <cell r="K241">
            <v>215</v>
          </cell>
          <cell r="L241">
            <v>249</v>
          </cell>
          <cell r="M241">
            <v>251</v>
          </cell>
          <cell r="N241">
            <v>285</v>
          </cell>
          <cell r="O241"/>
          <cell r="P241">
            <v>211.5</v>
          </cell>
          <cell r="Q241">
            <v>293</v>
          </cell>
          <cell r="R241">
            <v>228</v>
          </cell>
          <cell r="S241">
            <v>204.5</v>
          </cell>
          <cell r="T241">
            <v>180</v>
          </cell>
          <cell r="U241">
            <v>280</v>
          </cell>
          <cell r="V241">
            <v>236</v>
          </cell>
          <cell r="W241">
            <v>230</v>
          </cell>
          <cell r="X241">
            <v>108</v>
          </cell>
          <cell r="Y241"/>
          <cell r="Z241">
            <v>218.5</v>
          </cell>
          <cell r="AA241">
            <v>140.5</v>
          </cell>
          <cell r="AB241">
            <v>241</v>
          </cell>
          <cell r="AC241">
            <v>173.5</v>
          </cell>
          <cell r="AD241">
            <v>69</v>
          </cell>
          <cell r="AE241">
            <v>95.5</v>
          </cell>
          <cell r="AF241">
            <v>229</v>
          </cell>
          <cell r="AG241">
            <v>218.5</v>
          </cell>
          <cell r="AH241">
            <v>180</v>
          </cell>
          <cell r="AI241">
            <v>252</v>
          </cell>
          <cell r="AJ241">
            <v>256</v>
          </cell>
          <cell r="AK241">
            <v>212.5</v>
          </cell>
          <cell r="AL241">
            <v>217.5</v>
          </cell>
          <cell r="AM241">
            <v>204</v>
          </cell>
          <cell r="AN241">
            <v>264</v>
          </cell>
          <cell r="AO241">
            <v>240</v>
          </cell>
          <cell r="AP241">
            <v>264</v>
          </cell>
          <cell r="AQ241">
            <v>225</v>
          </cell>
          <cell r="AR241">
            <v>240</v>
          </cell>
          <cell r="AS241">
            <v>250</v>
          </cell>
          <cell r="AT241">
            <v>284</v>
          </cell>
          <cell r="AU241">
            <v>269.5</v>
          </cell>
          <cell r="AV241">
            <v>200</v>
          </cell>
          <cell r="AW241">
            <v>228</v>
          </cell>
          <cell r="AX241">
            <v>176</v>
          </cell>
          <cell r="AY241">
            <v>216</v>
          </cell>
          <cell r="AZ241">
            <v>224</v>
          </cell>
          <cell r="BA241">
            <v>200</v>
          </cell>
          <cell r="BB241">
            <v>199.5</v>
          </cell>
          <cell r="BC241">
            <v>226</v>
          </cell>
          <cell r="BD241">
            <v>172</v>
          </cell>
          <cell r="BE241">
            <v>176</v>
          </cell>
          <cell r="BF241">
            <v>165</v>
          </cell>
          <cell r="BG241">
            <v>196</v>
          </cell>
          <cell r="BH241">
            <v>224</v>
          </cell>
          <cell r="BI241">
            <v>165</v>
          </cell>
          <cell r="BJ241">
            <v>156</v>
          </cell>
          <cell r="BK241">
            <v>378</v>
          </cell>
          <cell r="BL241">
            <v>220</v>
          </cell>
          <cell r="BM241">
            <v>229</v>
          </cell>
          <cell r="BN241">
            <v>196</v>
          </cell>
          <cell r="BO241">
            <v>186</v>
          </cell>
          <cell r="BP241">
            <v>60</v>
          </cell>
          <cell r="BQ241">
            <v>193</v>
          </cell>
          <cell r="BR241">
            <v>152</v>
          </cell>
          <cell r="BS241">
            <v>242</v>
          </cell>
          <cell r="BT241">
            <v>142</v>
          </cell>
          <cell r="BU241">
            <v>220</v>
          </cell>
          <cell r="BV241">
            <v>187</v>
          </cell>
          <cell r="BW241">
            <v>202</v>
          </cell>
          <cell r="BX241">
            <v>165.5</v>
          </cell>
          <cell r="BY241">
            <v>180.5</v>
          </cell>
          <cell r="BZ241">
            <v>145.5</v>
          </cell>
          <cell r="CA241">
            <v>192</v>
          </cell>
          <cell r="CB241">
            <v>128</v>
          </cell>
          <cell r="CC241">
            <v>633</v>
          </cell>
          <cell r="CD241">
            <v>127</v>
          </cell>
          <cell r="CE241">
            <v>56</v>
          </cell>
          <cell r="CF241">
            <v>44</v>
          </cell>
          <cell r="CG241">
            <v>137</v>
          </cell>
          <cell r="CH241">
            <v>129</v>
          </cell>
          <cell r="CI241">
            <v>144</v>
          </cell>
          <cell r="CJ241">
            <v>112</v>
          </cell>
          <cell r="CK241">
            <v>140</v>
          </cell>
          <cell r="CL241">
            <v>108</v>
          </cell>
          <cell r="CM241">
            <v>120</v>
          </cell>
          <cell r="CN241">
            <v>136</v>
          </cell>
          <cell r="CO241">
            <v>140</v>
          </cell>
          <cell r="CP241">
            <v>164</v>
          </cell>
          <cell r="CQ241">
            <v>152</v>
          </cell>
          <cell r="CR241">
            <v>172</v>
          </cell>
          <cell r="CS241">
            <v>160</v>
          </cell>
          <cell r="CT241">
            <v>184</v>
          </cell>
          <cell r="CU241">
            <v>164</v>
          </cell>
          <cell r="CV241">
            <v>184</v>
          </cell>
          <cell r="CW241">
            <v>192</v>
          </cell>
          <cell r="CX241">
            <v>136</v>
          </cell>
          <cell r="CY241">
            <v>216</v>
          </cell>
          <cell r="CZ241">
            <v>172</v>
          </cell>
          <cell r="DA241">
            <v>191</v>
          </cell>
          <cell r="DB241">
            <v>202</v>
          </cell>
          <cell r="DC241">
            <v>168</v>
          </cell>
          <cell r="DD241">
            <v>168</v>
          </cell>
          <cell r="DE241">
            <v>212</v>
          </cell>
          <cell r="DF241">
            <v>24</v>
          </cell>
          <cell r="DG241" t="str">
            <v>ACTIVO</v>
          </cell>
          <cell r="DH241" t="str">
            <v>B</v>
          </cell>
          <cell r="DI241"/>
          <cell r="DJ241">
            <v>153.4</v>
          </cell>
          <cell r="DK241">
            <v>25.566666666666666</v>
          </cell>
          <cell r="DL241">
            <v>80.213833414926398</v>
          </cell>
          <cell r="DM241">
            <v>660</v>
          </cell>
          <cell r="DN241">
            <v>2061081</v>
          </cell>
          <cell r="DO241">
            <v>4.3024771838331155</v>
          </cell>
          <cell r="DP241" t="str">
            <v>OK</v>
          </cell>
          <cell r="DQ241">
            <v>102.26666666666667</v>
          </cell>
        </row>
        <row r="242">
          <cell r="B242">
            <v>107401</v>
          </cell>
          <cell r="C242" t="str">
            <v>DURAZNO EN SLICE LAS PERDICES</v>
          </cell>
          <cell r="D242"/>
          <cell r="E242"/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>
            <v>59.4</v>
          </cell>
          <cell r="BM242"/>
          <cell r="BN242"/>
          <cell r="BO242"/>
          <cell r="BP242"/>
          <cell r="BQ242"/>
          <cell r="BR242">
            <v>376</v>
          </cell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 t="str">
            <v>ACTIVO</v>
          </cell>
          <cell r="DH242" t="str">
            <v>C</v>
          </cell>
          <cell r="DI242"/>
          <cell r="DJ242">
            <v>0</v>
          </cell>
          <cell r="DK242">
            <v>0</v>
          </cell>
          <cell r="DL242">
            <v>223.87000692366095</v>
          </cell>
          <cell r="DM242">
            <v>0</v>
          </cell>
          <cell r="DN242" t="str">
            <v>0</v>
          </cell>
          <cell r="DO242">
            <v>0</v>
          </cell>
          <cell r="DP242" t="str">
            <v>COMPRAR</v>
          </cell>
          <cell r="DQ242">
            <v>0</v>
          </cell>
        </row>
        <row r="243">
          <cell r="B243">
            <v>107144</v>
          </cell>
          <cell r="C243" t="str">
            <v>MANZANAS SLICE MEL</v>
          </cell>
          <cell r="D243"/>
          <cell r="E243"/>
          <cell r="F243"/>
          <cell r="G243">
            <v>56.999999999999993</v>
          </cell>
          <cell r="H243">
            <v>58.9</v>
          </cell>
          <cell r="I243">
            <v>91.2</v>
          </cell>
          <cell r="J243">
            <v>131.1</v>
          </cell>
          <cell r="K243">
            <v>214.7</v>
          </cell>
          <cell r="L243">
            <v>476.89999999999986</v>
          </cell>
          <cell r="M243">
            <v>271.7</v>
          </cell>
          <cell r="N243">
            <v>243.20000000000002</v>
          </cell>
          <cell r="O243">
            <v>136.80000000000001</v>
          </cell>
          <cell r="P243">
            <v>410.4</v>
          </cell>
          <cell r="Q243">
            <v>461.7</v>
          </cell>
          <cell r="R243">
            <v>364.79999999999995</v>
          </cell>
          <cell r="S243">
            <v>340.1</v>
          </cell>
          <cell r="T243">
            <v>286.89999999999998</v>
          </cell>
          <cell r="U243">
            <v>375.90000000000003</v>
          </cell>
          <cell r="V243">
            <v>402.50000000000006</v>
          </cell>
          <cell r="W243">
            <v>429.79999999999995</v>
          </cell>
          <cell r="X243">
            <v>321.09999999999997</v>
          </cell>
          <cell r="Y243">
            <v>408.5</v>
          </cell>
          <cell r="Z243">
            <v>279.08</v>
          </cell>
          <cell r="AA243">
            <v>289.79999999999995</v>
          </cell>
          <cell r="AB243">
            <v>332.5</v>
          </cell>
          <cell r="AC243">
            <v>235.60000000000002</v>
          </cell>
          <cell r="AD243">
            <v>153.9</v>
          </cell>
          <cell r="AE243">
            <v>121.6</v>
          </cell>
          <cell r="AF243">
            <v>302.10000000000002</v>
          </cell>
          <cell r="AG243">
            <v>220.4</v>
          </cell>
          <cell r="AH243">
            <v>182.39999999999998</v>
          </cell>
          <cell r="AI243">
            <v>273.59999999999997</v>
          </cell>
          <cell r="AJ243">
            <v>840.20000000000027</v>
          </cell>
          <cell r="AK243">
            <v>294.50000000000006</v>
          </cell>
          <cell r="AL243">
            <v>287.39999999999998</v>
          </cell>
          <cell r="AM243">
            <v>294.5</v>
          </cell>
          <cell r="AN243">
            <v>231.79999999999998</v>
          </cell>
          <cell r="AO243">
            <v>383.80000000000007</v>
          </cell>
          <cell r="AP243">
            <v>278</v>
          </cell>
          <cell r="AQ243">
            <v>317.5</v>
          </cell>
          <cell r="AR243">
            <v>317.3</v>
          </cell>
          <cell r="AS243">
            <v>328.7</v>
          </cell>
          <cell r="AT243">
            <v>275.5</v>
          </cell>
          <cell r="AU243">
            <v>258.40000000000003</v>
          </cell>
          <cell r="AV243">
            <v>332.49999999999994</v>
          </cell>
          <cell r="AW243">
            <v>284.2</v>
          </cell>
          <cell r="AX243">
            <v>273.60000000000002</v>
          </cell>
          <cell r="AY243">
            <v>319.20000000000005</v>
          </cell>
          <cell r="AZ243">
            <v>579.5</v>
          </cell>
          <cell r="BA243">
            <v>342</v>
          </cell>
          <cell r="BB243">
            <v>421.79999999999995</v>
          </cell>
          <cell r="BC243">
            <v>433.20000000000005</v>
          </cell>
          <cell r="BD243">
            <v>370.50000000000006</v>
          </cell>
          <cell r="BE243">
            <v>374.29999999999995</v>
          </cell>
          <cell r="BF243">
            <v>423.7</v>
          </cell>
          <cell r="BG243">
            <v>357.20000000000005</v>
          </cell>
          <cell r="BH243">
            <v>431.30000000000007</v>
          </cell>
          <cell r="BI243">
            <v>343.90000000000003</v>
          </cell>
          <cell r="BJ243">
            <v>281.20000000000005</v>
          </cell>
          <cell r="BK243">
            <v>429.40000000000003</v>
          </cell>
          <cell r="BL243">
            <v>473.09999999999997</v>
          </cell>
          <cell r="BM243">
            <v>400.9</v>
          </cell>
          <cell r="BN243">
            <v>378.09999999999997</v>
          </cell>
          <cell r="BO243">
            <v>440.8</v>
          </cell>
          <cell r="BP243">
            <v>47.5</v>
          </cell>
          <cell r="BQ243">
            <v>488.2</v>
          </cell>
          <cell r="BR243">
            <v>490.2</v>
          </cell>
          <cell r="BS243">
            <v>406.6</v>
          </cell>
          <cell r="BT243">
            <v>353.4</v>
          </cell>
          <cell r="BU243">
            <v>320.7</v>
          </cell>
          <cell r="BV243">
            <v>304</v>
          </cell>
          <cell r="BW243">
            <v>302.10000000000002</v>
          </cell>
          <cell r="BX243">
            <v>235.60000000000002</v>
          </cell>
          <cell r="BY243">
            <v>248.89999999999998</v>
          </cell>
          <cell r="BZ243">
            <v>337.3</v>
          </cell>
          <cell r="CA243">
            <v>317.3</v>
          </cell>
          <cell r="CB243">
            <v>214.70000000000002</v>
          </cell>
          <cell r="CC243">
            <v>307.3</v>
          </cell>
          <cell r="CD243">
            <v>222.3</v>
          </cell>
          <cell r="CE243">
            <v>157.69999999999999</v>
          </cell>
          <cell r="CF243">
            <v>87.399999999999991</v>
          </cell>
          <cell r="CG243">
            <v>277</v>
          </cell>
          <cell r="CH243">
            <v>254.6</v>
          </cell>
          <cell r="CI243">
            <v>238.90000000000003</v>
          </cell>
          <cell r="CJ243">
            <v>216.60000000000002</v>
          </cell>
          <cell r="CK243">
            <v>245.10000000000002</v>
          </cell>
          <cell r="CL243">
            <v>199.5</v>
          </cell>
          <cell r="CM243">
            <v>199.5</v>
          </cell>
          <cell r="CN243">
            <v>245.10000000000002</v>
          </cell>
          <cell r="CO243">
            <v>243.20000000000002</v>
          </cell>
          <cell r="CP243">
            <v>355.3</v>
          </cell>
          <cell r="CQ243">
            <v>378.09999999999997</v>
          </cell>
          <cell r="CR243">
            <v>443.20000000000005</v>
          </cell>
          <cell r="CS243">
            <v>400.9</v>
          </cell>
          <cell r="CT243">
            <v>461.70000000000005</v>
          </cell>
          <cell r="CU243">
            <v>391.8</v>
          </cell>
          <cell r="CV243">
            <v>423.70000000000005</v>
          </cell>
          <cell r="CW243">
            <v>397.1</v>
          </cell>
          <cell r="CX243">
            <v>416.09999999999997</v>
          </cell>
          <cell r="CY243">
            <v>450.30000000000007</v>
          </cell>
          <cell r="CZ243">
            <v>362.6</v>
          </cell>
          <cell r="DA243">
            <v>431.2999999999999</v>
          </cell>
          <cell r="DB243">
            <v>435.09999999999997</v>
          </cell>
          <cell r="DC243">
            <v>402.79999999999995</v>
          </cell>
          <cell r="DD243">
            <v>442.69999999999993</v>
          </cell>
          <cell r="DE243">
            <v>376.20000000000005</v>
          </cell>
          <cell r="DF243">
            <v>60.800000000000004</v>
          </cell>
          <cell r="DG243" t="str">
            <v>ACTIVO</v>
          </cell>
          <cell r="DH243" t="str">
            <v>A</v>
          </cell>
          <cell r="DI243"/>
          <cell r="DJ243">
            <v>335.98400000000009</v>
          </cell>
          <cell r="DK243">
            <v>55.997333333333351</v>
          </cell>
          <cell r="DL243">
            <v>119.37737765016405</v>
          </cell>
          <cell r="DM243">
            <v>286.89999999999998</v>
          </cell>
          <cell r="DN243">
            <v>903760.821</v>
          </cell>
          <cell r="DO243">
            <v>0.85390970998618954</v>
          </cell>
          <cell r="DP243" t="str">
            <v>OK</v>
          </cell>
          <cell r="DQ243">
            <v>111.9946666666667</v>
          </cell>
        </row>
        <row r="244">
          <cell r="B244">
            <v>107001</v>
          </cell>
          <cell r="C244" t="str">
            <v>MARRASQUINO ALTO LA CRUZ</v>
          </cell>
          <cell r="D244"/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>
            <v>61.7</v>
          </cell>
          <cell r="AJ244"/>
          <cell r="AK244">
            <v>48.4</v>
          </cell>
          <cell r="AL244">
            <v>100.6</v>
          </cell>
          <cell r="AM244">
            <v>93.399999999999991</v>
          </cell>
          <cell r="AN244">
            <v>39.6</v>
          </cell>
          <cell r="AO244">
            <v>3.6</v>
          </cell>
          <cell r="AP244"/>
          <cell r="AQ244">
            <v>29.700000000000003</v>
          </cell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>
            <v>36</v>
          </cell>
          <cell r="CR244"/>
          <cell r="CS244"/>
          <cell r="CT244"/>
          <cell r="CU244"/>
          <cell r="CV244"/>
          <cell r="CW244">
            <v>23.400000000000002</v>
          </cell>
          <cell r="CX244"/>
          <cell r="CY244">
            <v>1.8</v>
          </cell>
          <cell r="CZ244"/>
          <cell r="DA244"/>
          <cell r="DB244">
            <v>9.8000000000000007</v>
          </cell>
          <cell r="DC244">
            <v>404.99999999999994</v>
          </cell>
          <cell r="DD244">
            <v>304.19999999999993</v>
          </cell>
          <cell r="DE244">
            <v>155.80000000000001</v>
          </cell>
          <cell r="DF244"/>
          <cell r="DG244" t="str">
            <v>ACTIVO</v>
          </cell>
          <cell r="DH244" t="str">
            <v>C</v>
          </cell>
          <cell r="DI244"/>
          <cell r="DJ244">
            <v>130.0333333333333</v>
          </cell>
          <cell r="DK244">
            <v>21.672222222222217</v>
          </cell>
          <cell r="DL244">
            <v>34.526408112383429</v>
          </cell>
          <cell r="DM244">
            <v>233</v>
          </cell>
          <cell r="DN244">
            <v>1371990.21</v>
          </cell>
          <cell r="DO244">
            <v>1.7918482440399901</v>
          </cell>
          <cell r="DP244" t="str">
            <v>OK</v>
          </cell>
          <cell r="DQ244">
            <v>65.016666666666652</v>
          </cell>
        </row>
        <row r="245">
          <cell r="B245">
            <v>107314</v>
          </cell>
          <cell r="C245" t="str">
            <v>MARRASQUINO CAMPOS</v>
          </cell>
          <cell r="D245"/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>
            <v>61.2</v>
          </cell>
          <cell r="CO245">
            <v>154.80000000000001</v>
          </cell>
          <cell r="CP245">
            <v>116.4</v>
          </cell>
          <cell r="CQ245">
            <v>83.399999999999991</v>
          </cell>
          <cell r="CR245">
            <v>14.4</v>
          </cell>
          <cell r="CS245"/>
          <cell r="CT245"/>
          <cell r="CU245"/>
          <cell r="CV245"/>
          <cell r="CW245">
            <v>47.62</v>
          </cell>
          <cell r="CX245"/>
          <cell r="CY245"/>
          <cell r="CZ245"/>
          <cell r="DA245"/>
          <cell r="DB245"/>
          <cell r="DC245"/>
          <cell r="DD245"/>
          <cell r="DE245"/>
          <cell r="DF245"/>
          <cell r="DG245" t="str">
            <v>ACTIVO</v>
          </cell>
          <cell r="DH245" t="str">
            <v/>
          </cell>
          <cell r="DI245"/>
          <cell r="DJ245">
            <v>79.636666666666656</v>
          </cell>
          <cell r="DK245">
            <v>13.272777777777776</v>
          </cell>
          <cell r="DL245">
            <v>0</v>
          </cell>
          <cell r="DM245">
            <v>0</v>
          </cell>
          <cell r="DN245" t="str">
            <v>0</v>
          </cell>
          <cell r="DO245">
            <v>0</v>
          </cell>
          <cell r="DP245" t="str">
            <v>COMPRAR</v>
          </cell>
          <cell r="DQ245">
            <v>39.818333333333328</v>
          </cell>
        </row>
        <row r="246">
          <cell r="B246">
            <v>405574</v>
          </cell>
          <cell r="C246" t="str">
            <v>PIÑA EN RODAJAS CAMPOS</v>
          </cell>
          <cell r="D246"/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>
            <v>110.9</v>
          </cell>
          <cell r="BK246">
            <v>310.03999999999996</v>
          </cell>
          <cell r="BL246">
            <v>372.6</v>
          </cell>
          <cell r="BM246">
            <v>106.24</v>
          </cell>
          <cell r="BN246">
            <v>212.4</v>
          </cell>
          <cell r="BO246">
            <v>221.29</v>
          </cell>
          <cell r="BP246">
            <v>147.60000000000002</v>
          </cell>
          <cell r="BQ246">
            <v>5.4000000000000021</v>
          </cell>
          <cell r="BR246"/>
          <cell r="BS246">
            <v>122.4</v>
          </cell>
          <cell r="BT246">
            <v>252.42</v>
          </cell>
          <cell r="BU246"/>
          <cell r="BV246"/>
          <cell r="BW246"/>
          <cell r="BX246"/>
          <cell r="BY246"/>
          <cell r="BZ246">
            <v>9</v>
          </cell>
          <cell r="CA246">
            <v>210.8</v>
          </cell>
          <cell r="CB246">
            <v>18.2</v>
          </cell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 t="str">
            <v>ACTIVO</v>
          </cell>
          <cell r="DH246" t="str">
            <v>B</v>
          </cell>
          <cell r="DI246"/>
          <cell r="DJ246">
            <v>0</v>
          </cell>
          <cell r="DK246">
            <v>0</v>
          </cell>
          <cell r="DL246">
            <v>115.10297067832064</v>
          </cell>
          <cell r="DM246">
            <v>0</v>
          </cell>
          <cell r="DN246" t="str">
            <v>0</v>
          </cell>
          <cell r="DO246">
            <v>0</v>
          </cell>
          <cell r="DP246" t="str">
            <v>COMPRAR</v>
          </cell>
          <cell r="DQ246">
            <v>0</v>
          </cell>
        </row>
        <row r="247">
          <cell r="B247">
            <v>107117</v>
          </cell>
          <cell r="C247" t="str">
            <v>PIÑA EN RODAJAS ALTO LA CRUZ</v>
          </cell>
          <cell r="D247">
            <v>83.100000000000009</v>
          </cell>
          <cell r="E247">
            <v>62.760000000000005</v>
          </cell>
          <cell r="F247">
            <v>70.269999999999982</v>
          </cell>
          <cell r="G247">
            <v>62.260000000000005</v>
          </cell>
          <cell r="H247">
            <v>57.14</v>
          </cell>
          <cell r="I247">
            <v>52.019999999999996</v>
          </cell>
          <cell r="J247">
            <v>49.68</v>
          </cell>
          <cell r="K247">
            <v>44.36</v>
          </cell>
          <cell r="L247">
            <v>58.879999999999995</v>
          </cell>
          <cell r="M247">
            <v>69.25</v>
          </cell>
          <cell r="N247">
            <v>56.789999999999992</v>
          </cell>
          <cell r="O247">
            <v>5.52</v>
          </cell>
          <cell r="P247">
            <v>49.3</v>
          </cell>
          <cell r="Q247">
            <v>31.229999999999997</v>
          </cell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>
            <v>381.37</v>
          </cell>
          <cell r="AI247">
            <v>35.799999999999997</v>
          </cell>
          <cell r="AJ247">
            <v>279.64</v>
          </cell>
          <cell r="AK247">
            <v>177.62</v>
          </cell>
          <cell r="AL247">
            <v>179</v>
          </cell>
          <cell r="AM247">
            <v>200.48</v>
          </cell>
          <cell r="AN247">
            <v>209.46999999999997</v>
          </cell>
          <cell r="AO247">
            <v>232.7</v>
          </cell>
          <cell r="AP247">
            <v>207.6</v>
          </cell>
          <cell r="AQ247">
            <v>321.56000000000006</v>
          </cell>
          <cell r="AR247">
            <v>286.39999999999998</v>
          </cell>
          <cell r="AS247">
            <v>44.059999999999995</v>
          </cell>
          <cell r="AT247">
            <v>273.97000000000003</v>
          </cell>
          <cell r="AU247">
            <v>562.05999999999995</v>
          </cell>
          <cell r="AV247">
            <v>275.66000000000003</v>
          </cell>
          <cell r="AW247">
            <v>242.86</v>
          </cell>
          <cell r="AX247">
            <v>248.4</v>
          </cell>
          <cell r="AY247">
            <v>251.93</v>
          </cell>
          <cell r="AZ247">
            <v>252</v>
          </cell>
          <cell r="BA247">
            <v>174.76999999999998</v>
          </cell>
          <cell r="BB247">
            <v>44.980000000000004</v>
          </cell>
          <cell r="BC247">
            <v>244.8</v>
          </cell>
          <cell r="BD247">
            <v>93.76</v>
          </cell>
          <cell r="BE247">
            <v>214.28</v>
          </cell>
          <cell r="BF247">
            <v>307.79000000000002</v>
          </cell>
          <cell r="BG247">
            <v>318.60000000000002</v>
          </cell>
          <cell r="BH247">
            <v>352.8</v>
          </cell>
          <cell r="BI247">
            <v>266</v>
          </cell>
          <cell r="BJ247">
            <v>208.38</v>
          </cell>
          <cell r="BK247">
            <v>1.72</v>
          </cell>
          <cell r="BL247"/>
          <cell r="BM247"/>
          <cell r="BN247"/>
          <cell r="BO247">
            <v>230.4</v>
          </cell>
          <cell r="BP247">
            <v>3.6</v>
          </cell>
          <cell r="BQ247">
            <v>302.39999999999998</v>
          </cell>
          <cell r="BR247">
            <v>140.38999999999999</v>
          </cell>
          <cell r="BS247">
            <v>39.6</v>
          </cell>
          <cell r="BT247">
            <v>135.00000000000003</v>
          </cell>
          <cell r="BU247">
            <v>232.2</v>
          </cell>
          <cell r="BV247">
            <v>430.2</v>
          </cell>
          <cell r="BW247">
            <v>133.19999999999999</v>
          </cell>
          <cell r="BX247">
            <v>312.48</v>
          </cell>
          <cell r="BY247">
            <v>72.240000000000009</v>
          </cell>
          <cell r="BZ247">
            <v>56.239999999999995</v>
          </cell>
          <cell r="CA247">
            <v>223.20000000000002</v>
          </cell>
          <cell r="CB247">
            <v>190.88000000000002</v>
          </cell>
          <cell r="CC247">
            <v>160.19</v>
          </cell>
          <cell r="CD247">
            <v>291.91000000000003</v>
          </cell>
          <cell r="CE247">
            <v>361.8</v>
          </cell>
          <cell r="CF247">
            <v>12.58</v>
          </cell>
          <cell r="CG247">
            <v>216.08</v>
          </cell>
          <cell r="CH247">
            <v>168.03</v>
          </cell>
          <cell r="CI247">
            <v>269.97000000000003</v>
          </cell>
          <cell r="CJ247">
            <v>140.37</v>
          </cell>
          <cell r="CK247">
            <v>43.169999999999995</v>
          </cell>
          <cell r="CL247">
            <v>406.63</v>
          </cell>
          <cell r="CM247">
            <v>379.79999999999995</v>
          </cell>
          <cell r="CN247">
            <v>37.800000000000004</v>
          </cell>
          <cell r="CO247">
            <v>106.53</v>
          </cell>
          <cell r="CP247"/>
          <cell r="CQ247"/>
          <cell r="CR247">
            <v>0.75</v>
          </cell>
          <cell r="CS247"/>
          <cell r="CT247"/>
          <cell r="CU247"/>
          <cell r="CV247">
            <v>10.89</v>
          </cell>
          <cell r="CW247"/>
          <cell r="CX247">
            <v>12.53</v>
          </cell>
          <cell r="CY247">
            <v>1.58</v>
          </cell>
          <cell r="CZ247"/>
          <cell r="DA247"/>
          <cell r="DB247"/>
          <cell r="DC247">
            <v>216.05999999999997</v>
          </cell>
          <cell r="DD247">
            <v>217.75</v>
          </cell>
          <cell r="DE247">
            <v>55.860000000000007</v>
          </cell>
          <cell r="DF247">
            <v>5.4</v>
          </cell>
          <cell r="DG247" t="str">
            <v>ACTIVO</v>
          </cell>
          <cell r="DH247" t="str">
            <v>B</v>
          </cell>
          <cell r="DI247"/>
          <cell r="DJ247">
            <v>140.03249999999997</v>
          </cell>
          <cell r="DK247">
            <v>23.338749999999994</v>
          </cell>
          <cell r="DL247">
            <v>115.37646362917548</v>
          </cell>
          <cell r="DM247">
            <v>934.12</v>
          </cell>
          <cell r="DN247">
            <v>2400949.9536000001</v>
          </cell>
          <cell r="DO247">
            <v>6.6707371503043946</v>
          </cell>
          <cell r="DP247" t="str">
            <v>OK</v>
          </cell>
          <cell r="DQ247">
            <v>70.016249999999985</v>
          </cell>
        </row>
        <row r="248">
          <cell r="B248">
            <v>107348</v>
          </cell>
          <cell r="C248" t="str">
            <v>PIÑA EN RODAJA LAS PERDICES</v>
          </cell>
          <cell r="D248"/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>
            <v>92.629999999999981</v>
          </cell>
          <cell r="S248">
            <v>35.799999999999997</v>
          </cell>
          <cell r="T248">
            <v>76.53000000000003</v>
          </cell>
          <cell r="U248">
            <v>41.62</v>
          </cell>
          <cell r="V248">
            <v>55.49</v>
          </cell>
          <cell r="W248">
            <v>51.989999999999995</v>
          </cell>
          <cell r="X248">
            <v>217.84</v>
          </cell>
          <cell r="Y248"/>
          <cell r="Z248">
            <v>39.379999999999995</v>
          </cell>
          <cell r="AA248">
            <v>87.42</v>
          </cell>
          <cell r="AB248">
            <v>53.8</v>
          </cell>
          <cell r="AC248">
            <v>133.51999999999998</v>
          </cell>
          <cell r="AD248">
            <v>10.74</v>
          </cell>
          <cell r="AE248">
            <v>34.44</v>
          </cell>
          <cell r="AF248">
            <v>423.0499999999999</v>
          </cell>
          <cell r="AG248">
            <v>41.919999999999987</v>
          </cell>
          <cell r="AH248">
            <v>10.74</v>
          </cell>
          <cell r="AI248">
            <v>23.270000000000003</v>
          </cell>
          <cell r="AJ248">
            <v>100.24000000000001</v>
          </cell>
          <cell r="AK248">
            <v>13.86</v>
          </cell>
          <cell r="AL248">
            <v>35.799999999999997</v>
          </cell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>
            <v>325.78000000000003</v>
          </cell>
          <cell r="CP248">
            <v>343.72999999999996</v>
          </cell>
          <cell r="CQ248">
            <v>46.760000000000005</v>
          </cell>
          <cell r="CR248">
            <v>72.86999999999999</v>
          </cell>
          <cell r="CS248">
            <v>246.60000000000002</v>
          </cell>
          <cell r="CT248">
            <v>462.60000000000008</v>
          </cell>
          <cell r="CU248">
            <v>313.21999999999997</v>
          </cell>
          <cell r="CV248">
            <v>471.58000000000004</v>
          </cell>
          <cell r="CW248">
            <v>251.99999999999997</v>
          </cell>
          <cell r="CX248">
            <v>28.8</v>
          </cell>
          <cell r="CY248">
            <v>211.12</v>
          </cell>
          <cell r="CZ248">
            <v>130.54</v>
          </cell>
          <cell r="DA248">
            <v>230.66</v>
          </cell>
          <cell r="DB248">
            <v>585</v>
          </cell>
          <cell r="DC248">
            <v>61.86</v>
          </cell>
          <cell r="DD248"/>
          <cell r="DE248">
            <v>1.79</v>
          </cell>
          <cell r="DF248"/>
          <cell r="DG248" t="str">
            <v>ACTIVO</v>
          </cell>
          <cell r="DH248" t="str">
            <v>C</v>
          </cell>
          <cell r="DI248"/>
          <cell r="DJ248">
            <v>252.20800000000003</v>
          </cell>
          <cell r="DK248">
            <v>42.034666666666674</v>
          </cell>
          <cell r="DL248">
            <v>139.24672984105791</v>
          </cell>
          <cell r="DM248">
            <v>0</v>
          </cell>
          <cell r="DN248" t="str">
            <v>0</v>
          </cell>
          <cell r="DO248">
            <v>0</v>
          </cell>
          <cell r="DP248" t="str">
            <v>COMPRAR</v>
          </cell>
          <cell r="DQ248">
            <v>84.069333333333347</v>
          </cell>
        </row>
        <row r="249">
          <cell r="B249">
            <v>107346</v>
          </cell>
          <cell r="C249" t="str">
            <v>PIÑA EN CUBOS LAS PERDICES</v>
          </cell>
          <cell r="D249"/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>
            <v>1.84</v>
          </cell>
          <cell r="Y249"/>
          <cell r="Z249"/>
          <cell r="AA249">
            <v>202.4</v>
          </cell>
          <cell r="AB249"/>
          <cell r="AC249">
            <v>183.6</v>
          </cell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>
            <v>386</v>
          </cell>
          <cell r="AP249"/>
          <cell r="AQ249">
            <v>599.83999999999992</v>
          </cell>
          <cell r="AR249">
            <v>618.24</v>
          </cell>
          <cell r="AS249">
            <v>176.64</v>
          </cell>
          <cell r="AT249">
            <v>172.98</v>
          </cell>
          <cell r="AU249">
            <v>465.82</v>
          </cell>
          <cell r="AV249">
            <v>826.16000000000008</v>
          </cell>
          <cell r="AW249"/>
          <cell r="AX249">
            <v>69.92</v>
          </cell>
          <cell r="AY249">
            <v>691.4</v>
          </cell>
          <cell r="AZ249">
            <v>176.64</v>
          </cell>
          <cell r="BA249">
            <v>138</v>
          </cell>
          <cell r="BB249"/>
          <cell r="BC249"/>
          <cell r="BD249">
            <v>79.12</v>
          </cell>
          <cell r="BE249">
            <v>491.28</v>
          </cell>
          <cell r="BF249">
            <v>872.16000000000008</v>
          </cell>
          <cell r="BG249">
            <v>552.20000000000005</v>
          </cell>
          <cell r="BH249">
            <v>822.48</v>
          </cell>
          <cell r="BI249">
            <v>491.08000000000004</v>
          </cell>
          <cell r="BJ249">
            <v>500.48</v>
          </cell>
          <cell r="BK249">
            <v>674.96</v>
          </cell>
          <cell r="BL249">
            <v>726.64</v>
          </cell>
          <cell r="BM249">
            <v>221.60000000000002</v>
          </cell>
          <cell r="BN249">
            <v>318.03999999999996</v>
          </cell>
          <cell r="BO249">
            <v>712.53</v>
          </cell>
          <cell r="BP249">
            <v>285.2</v>
          </cell>
          <cell r="BQ249">
            <v>212.99</v>
          </cell>
          <cell r="BR249">
            <v>99.32</v>
          </cell>
          <cell r="BS249"/>
          <cell r="BT249">
            <v>51.48</v>
          </cell>
          <cell r="BU249"/>
          <cell r="BV249"/>
          <cell r="BW249"/>
          <cell r="BX249"/>
          <cell r="BY249"/>
          <cell r="BZ249"/>
          <cell r="CA249">
            <v>730.48</v>
          </cell>
          <cell r="CB249">
            <v>439.76</v>
          </cell>
          <cell r="CC249">
            <v>479.80999999999995</v>
          </cell>
          <cell r="CD249">
            <v>551.99999999999989</v>
          </cell>
          <cell r="CE249">
            <v>765.44</v>
          </cell>
          <cell r="CF249"/>
          <cell r="CG249">
            <v>607.20000000000005</v>
          </cell>
          <cell r="CH249">
            <v>170.23999999999998</v>
          </cell>
          <cell r="CI249">
            <v>603.52</v>
          </cell>
          <cell r="CJ249">
            <v>368</v>
          </cell>
          <cell r="CK249"/>
          <cell r="CL249">
            <v>783.44</v>
          </cell>
          <cell r="CM249">
            <v>681.72</v>
          </cell>
          <cell r="CN249"/>
          <cell r="CO249">
            <v>1271.44</v>
          </cell>
          <cell r="CP249">
            <v>912.64</v>
          </cell>
          <cell r="CQ249">
            <v>11.040000000000001</v>
          </cell>
          <cell r="CR249">
            <v>244.71999999999997</v>
          </cell>
          <cell r="CS249">
            <v>559.36</v>
          </cell>
          <cell r="CT249">
            <v>767.4</v>
          </cell>
          <cell r="CU249">
            <v>559.36</v>
          </cell>
          <cell r="CV249">
            <v>1118.72</v>
          </cell>
          <cell r="CW249">
            <v>559.36</v>
          </cell>
          <cell r="CX249">
            <v>215.28</v>
          </cell>
          <cell r="CY249">
            <v>516.96</v>
          </cell>
          <cell r="CZ249">
            <v>516.83999999999992</v>
          </cell>
          <cell r="DA249">
            <v>430.56</v>
          </cell>
          <cell r="DB249">
            <v>1431.52</v>
          </cell>
          <cell r="DC249">
            <v>559.3599999999999</v>
          </cell>
          <cell r="DD249">
            <v>636.64</v>
          </cell>
          <cell r="DE249"/>
          <cell r="DF249"/>
          <cell r="DG249" t="str">
            <v>ACTIVO</v>
          </cell>
          <cell r="DH249" t="str">
            <v>B</v>
          </cell>
          <cell r="DI249"/>
          <cell r="DJ249">
            <v>614.78727272727281</v>
          </cell>
          <cell r="DK249">
            <v>102.46454545454547</v>
          </cell>
          <cell r="DL249">
            <v>254.89413755909732</v>
          </cell>
          <cell r="DM249">
            <v>750.72</v>
          </cell>
          <cell r="DN249">
            <v>2286122.5728000002</v>
          </cell>
          <cell r="DO249">
            <v>1.2211053047173743</v>
          </cell>
          <cell r="DP249" t="str">
            <v>OK</v>
          </cell>
          <cell r="DQ249">
            <v>204.92909090909095</v>
          </cell>
        </row>
        <row r="250">
          <cell r="B250">
            <v>107324</v>
          </cell>
          <cell r="C250" t="str">
            <v>MARRASQUINO FRUCOL</v>
          </cell>
          <cell r="D250">
            <v>244.79999999999998</v>
          </cell>
          <cell r="E250">
            <v>214.60000000000002</v>
          </cell>
          <cell r="F250">
            <v>223</v>
          </cell>
          <cell r="G250">
            <v>221.2</v>
          </cell>
          <cell r="H250">
            <v>392.8</v>
          </cell>
          <cell r="I250">
            <v>238.2</v>
          </cell>
          <cell r="J250">
            <v>238</v>
          </cell>
          <cell r="K250">
            <v>203.19999999999996</v>
          </cell>
          <cell r="L250">
            <v>270.8</v>
          </cell>
          <cell r="M250">
            <v>332.20000000000005</v>
          </cell>
          <cell r="N250">
            <v>389.40000000000009</v>
          </cell>
          <cell r="O250">
            <v>61</v>
          </cell>
          <cell r="P250">
            <v>253.2</v>
          </cell>
          <cell r="Q250">
            <v>298.8</v>
          </cell>
          <cell r="R250">
            <v>234</v>
          </cell>
          <cell r="S250">
            <v>237.6</v>
          </cell>
          <cell r="T250">
            <v>288</v>
          </cell>
          <cell r="U250">
            <v>224.89999999999998</v>
          </cell>
          <cell r="V250">
            <v>357.40000000000009</v>
          </cell>
          <cell r="W250">
            <v>187</v>
          </cell>
          <cell r="X250">
            <v>194.4</v>
          </cell>
          <cell r="Y250">
            <v>297</v>
          </cell>
          <cell r="Z250">
            <v>242.00000000000003</v>
          </cell>
          <cell r="AA250">
            <v>406.80000000000007</v>
          </cell>
          <cell r="AB250">
            <v>183.59999999999997</v>
          </cell>
          <cell r="AC250">
            <v>257.40000000000003</v>
          </cell>
          <cell r="AD250">
            <v>72</v>
          </cell>
          <cell r="AE250">
            <v>48.96</v>
          </cell>
          <cell r="AF250">
            <v>304.59999999999997</v>
          </cell>
          <cell r="AG250">
            <v>339.94000000000005</v>
          </cell>
          <cell r="AH250">
            <v>459.8</v>
          </cell>
          <cell r="AI250">
            <v>302.8</v>
          </cell>
          <cell r="AJ250">
            <v>371.59999999999991</v>
          </cell>
          <cell r="AK250">
            <v>230.40000000000003</v>
          </cell>
          <cell r="AL250">
            <v>142</v>
          </cell>
          <cell r="AM250">
            <v>104.4</v>
          </cell>
          <cell r="AN250">
            <v>246.6</v>
          </cell>
          <cell r="AO250">
            <v>342.00000000000006</v>
          </cell>
          <cell r="AP250">
            <v>228.6</v>
          </cell>
          <cell r="AQ250">
            <v>254.10000000000002</v>
          </cell>
          <cell r="AR250">
            <v>396</v>
          </cell>
          <cell r="AS250">
            <v>302.40000000000003</v>
          </cell>
          <cell r="AT250">
            <v>387.00000000000006</v>
          </cell>
          <cell r="AU250">
            <v>532.79999999999995</v>
          </cell>
          <cell r="AV250">
            <v>500.40000000000009</v>
          </cell>
          <cell r="AW250">
            <v>327.60000000000002</v>
          </cell>
          <cell r="AX250">
            <v>381.59999999999991</v>
          </cell>
          <cell r="AY250">
            <v>352.79999999999995</v>
          </cell>
          <cell r="AZ250">
            <v>471.6</v>
          </cell>
          <cell r="BA250">
            <v>453.59999999999997</v>
          </cell>
          <cell r="BB250">
            <v>268.2</v>
          </cell>
          <cell r="BC250">
            <v>235.79999999999998</v>
          </cell>
          <cell r="BD250">
            <v>322.2</v>
          </cell>
          <cell r="BE250">
            <v>288</v>
          </cell>
          <cell r="BF250">
            <v>451.39999999999992</v>
          </cell>
          <cell r="BG250">
            <v>424.8</v>
          </cell>
          <cell r="BH250">
            <v>581.4</v>
          </cell>
          <cell r="BI250">
            <v>340.2</v>
          </cell>
          <cell r="BJ250">
            <v>354.59999999999997</v>
          </cell>
          <cell r="BK250">
            <v>307.8</v>
          </cell>
          <cell r="BL250">
            <v>343.8</v>
          </cell>
          <cell r="BM250">
            <v>196.2</v>
          </cell>
          <cell r="BN250">
            <v>278.99999999999994</v>
          </cell>
          <cell r="BO250">
            <v>505.8</v>
          </cell>
          <cell r="BP250">
            <v>120.60000000000002</v>
          </cell>
          <cell r="BQ250">
            <v>359.99999999999994</v>
          </cell>
          <cell r="BR250">
            <v>316.8</v>
          </cell>
          <cell r="BS250">
            <v>475.2</v>
          </cell>
          <cell r="BT250">
            <v>300.60000000000002</v>
          </cell>
          <cell r="BU250">
            <v>390.59999999999997</v>
          </cell>
          <cell r="BV250">
            <v>536.69999999999993</v>
          </cell>
          <cell r="BW250">
            <v>318.59999999999997</v>
          </cell>
          <cell r="BX250">
            <v>286.2</v>
          </cell>
          <cell r="BY250">
            <v>141</v>
          </cell>
          <cell r="BZ250">
            <v>252.20000000000002</v>
          </cell>
          <cell r="CA250">
            <v>379.8</v>
          </cell>
          <cell r="CB250">
            <v>230.4</v>
          </cell>
          <cell r="CC250">
            <v>313.2000000000001</v>
          </cell>
          <cell r="CD250">
            <v>309.7</v>
          </cell>
          <cell r="CE250">
            <v>250.2</v>
          </cell>
          <cell r="CF250">
            <v>198</v>
          </cell>
          <cell r="CG250">
            <v>475.2000000000001</v>
          </cell>
          <cell r="CH250">
            <v>202.59999999999997</v>
          </cell>
          <cell r="CI250">
            <v>329.40000000000003</v>
          </cell>
          <cell r="CJ250">
            <v>379.8</v>
          </cell>
          <cell r="CK250">
            <v>180</v>
          </cell>
          <cell r="CL250">
            <v>480.6</v>
          </cell>
          <cell r="CM250">
            <v>388.8</v>
          </cell>
          <cell r="CN250">
            <v>156.6</v>
          </cell>
          <cell r="CO250">
            <v>207.00000000000006</v>
          </cell>
          <cell r="CP250">
            <v>281.39999999999998</v>
          </cell>
          <cell r="CQ250">
            <v>252.00000000000003</v>
          </cell>
          <cell r="CR250">
            <v>304.2000000000001</v>
          </cell>
          <cell r="CS250">
            <v>226.80000000000004</v>
          </cell>
          <cell r="CT250">
            <v>322.2</v>
          </cell>
          <cell r="CU250">
            <v>381.60000000000014</v>
          </cell>
          <cell r="CV250">
            <v>478.80000000000007</v>
          </cell>
          <cell r="CW250">
            <v>157.58000000000001</v>
          </cell>
          <cell r="CX250">
            <v>257.39999999999998</v>
          </cell>
          <cell r="CY250">
            <v>419.40000000000009</v>
          </cell>
          <cell r="CZ250">
            <v>325.79999999999995</v>
          </cell>
          <cell r="DA250">
            <v>351.3</v>
          </cell>
          <cell r="DB250">
            <v>375.70000000000005</v>
          </cell>
          <cell r="DC250">
            <v>37.799999999999997</v>
          </cell>
          <cell r="DD250"/>
          <cell r="DE250">
            <v>44.999999999999993</v>
          </cell>
          <cell r="DF250">
            <v>19.8</v>
          </cell>
          <cell r="DG250" t="str">
            <v>ACTIVO</v>
          </cell>
          <cell r="DH250" t="str">
            <v>A</v>
          </cell>
          <cell r="DI250"/>
          <cell r="DJ250">
            <v>298.74916666666672</v>
          </cell>
          <cell r="DK250">
            <v>49.791527777777787</v>
          </cell>
          <cell r="DL250">
            <v>113.16140909587095</v>
          </cell>
          <cell r="DM250">
            <v>603</v>
          </cell>
          <cell r="DN250">
            <v>3122128.98</v>
          </cell>
          <cell r="DO250">
            <v>2.0184156720102422</v>
          </cell>
          <cell r="DP250" t="str">
            <v>OK</v>
          </cell>
          <cell r="DQ250">
            <v>248.95763888888894</v>
          </cell>
        </row>
        <row r="251">
          <cell r="B251">
            <v>107240</v>
          </cell>
          <cell r="C251" t="str">
            <v>CRUSHED DE FRAMBUESA ALTO LA CRUZ</v>
          </cell>
          <cell r="D251">
            <v>37.200000000000003</v>
          </cell>
          <cell r="E251">
            <v>34.1</v>
          </cell>
          <cell r="F251">
            <v>31.000000000000004</v>
          </cell>
          <cell r="G251">
            <v>27.900000000000002</v>
          </cell>
          <cell r="H251">
            <v>24.8</v>
          </cell>
          <cell r="I251">
            <v>9.3000000000000007</v>
          </cell>
          <cell r="J251">
            <v>27.900000000000002</v>
          </cell>
          <cell r="K251">
            <v>21.7</v>
          </cell>
          <cell r="L251">
            <v>31.000000000000004</v>
          </cell>
          <cell r="M251">
            <v>21.700000000000003</v>
          </cell>
          <cell r="N251">
            <v>21.700000000000003</v>
          </cell>
          <cell r="O251"/>
          <cell r="P251">
            <v>16.900000000000002</v>
          </cell>
          <cell r="Q251">
            <v>31.000000000000004</v>
          </cell>
          <cell r="R251">
            <v>18.600000000000001</v>
          </cell>
          <cell r="S251">
            <v>18.600000000000001</v>
          </cell>
          <cell r="T251">
            <v>15.5</v>
          </cell>
          <cell r="U251">
            <v>24.800000000000004</v>
          </cell>
          <cell r="V251">
            <v>24.800000000000004</v>
          </cell>
          <cell r="W251">
            <v>15.5</v>
          </cell>
          <cell r="X251">
            <v>12.4</v>
          </cell>
          <cell r="Y251"/>
          <cell r="Z251">
            <v>18.600000000000001</v>
          </cell>
          <cell r="AA251">
            <v>18.600000000000001</v>
          </cell>
          <cell r="AB251">
            <v>52.7</v>
          </cell>
          <cell r="AC251">
            <v>18.600000000000001</v>
          </cell>
          <cell r="AD251">
            <v>6.2</v>
          </cell>
          <cell r="AE251">
            <v>6.2</v>
          </cell>
          <cell r="AF251">
            <v>24.800000000000004</v>
          </cell>
          <cell r="AG251">
            <v>18.600000000000001</v>
          </cell>
          <cell r="AH251">
            <v>18.600000000000001</v>
          </cell>
          <cell r="AI251">
            <v>55.800000000000004</v>
          </cell>
          <cell r="AJ251">
            <v>18.600000000000001</v>
          </cell>
          <cell r="AK251">
            <v>18.600000000000001</v>
          </cell>
          <cell r="AL251">
            <v>24.800000000000004</v>
          </cell>
          <cell r="AM251">
            <v>21.700000000000003</v>
          </cell>
          <cell r="AN251">
            <v>24.800000000000004</v>
          </cell>
          <cell r="AO251">
            <v>24.800000000000004</v>
          </cell>
          <cell r="AP251">
            <v>18.600000000000001</v>
          </cell>
          <cell r="AQ251">
            <v>21.700000000000003</v>
          </cell>
          <cell r="AR251">
            <v>24.800000000000004</v>
          </cell>
          <cell r="AS251">
            <v>24.8</v>
          </cell>
          <cell r="AT251">
            <v>31.000000000000007</v>
          </cell>
          <cell r="AU251">
            <v>21.700000000000003</v>
          </cell>
          <cell r="AV251">
            <v>21.700000000000003</v>
          </cell>
          <cell r="AW251">
            <v>24.800000000000004</v>
          </cell>
          <cell r="AX251">
            <v>21.700000000000003</v>
          </cell>
          <cell r="AY251">
            <v>21.700000000000003</v>
          </cell>
          <cell r="AZ251">
            <v>24.800000000000004</v>
          </cell>
          <cell r="BA251">
            <v>24.800000000000004</v>
          </cell>
          <cell r="BB251">
            <v>18.600000000000001</v>
          </cell>
          <cell r="BC251">
            <v>21.700000000000003</v>
          </cell>
          <cell r="BD251">
            <v>21.700000000000003</v>
          </cell>
          <cell r="BE251">
            <v>18.600000000000001</v>
          </cell>
          <cell r="BF251">
            <v>18.600000000000001</v>
          </cell>
          <cell r="BG251">
            <v>23.600000000000005</v>
          </cell>
          <cell r="BH251">
            <v>27.900000000000002</v>
          </cell>
          <cell r="BI251">
            <v>21.700000000000003</v>
          </cell>
          <cell r="BJ251">
            <v>18.600000000000001</v>
          </cell>
          <cell r="BK251">
            <v>24.8</v>
          </cell>
          <cell r="BL251">
            <v>21.700000000000003</v>
          </cell>
          <cell r="BM251">
            <v>21.700000000000003</v>
          </cell>
          <cell r="BN251">
            <v>18.600000000000001</v>
          </cell>
          <cell r="BO251">
            <v>18.600000000000001</v>
          </cell>
          <cell r="BP251">
            <v>3.1</v>
          </cell>
          <cell r="BQ251">
            <v>21.700000000000003</v>
          </cell>
          <cell r="BR251">
            <v>15.5</v>
          </cell>
          <cell r="BS251">
            <v>21.700000000000003</v>
          </cell>
          <cell r="BT251">
            <v>18.600000000000001</v>
          </cell>
          <cell r="BU251">
            <v>21.700000000000003</v>
          </cell>
          <cell r="BV251">
            <v>21.700000000000003</v>
          </cell>
          <cell r="BW251">
            <v>18.600000000000001</v>
          </cell>
          <cell r="BX251">
            <v>15.5</v>
          </cell>
          <cell r="BY251">
            <v>18.600000000000001</v>
          </cell>
          <cell r="BZ251">
            <v>24.800000000000004</v>
          </cell>
          <cell r="CA251">
            <v>21.7</v>
          </cell>
          <cell r="CB251">
            <v>15.5</v>
          </cell>
          <cell r="CC251">
            <v>18.600000000000001</v>
          </cell>
          <cell r="CD251">
            <v>18.600000000000001</v>
          </cell>
          <cell r="CE251">
            <v>9.3000000000000007</v>
          </cell>
          <cell r="CF251">
            <v>6.2</v>
          </cell>
          <cell r="CG251">
            <v>18.600000000000001</v>
          </cell>
          <cell r="CH251">
            <v>9.3000000000000007</v>
          </cell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 t="str">
            <v>SIN USO</v>
          </cell>
          <cell r="DH251" t="str">
            <v>C</v>
          </cell>
          <cell r="DI251"/>
          <cell r="DJ251">
            <v>11.366666666666667</v>
          </cell>
          <cell r="DK251">
            <v>1.8944444444444446</v>
          </cell>
          <cell r="DL251">
            <v>6.7796818237546583</v>
          </cell>
          <cell r="DM251">
            <v>468</v>
          </cell>
          <cell r="DN251">
            <v>1581053.76</v>
          </cell>
          <cell r="DO251">
            <v>41.173020527859236</v>
          </cell>
          <cell r="DP251" t="str">
            <v>INACTIVO</v>
          </cell>
          <cell r="DQ251">
            <v>5.6833333333333336</v>
          </cell>
        </row>
        <row r="252">
          <cell r="B252">
            <v>107282</v>
          </cell>
          <cell r="C252" t="str">
            <v>PIÑA EN CUBOS</v>
          </cell>
          <cell r="D252">
            <v>113.68</v>
          </cell>
          <cell r="E252">
            <v>77.680000000000007</v>
          </cell>
          <cell r="F252">
            <v>204.39</v>
          </cell>
          <cell r="G252">
            <v>90.160000000000011</v>
          </cell>
          <cell r="H252">
            <v>161.92000000000002</v>
          </cell>
          <cell r="I252">
            <v>44.16</v>
          </cell>
          <cell r="J252">
            <v>517.04</v>
          </cell>
          <cell r="K252">
            <v>31.98</v>
          </cell>
          <cell r="L252">
            <v>1.84</v>
          </cell>
          <cell r="M252">
            <v>125.12</v>
          </cell>
          <cell r="N252">
            <v>106.72</v>
          </cell>
          <cell r="O252"/>
          <cell r="P252"/>
          <cell r="Q252">
            <v>97.52</v>
          </cell>
          <cell r="R252"/>
          <cell r="S252">
            <v>128.53</v>
          </cell>
          <cell r="T252">
            <v>125.12</v>
          </cell>
          <cell r="U252">
            <v>3.64</v>
          </cell>
          <cell r="V252">
            <v>242.88</v>
          </cell>
          <cell r="W252">
            <v>147.24</v>
          </cell>
          <cell r="X252"/>
          <cell r="Y252"/>
          <cell r="Z252">
            <v>82.34</v>
          </cell>
          <cell r="AA252"/>
          <cell r="AB252"/>
          <cell r="AC252"/>
          <cell r="AD252"/>
          <cell r="AE252"/>
          <cell r="AF252"/>
          <cell r="AG252"/>
          <cell r="AH252"/>
          <cell r="AI252"/>
          <cell r="AJ252">
            <v>601.67999999999995</v>
          </cell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 t="str">
            <v>SIN USO</v>
          </cell>
          <cell r="DH252" t="str">
            <v>C</v>
          </cell>
          <cell r="DI252"/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 t="str">
            <v>0</v>
          </cell>
          <cell r="DO252">
            <v>0</v>
          </cell>
          <cell r="DP252" t="str">
            <v>INACTIVO</v>
          </cell>
          <cell r="DQ252">
            <v>0</v>
          </cell>
        </row>
        <row r="253">
          <cell r="B253">
            <v>107123</v>
          </cell>
          <cell r="C253" t="str">
            <v>PIÑA EN CUBOS ALTO LA CRUZ</v>
          </cell>
          <cell r="D253"/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>
            <v>62.37</v>
          </cell>
          <cell r="AF253">
            <v>170.93</v>
          </cell>
          <cell r="AG253">
            <v>268.63999999999993</v>
          </cell>
          <cell r="AH253">
            <v>1495.8799999999999</v>
          </cell>
          <cell r="AI253">
            <v>778.31999999999994</v>
          </cell>
          <cell r="AJ253">
            <v>81.040000000000006</v>
          </cell>
          <cell r="AK253"/>
          <cell r="AL253">
            <v>1.8</v>
          </cell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>
            <v>279.68</v>
          </cell>
          <cell r="BT253">
            <v>680.36</v>
          </cell>
          <cell r="BU253">
            <v>516.64</v>
          </cell>
          <cell r="BV253">
            <v>954.96</v>
          </cell>
          <cell r="BW253">
            <v>215.28</v>
          </cell>
          <cell r="BX253">
            <v>478.95000000000005</v>
          </cell>
          <cell r="BY253">
            <v>95.68</v>
          </cell>
          <cell r="BZ253">
            <v>206.08</v>
          </cell>
          <cell r="CA253">
            <v>95.68</v>
          </cell>
          <cell r="CB253"/>
          <cell r="CC253">
            <v>26.19</v>
          </cell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 t="str">
            <v>SIN USO</v>
          </cell>
          <cell r="DH253" t="str">
            <v>B</v>
          </cell>
          <cell r="DI253"/>
          <cell r="DJ253">
            <v>0</v>
          </cell>
          <cell r="DK253">
            <v>0</v>
          </cell>
          <cell r="DL253">
            <v>402.8540543185365</v>
          </cell>
          <cell r="DM253">
            <v>0</v>
          </cell>
          <cell r="DN253" t="str">
            <v>0</v>
          </cell>
          <cell r="DO253">
            <v>0</v>
          </cell>
          <cell r="DP253" t="str">
            <v>INACTIVO</v>
          </cell>
          <cell r="DQ253">
            <v>0</v>
          </cell>
        </row>
        <row r="254">
          <cell r="B254">
            <v>405500</v>
          </cell>
          <cell r="C254" t="str">
            <v>PIÑA EN CUBOS CAMPOS</v>
          </cell>
          <cell r="D254"/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>
            <v>192.92</v>
          </cell>
          <cell r="AL254">
            <v>605.64</v>
          </cell>
          <cell r="AM254">
            <v>401.11999999999995</v>
          </cell>
          <cell r="AN254">
            <v>399.28</v>
          </cell>
          <cell r="AO254">
            <v>37.32</v>
          </cell>
          <cell r="AP254">
            <v>31.28</v>
          </cell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 t="str">
            <v>SIN USO</v>
          </cell>
          <cell r="DH254" t="str">
            <v>C</v>
          </cell>
          <cell r="DI254"/>
          <cell r="DJ254">
            <v>0</v>
          </cell>
          <cell r="DK254">
            <v>0</v>
          </cell>
          <cell r="DL254">
            <v>229.45654810152331</v>
          </cell>
          <cell r="DM254">
            <v>0</v>
          </cell>
          <cell r="DN254" t="str">
            <v>0</v>
          </cell>
          <cell r="DO254">
            <v>0</v>
          </cell>
          <cell r="DP254" t="str">
            <v>INACTIVO</v>
          </cell>
          <cell r="DQ254">
            <v>0</v>
          </cell>
        </row>
        <row r="255">
          <cell r="B255"/>
          <cell r="C255"/>
          <cell r="D255">
            <v>1991.99</v>
          </cell>
          <cell r="E255">
            <v>1647.5400000000002</v>
          </cell>
          <cell r="F255">
            <v>1601.56</v>
          </cell>
          <cell r="G255">
            <v>1843.9000000000003</v>
          </cell>
          <cell r="H255">
            <v>2116.5</v>
          </cell>
          <cell r="I255">
            <v>1549.5500000000002</v>
          </cell>
          <cell r="J255">
            <v>2523.62</v>
          </cell>
          <cell r="K255">
            <v>1854.62</v>
          </cell>
          <cell r="L255">
            <v>3175.9700000000012</v>
          </cell>
          <cell r="M255">
            <v>2659.41</v>
          </cell>
          <cell r="N255">
            <v>2895.91</v>
          </cell>
          <cell r="O255">
            <v>1236.5799999999997</v>
          </cell>
          <cell r="P255">
            <v>2743.35</v>
          </cell>
          <cell r="Q255">
            <v>3080.25</v>
          </cell>
          <cell r="R255">
            <v>3047.53</v>
          </cell>
          <cell r="S255">
            <v>2378.5300000000002</v>
          </cell>
          <cell r="T255">
            <v>2295.8500000000004</v>
          </cell>
          <cell r="U255">
            <v>2584.46</v>
          </cell>
          <cell r="V255">
            <v>3767.3699999999994</v>
          </cell>
          <cell r="W255">
            <v>2021.24</v>
          </cell>
          <cell r="X255">
            <v>2398.3000000000002</v>
          </cell>
          <cell r="Y255">
            <v>2708.6500000000005</v>
          </cell>
          <cell r="Z255">
            <v>1690.8999999999999</v>
          </cell>
          <cell r="AA255">
            <v>2895.2200000000003</v>
          </cell>
          <cell r="AB255">
            <v>2070.89</v>
          </cell>
          <cell r="AC255">
            <v>2206.59</v>
          </cell>
          <cell r="AD255">
            <v>777.94</v>
          </cell>
          <cell r="AE255">
            <v>836.17</v>
          </cell>
          <cell r="AF255">
            <v>2946.6599999999994</v>
          </cell>
          <cell r="AG255">
            <v>2502.5599999999995</v>
          </cell>
          <cell r="AH255">
            <v>3030.3499999999995</v>
          </cell>
          <cell r="AI255">
            <v>2049.6899999999996</v>
          </cell>
          <cell r="AJ255">
            <v>2804.5999999999995</v>
          </cell>
          <cell r="AK255">
            <v>1796.8800000000003</v>
          </cell>
          <cell r="AL255">
            <v>1842.94</v>
          </cell>
          <cell r="AM255">
            <v>1555.3999999999999</v>
          </cell>
          <cell r="AN255">
            <v>1660.4299999999998</v>
          </cell>
          <cell r="AO255">
            <v>1947.22</v>
          </cell>
          <cell r="AP255">
            <v>1281.28</v>
          </cell>
          <cell r="AQ255">
            <v>2046.0000000000002</v>
          </cell>
          <cell r="AR255">
            <v>2172.54</v>
          </cell>
          <cell r="AS255">
            <v>1391.2</v>
          </cell>
          <cell r="AT255">
            <v>1739.45</v>
          </cell>
          <cell r="AU255">
            <v>2798.3999999999996</v>
          </cell>
          <cell r="AV255">
            <v>2449.8199999999997</v>
          </cell>
          <cell r="AW255">
            <v>1431.4599999999998</v>
          </cell>
          <cell r="AX255">
            <v>1434.02</v>
          </cell>
          <cell r="AY255">
            <v>2576.4300000000003</v>
          </cell>
          <cell r="AZ255">
            <v>2126.34</v>
          </cell>
          <cell r="BA255">
            <v>1658.9699999999998</v>
          </cell>
          <cell r="BB255">
            <v>2271.7299999999996</v>
          </cell>
          <cell r="BC255">
            <v>2236.5</v>
          </cell>
          <cell r="BD255">
            <v>2139.1299999999997</v>
          </cell>
          <cell r="BE255">
            <v>2287.91</v>
          </cell>
          <cell r="BF255">
            <v>2770.45</v>
          </cell>
          <cell r="BG255">
            <v>2562.85</v>
          </cell>
          <cell r="BH255">
            <v>3185.7300000000005</v>
          </cell>
          <cell r="BI255">
            <v>2485.23</v>
          </cell>
          <cell r="BJ255">
            <v>2731.16</v>
          </cell>
          <cell r="BK255">
            <v>2684.1200000000003</v>
          </cell>
          <cell r="BL255">
            <v>2780.64</v>
          </cell>
          <cell r="BM255">
            <v>1725.04</v>
          </cell>
          <cell r="BN255">
            <v>2080.4399999999996</v>
          </cell>
          <cell r="BO255">
            <v>3375.02</v>
          </cell>
          <cell r="BP255">
            <v>1127.8000000000002</v>
          </cell>
          <cell r="BQ255">
            <v>2649.29</v>
          </cell>
          <cell r="BR255">
            <v>2666.01</v>
          </cell>
          <cell r="BS255">
            <v>2351.5799999999995</v>
          </cell>
          <cell r="BT255">
            <v>3333.06</v>
          </cell>
          <cell r="BU255">
            <v>2547.54</v>
          </cell>
          <cell r="BV255">
            <v>2956.0600000000004</v>
          </cell>
          <cell r="BW255">
            <v>1990.7799999999997</v>
          </cell>
          <cell r="BX255">
            <v>2271.83</v>
          </cell>
          <cell r="BY255">
            <v>1774.02</v>
          </cell>
          <cell r="BZ255">
            <v>1800.32</v>
          </cell>
          <cell r="CA255">
            <v>2905.91</v>
          </cell>
          <cell r="CB255">
            <v>1739.3900000000003</v>
          </cell>
          <cell r="CC255">
            <v>2779.44</v>
          </cell>
          <cell r="CD255">
            <v>2127.8799999999997</v>
          </cell>
          <cell r="CE255">
            <v>1717.48</v>
          </cell>
          <cell r="CF255">
            <v>416.58</v>
          </cell>
          <cell r="CG255">
            <v>2338.33</v>
          </cell>
          <cell r="CH255">
            <v>1749.7199999999998</v>
          </cell>
          <cell r="CI255">
            <v>2742.09</v>
          </cell>
          <cell r="CJ255">
            <v>2244.5700000000002</v>
          </cell>
          <cell r="CK255">
            <v>1219.4000000000001</v>
          </cell>
          <cell r="CL255">
            <v>2996.97</v>
          </cell>
          <cell r="CM255">
            <v>2357.52</v>
          </cell>
          <cell r="CN255">
            <v>1531.1999999999998</v>
          </cell>
          <cell r="CO255">
            <v>3076.05</v>
          </cell>
          <cell r="CP255">
            <v>2360.17</v>
          </cell>
          <cell r="CQ255">
            <v>1153.7</v>
          </cell>
          <cell r="CR255">
            <v>1484.3400000000001</v>
          </cell>
          <cell r="CS255">
            <v>1789.86</v>
          </cell>
          <cell r="CT255">
            <v>2544.9</v>
          </cell>
          <cell r="CU255">
            <v>2288.9300000000003</v>
          </cell>
          <cell r="CV255">
            <v>3083.04</v>
          </cell>
          <cell r="CW255">
            <v>2066.19</v>
          </cell>
          <cell r="CX255">
            <v>1460.6599999999999</v>
          </cell>
          <cell r="CY255">
            <v>2157.61</v>
          </cell>
          <cell r="CZ255">
            <v>1802.6799999999998</v>
          </cell>
          <cell r="DA255">
            <v>1975.9199999999998</v>
          </cell>
          <cell r="DB255">
            <v>3932.17</v>
          </cell>
          <cell r="DC255">
            <v>2044.3799999999997</v>
          </cell>
          <cell r="DD255">
            <v>2223.9899999999998</v>
          </cell>
          <cell r="DE255">
            <v>1181.3999999999999</v>
          </cell>
          <cell r="DF255">
            <v>159.15000000000003</v>
          </cell>
          <cell r="DG255" t="str">
            <v>ACTIVO</v>
          </cell>
          <cell r="DH255" t="str">
            <v/>
          </cell>
          <cell r="DI255"/>
          <cell r="DJ255">
            <v>2121.6387999999997</v>
          </cell>
          <cell r="DK255">
            <v>353.60646666666662</v>
          </cell>
          <cell r="DL255">
            <v>582.10181716825332</v>
          </cell>
          <cell r="DM255">
            <v>0</v>
          </cell>
          <cell r="DN255" t="str">
            <v>0</v>
          </cell>
          <cell r="DO255">
            <v>0</v>
          </cell>
          <cell r="DP255" t="str">
            <v>INACTIVO</v>
          </cell>
          <cell r="DQ255">
            <v>0</v>
          </cell>
        </row>
        <row r="256">
          <cell r="B256">
            <v>362105</v>
          </cell>
          <cell r="C256" t="str">
            <v>HOJARASCA 19 CMS. PAVESI</v>
          </cell>
          <cell r="D256"/>
          <cell r="E256"/>
          <cell r="F256"/>
          <cell r="G256"/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>
            <v>6240</v>
          </cell>
          <cell r="CJ256">
            <v>12420</v>
          </cell>
          <cell r="CK256">
            <v>12312</v>
          </cell>
          <cell r="CL256">
            <v>38776</v>
          </cell>
          <cell r="CM256">
            <v>52893</v>
          </cell>
          <cell r="CN256">
            <v>25272</v>
          </cell>
          <cell r="CO256">
            <v>35082</v>
          </cell>
          <cell r="CP256">
            <v>34344</v>
          </cell>
          <cell r="CQ256">
            <v>26784</v>
          </cell>
          <cell r="CR256">
            <v>70740</v>
          </cell>
          <cell r="CS256">
            <v>35208</v>
          </cell>
          <cell r="CT256">
            <v>69228</v>
          </cell>
          <cell r="CU256">
            <v>145476</v>
          </cell>
          <cell r="CV256">
            <v>149688</v>
          </cell>
          <cell r="CW256">
            <v>116964</v>
          </cell>
          <cell r="CX256">
            <v>35928</v>
          </cell>
          <cell r="CY256">
            <v>66636</v>
          </cell>
          <cell r="CZ256">
            <v>56736</v>
          </cell>
          <cell r="DA256">
            <v>75600</v>
          </cell>
          <cell r="DB256">
            <v>36504</v>
          </cell>
          <cell r="DC256">
            <v>52164</v>
          </cell>
          <cell r="DD256">
            <v>30996</v>
          </cell>
          <cell r="DE256">
            <v>32508</v>
          </cell>
          <cell r="DF256"/>
          <cell r="DG256" t="str">
            <v>ACTIVO</v>
          </cell>
          <cell r="DH256" t="str">
            <v/>
          </cell>
          <cell r="DI256"/>
          <cell r="DJ256">
            <v>53908.681818181816</v>
          </cell>
          <cell r="DK256">
            <v>8984.7803030303021</v>
          </cell>
          <cell r="DL256">
            <v>0</v>
          </cell>
          <cell r="DM256">
            <v>10692</v>
          </cell>
          <cell r="DN256">
            <v>1907880.48</v>
          </cell>
          <cell r="DO256">
            <v>0.19833540052158913</v>
          </cell>
          <cell r="DP256" t="str">
            <v>COMPRAR</v>
          </cell>
          <cell r="DQ256">
            <v>26954.340909090904</v>
          </cell>
        </row>
        <row r="257">
          <cell r="B257">
            <v>300003</v>
          </cell>
          <cell r="C257" t="str">
            <v>GRANA CHOCOLATE</v>
          </cell>
          <cell r="D257"/>
          <cell r="E257"/>
          <cell r="F257"/>
          <cell r="G257"/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>
            <v>80</v>
          </cell>
          <cell r="DE257"/>
          <cell r="DF257"/>
          <cell r="DG257" t="str">
            <v>ACTIVO</v>
          </cell>
          <cell r="DH257" t="str">
            <v/>
          </cell>
          <cell r="DI257"/>
          <cell r="DJ257">
            <v>80</v>
          </cell>
          <cell r="DK257">
            <v>13.333333333333334</v>
          </cell>
          <cell r="DL257">
            <v>0</v>
          </cell>
          <cell r="DM257">
            <v>0</v>
          </cell>
          <cell r="DN257" t="str">
            <v>0</v>
          </cell>
          <cell r="DO257">
            <v>0</v>
          </cell>
          <cell r="DP257" t="str">
            <v>COMPRAR</v>
          </cell>
          <cell r="DQ257">
            <v>26.666666666666668</v>
          </cell>
        </row>
        <row r="258">
          <cell r="B258">
            <v>107112</v>
          </cell>
          <cell r="C258" t="str">
            <v>MERENGUE PURATOS</v>
          </cell>
          <cell r="D258">
            <v>100</v>
          </cell>
          <cell r="E258">
            <v>359</v>
          </cell>
          <cell r="F258">
            <v>85</v>
          </cell>
          <cell r="G258">
            <v>90</v>
          </cell>
          <cell r="H258">
            <v>80</v>
          </cell>
          <cell r="I258">
            <v>30</v>
          </cell>
          <cell r="J258">
            <v>65</v>
          </cell>
          <cell r="K258">
            <v>65</v>
          </cell>
          <cell r="L258">
            <v>75</v>
          </cell>
          <cell r="M258">
            <v>80</v>
          </cell>
          <cell r="N258">
            <v>55</v>
          </cell>
          <cell r="O258"/>
          <cell r="P258">
            <v>50</v>
          </cell>
          <cell r="Q258">
            <v>75</v>
          </cell>
          <cell r="R258">
            <v>65</v>
          </cell>
          <cell r="S258">
            <v>55</v>
          </cell>
          <cell r="T258">
            <v>45</v>
          </cell>
          <cell r="U258">
            <v>60</v>
          </cell>
          <cell r="V258">
            <v>60</v>
          </cell>
          <cell r="W258">
            <v>110</v>
          </cell>
          <cell r="X258">
            <v>30</v>
          </cell>
          <cell r="Y258"/>
          <cell r="Z258">
            <v>45</v>
          </cell>
          <cell r="AA258">
            <v>65</v>
          </cell>
          <cell r="AB258">
            <v>60</v>
          </cell>
          <cell r="AC258">
            <v>45</v>
          </cell>
          <cell r="AD258">
            <v>15</v>
          </cell>
          <cell r="AE258">
            <v>15</v>
          </cell>
          <cell r="AF258">
            <v>60</v>
          </cell>
          <cell r="AG258">
            <v>55</v>
          </cell>
          <cell r="AH258">
            <v>45</v>
          </cell>
          <cell r="AI258">
            <v>65</v>
          </cell>
          <cell r="AJ258">
            <v>60</v>
          </cell>
          <cell r="AK258">
            <v>55</v>
          </cell>
          <cell r="AL258">
            <v>60</v>
          </cell>
          <cell r="AM258">
            <v>60</v>
          </cell>
          <cell r="AN258">
            <v>60</v>
          </cell>
          <cell r="AO258">
            <v>75</v>
          </cell>
          <cell r="AP258">
            <v>50</v>
          </cell>
          <cell r="AQ258">
            <v>55</v>
          </cell>
          <cell r="AR258">
            <v>50</v>
          </cell>
          <cell r="AS258">
            <v>60</v>
          </cell>
          <cell r="AT258">
            <v>55</v>
          </cell>
          <cell r="AU258">
            <v>50</v>
          </cell>
          <cell r="AV258">
            <v>55</v>
          </cell>
          <cell r="AW258">
            <v>55</v>
          </cell>
          <cell r="AX258">
            <v>45</v>
          </cell>
          <cell r="AY258">
            <v>150</v>
          </cell>
          <cell r="AZ258">
            <v>60</v>
          </cell>
          <cell r="BA258">
            <v>55</v>
          </cell>
          <cell r="BB258">
            <v>60</v>
          </cell>
          <cell r="BC258">
            <v>60</v>
          </cell>
          <cell r="BD258">
            <v>120</v>
          </cell>
          <cell r="BE258">
            <v>55</v>
          </cell>
          <cell r="BF258">
            <v>50</v>
          </cell>
          <cell r="BG258">
            <v>220</v>
          </cell>
          <cell r="BH258">
            <v>75</v>
          </cell>
          <cell r="BI258">
            <v>65</v>
          </cell>
          <cell r="BJ258">
            <v>70</v>
          </cell>
          <cell r="BK258">
            <v>65</v>
          </cell>
          <cell r="BL258">
            <v>60</v>
          </cell>
          <cell r="BM258">
            <v>45</v>
          </cell>
          <cell r="BN258">
            <v>50</v>
          </cell>
          <cell r="BO258">
            <v>50</v>
          </cell>
          <cell r="BP258">
            <v>5</v>
          </cell>
          <cell r="BQ258">
            <v>75</v>
          </cell>
          <cell r="BR258">
            <v>55</v>
          </cell>
          <cell r="BS258">
            <v>80</v>
          </cell>
          <cell r="BT258">
            <v>255</v>
          </cell>
          <cell r="BU258">
            <v>55</v>
          </cell>
          <cell r="BV258">
            <v>60</v>
          </cell>
          <cell r="BW258">
            <v>80</v>
          </cell>
          <cell r="BX258">
            <v>60</v>
          </cell>
          <cell r="BY258">
            <v>55</v>
          </cell>
          <cell r="BZ258">
            <v>80</v>
          </cell>
          <cell r="CA258">
            <v>60</v>
          </cell>
          <cell r="CB258">
            <v>50</v>
          </cell>
          <cell r="CC258">
            <v>65</v>
          </cell>
          <cell r="CD258">
            <v>35</v>
          </cell>
          <cell r="CE258">
            <v>25</v>
          </cell>
          <cell r="CF258">
            <v>15</v>
          </cell>
          <cell r="CG258">
            <v>55</v>
          </cell>
          <cell r="CH258">
            <v>75</v>
          </cell>
          <cell r="CI258">
            <v>55</v>
          </cell>
          <cell r="CJ258">
            <v>75</v>
          </cell>
          <cell r="CK258">
            <v>70</v>
          </cell>
          <cell r="CL258">
            <v>80</v>
          </cell>
          <cell r="CM258">
            <v>45</v>
          </cell>
          <cell r="CN258">
            <v>80</v>
          </cell>
          <cell r="CO258">
            <v>55</v>
          </cell>
          <cell r="CP258">
            <v>55</v>
          </cell>
          <cell r="CQ258">
            <v>70</v>
          </cell>
          <cell r="CR258">
            <v>105</v>
          </cell>
          <cell r="CS258">
            <v>45</v>
          </cell>
          <cell r="CT258">
            <v>60</v>
          </cell>
          <cell r="CU258">
            <v>60</v>
          </cell>
          <cell r="CV258">
            <v>55</v>
          </cell>
          <cell r="CW258">
            <v>55</v>
          </cell>
          <cell r="CX258">
            <v>70</v>
          </cell>
          <cell r="CY258">
            <v>110</v>
          </cell>
          <cell r="CZ258">
            <v>65</v>
          </cell>
          <cell r="DA258">
            <v>445</v>
          </cell>
          <cell r="DB258">
            <v>55</v>
          </cell>
          <cell r="DC258">
            <v>480</v>
          </cell>
          <cell r="DD258">
            <v>245</v>
          </cell>
          <cell r="DE258">
            <v>210</v>
          </cell>
          <cell r="DF258">
            <v>10</v>
          </cell>
          <cell r="DG258" t="str">
            <v>ACTIVO</v>
          </cell>
          <cell r="DH258" t="str">
            <v>C</v>
          </cell>
          <cell r="DI258"/>
          <cell r="DJ258">
            <v>103.2</v>
          </cell>
          <cell r="DK258">
            <v>17.2</v>
          </cell>
          <cell r="DL258">
            <v>40.224560152691581</v>
          </cell>
          <cell r="DM258">
            <v>515</v>
          </cell>
          <cell r="DN258">
            <v>1397195</v>
          </cell>
          <cell r="DO258">
            <v>4.9903100775193794</v>
          </cell>
          <cell r="DP258" t="str">
            <v>OK</v>
          </cell>
          <cell r="DQ258">
            <v>68.8</v>
          </cell>
        </row>
        <row r="259">
          <cell r="B259">
            <v>405645</v>
          </cell>
          <cell r="C259" t="str">
            <v>BIZCOCHO # 20 BLANCO C/AMAPOLAS PAVESI</v>
          </cell>
          <cell r="D259"/>
          <cell r="E259"/>
          <cell r="F259"/>
          <cell r="G259"/>
          <cell r="H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>
            <v>8</v>
          </cell>
          <cell r="CT259">
            <v>8</v>
          </cell>
          <cell r="CU259"/>
          <cell r="CV259">
            <v>87</v>
          </cell>
          <cell r="CW259"/>
          <cell r="CX259">
            <v>21</v>
          </cell>
          <cell r="CY259">
            <v>19</v>
          </cell>
          <cell r="CZ259"/>
          <cell r="DA259"/>
          <cell r="DB259"/>
          <cell r="DC259"/>
          <cell r="DD259"/>
          <cell r="DE259"/>
          <cell r="DF259"/>
          <cell r="DG259" t="str">
            <v>ACTIVO</v>
          </cell>
          <cell r="DH259" t="str">
            <v/>
          </cell>
          <cell r="DI259"/>
          <cell r="DJ259">
            <v>28.6</v>
          </cell>
          <cell r="DK259">
            <v>4.7666666666666666</v>
          </cell>
          <cell r="DL259">
            <v>0</v>
          </cell>
          <cell r="DM259">
            <v>0</v>
          </cell>
          <cell r="DN259" t="str">
            <v>0</v>
          </cell>
          <cell r="DO259">
            <v>0</v>
          </cell>
          <cell r="DP259" t="str">
            <v>COMPRAR</v>
          </cell>
          <cell r="DQ259">
            <v>14.3</v>
          </cell>
        </row>
        <row r="260">
          <cell r="B260">
            <v>393222</v>
          </cell>
          <cell r="C260" t="str">
            <v>PLANCHA PANQUEQUE VAINILLA TERCEROS PAVESI</v>
          </cell>
          <cell r="D260">
            <v>930</v>
          </cell>
          <cell r="E260">
            <v>1000</v>
          </cell>
          <cell r="F260">
            <v>1040</v>
          </cell>
          <cell r="G260">
            <v>870</v>
          </cell>
          <cell r="H260">
            <v>850</v>
          </cell>
          <cell r="I260">
            <v>280</v>
          </cell>
          <cell r="J260">
            <v>810</v>
          </cell>
          <cell r="K260">
            <v>780</v>
          </cell>
          <cell r="L260">
            <v>1150</v>
          </cell>
          <cell r="M260">
            <v>830</v>
          </cell>
          <cell r="N260">
            <v>780</v>
          </cell>
          <cell r="O260"/>
          <cell r="P260">
            <v>810</v>
          </cell>
          <cell r="Q260">
            <v>1280</v>
          </cell>
          <cell r="R260">
            <v>710</v>
          </cell>
          <cell r="S260">
            <v>780</v>
          </cell>
          <cell r="T260">
            <v>630</v>
          </cell>
          <cell r="U260">
            <v>870</v>
          </cell>
          <cell r="V260">
            <v>990</v>
          </cell>
          <cell r="W260">
            <v>650</v>
          </cell>
          <cell r="X260">
            <v>450</v>
          </cell>
          <cell r="Y260"/>
          <cell r="Z260">
            <v>740</v>
          </cell>
          <cell r="AA260">
            <v>720</v>
          </cell>
          <cell r="AB260">
            <v>770</v>
          </cell>
          <cell r="AC260">
            <v>650</v>
          </cell>
          <cell r="AD260">
            <v>300</v>
          </cell>
          <cell r="AE260">
            <v>350</v>
          </cell>
          <cell r="AF260">
            <v>750</v>
          </cell>
          <cell r="AG260">
            <v>630</v>
          </cell>
          <cell r="AH260">
            <v>700</v>
          </cell>
          <cell r="AI260">
            <v>1050</v>
          </cell>
          <cell r="AJ260">
            <v>670</v>
          </cell>
          <cell r="AK260">
            <v>850</v>
          </cell>
          <cell r="AL260">
            <v>960</v>
          </cell>
          <cell r="AM260">
            <v>800</v>
          </cell>
          <cell r="AN260">
            <v>915</v>
          </cell>
          <cell r="AO260">
            <v>950</v>
          </cell>
          <cell r="AP260">
            <v>750</v>
          </cell>
          <cell r="AQ260">
            <v>860</v>
          </cell>
          <cell r="AR260">
            <v>1030</v>
          </cell>
          <cell r="AS260">
            <v>1040</v>
          </cell>
          <cell r="AT260">
            <v>930</v>
          </cell>
          <cell r="AU260">
            <v>1200</v>
          </cell>
          <cell r="AV260">
            <v>940</v>
          </cell>
          <cell r="AW260">
            <v>940</v>
          </cell>
          <cell r="AX260">
            <v>880</v>
          </cell>
          <cell r="AY260">
            <v>870</v>
          </cell>
          <cell r="AZ260">
            <v>1070</v>
          </cell>
          <cell r="BA260">
            <v>970</v>
          </cell>
          <cell r="BB260">
            <v>880</v>
          </cell>
          <cell r="BC260">
            <v>990</v>
          </cell>
          <cell r="BD260">
            <v>930</v>
          </cell>
          <cell r="BE260">
            <v>830</v>
          </cell>
          <cell r="BF260">
            <v>700</v>
          </cell>
          <cell r="BG260">
            <v>1025</v>
          </cell>
          <cell r="BH260">
            <v>1060</v>
          </cell>
          <cell r="BI260">
            <v>790</v>
          </cell>
          <cell r="BJ260">
            <v>710</v>
          </cell>
          <cell r="BK260">
            <v>820</v>
          </cell>
          <cell r="BL260">
            <v>850</v>
          </cell>
          <cell r="BM260">
            <v>800</v>
          </cell>
          <cell r="BN260">
            <v>850</v>
          </cell>
          <cell r="BO260">
            <v>820</v>
          </cell>
          <cell r="BP260">
            <v>70</v>
          </cell>
          <cell r="BQ260">
            <v>970</v>
          </cell>
          <cell r="BR260">
            <v>750</v>
          </cell>
          <cell r="BS260">
            <v>970</v>
          </cell>
          <cell r="BT260">
            <v>730</v>
          </cell>
          <cell r="BU260">
            <v>900</v>
          </cell>
          <cell r="BV260">
            <v>790</v>
          </cell>
          <cell r="BW260">
            <v>860</v>
          </cell>
          <cell r="BX260">
            <v>600</v>
          </cell>
          <cell r="BY260">
            <v>880</v>
          </cell>
          <cell r="BZ260">
            <v>860</v>
          </cell>
          <cell r="CA260">
            <v>880</v>
          </cell>
          <cell r="CB260">
            <v>640</v>
          </cell>
          <cell r="CC260">
            <v>890</v>
          </cell>
          <cell r="CD260">
            <v>560</v>
          </cell>
          <cell r="CE260">
            <v>320</v>
          </cell>
          <cell r="CF260">
            <v>230</v>
          </cell>
          <cell r="CG260">
            <v>700</v>
          </cell>
          <cell r="CH260">
            <v>690</v>
          </cell>
          <cell r="CI260">
            <v>670</v>
          </cell>
          <cell r="CJ260">
            <v>600</v>
          </cell>
          <cell r="CK260">
            <v>670</v>
          </cell>
          <cell r="CL260">
            <v>530</v>
          </cell>
          <cell r="CM260">
            <v>540</v>
          </cell>
          <cell r="CN260">
            <v>600</v>
          </cell>
          <cell r="CO260">
            <v>660</v>
          </cell>
          <cell r="CP260">
            <v>710</v>
          </cell>
          <cell r="CQ260">
            <v>780</v>
          </cell>
          <cell r="CR260">
            <v>870</v>
          </cell>
          <cell r="CS260">
            <v>830</v>
          </cell>
          <cell r="CT260">
            <v>670</v>
          </cell>
          <cell r="CU260">
            <v>1150</v>
          </cell>
          <cell r="CV260">
            <v>930</v>
          </cell>
          <cell r="CW260">
            <v>1010</v>
          </cell>
          <cell r="CX260">
            <v>840</v>
          </cell>
          <cell r="CY260">
            <v>1030</v>
          </cell>
          <cell r="CZ260">
            <v>790</v>
          </cell>
          <cell r="DA260">
            <v>930</v>
          </cell>
          <cell r="DB260">
            <v>1000</v>
          </cell>
          <cell r="DC260">
            <v>860</v>
          </cell>
          <cell r="DD260">
            <v>940</v>
          </cell>
          <cell r="DE260">
            <v>1030</v>
          </cell>
          <cell r="DF260">
            <v>150</v>
          </cell>
          <cell r="DG260" t="str">
            <v>ACTIVO</v>
          </cell>
          <cell r="DH260" t="str">
            <v>A</v>
          </cell>
          <cell r="DI260"/>
          <cell r="DJ260">
            <v>769.2</v>
          </cell>
          <cell r="DK260">
            <v>128.20000000000002</v>
          </cell>
          <cell r="DL260">
            <v>195.46625624251104</v>
          </cell>
          <cell r="DM260">
            <v>330</v>
          </cell>
          <cell r="DN260">
            <v>806652</v>
          </cell>
          <cell r="DO260">
            <v>0.42901716068642742</v>
          </cell>
          <cell r="DP260" t="str">
            <v>OK</v>
          </cell>
          <cell r="DQ260">
            <v>384.6</v>
          </cell>
        </row>
        <row r="261">
          <cell r="B261">
            <v>107210</v>
          </cell>
          <cell r="C261" t="str">
            <v>DISCO MERENGUE PAVESI</v>
          </cell>
          <cell r="D261"/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>
            <v>540</v>
          </cell>
          <cell r="BO261">
            <v>1044</v>
          </cell>
          <cell r="BP261"/>
          <cell r="BQ261">
            <v>3930</v>
          </cell>
          <cell r="BR261">
            <v>72</v>
          </cell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>
            <v>2088</v>
          </cell>
          <cell r="CM261"/>
          <cell r="CN261">
            <v>612</v>
          </cell>
          <cell r="CO261"/>
          <cell r="CP261">
            <v>1584</v>
          </cell>
          <cell r="CQ261">
            <v>504</v>
          </cell>
          <cell r="CR261">
            <v>828</v>
          </cell>
          <cell r="CS261"/>
          <cell r="CT261"/>
          <cell r="CU261"/>
          <cell r="CV261">
            <v>3744</v>
          </cell>
          <cell r="CW261"/>
          <cell r="CX261"/>
          <cell r="CY261"/>
          <cell r="CZ261"/>
          <cell r="DA261">
            <v>540</v>
          </cell>
          <cell r="DB261"/>
          <cell r="DC261"/>
          <cell r="DD261"/>
          <cell r="DE261"/>
          <cell r="DF261"/>
          <cell r="DG261" t="str">
            <v>ACTIVO</v>
          </cell>
          <cell r="DH261" t="str">
            <v>C</v>
          </cell>
          <cell r="DI261"/>
          <cell r="DJ261">
            <v>1414.2857142857142</v>
          </cell>
          <cell r="DK261">
            <v>235.71428571428569</v>
          </cell>
          <cell r="DL261">
            <v>1735.0092218775092</v>
          </cell>
          <cell r="DM261">
            <v>648</v>
          </cell>
          <cell r="DN261">
            <v>500035.68</v>
          </cell>
          <cell r="DO261">
            <v>0.45818181818181819</v>
          </cell>
          <cell r="DP261" t="str">
            <v>COMPRAR</v>
          </cell>
          <cell r="DQ261">
            <v>707.14285714285711</v>
          </cell>
        </row>
        <row r="262">
          <cell r="B262">
            <v>405345</v>
          </cell>
          <cell r="C262" t="str">
            <v>DISCO PANQUEQUE CHOCOLATE 18 CM ENCOMIENDA TOTTUS</v>
          </cell>
          <cell r="D262"/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>
            <v>576</v>
          </cell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 t="str">
            <v>ACTIVO</v>
          </cell>
          <cell r="DH262" t="str">
            <v>C</v>
          </cell>
          <cell r="DI262"/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 t="str">
            <v>0</v>
          </cell>
          <cell r="DO262">
            <v>0</v>
          </cell>
          <cell r="DP262" t="str">
            <v>COMPRAR</v>
          </cell>
          <cell r="DQ262">
            <v>0</v>
          </cell>
        </row>
        <row r="263">
          <cell r="B263">
            <v>393253</v>
          </cell>
          <cell r="C263" t="str">
            <v>SUB DISCO HOJA 10 PP</v>
          </cell>
          <cell r="D263"/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>
            <v>6000</v>
          </cell>
          <cell r="BY263">
            <v>1710</v>
          </cell>
          <cell r="BZ263">
            <v>720</v>
          </cell>
          <cell r="CA263">
            <v>1170</v>
          </cell>
          <cell r="CB263">
            <v>5310</v>
          </cell>
          <cell r="CC263"/>
          <cell r="CD263">
            <v>180</v>
          </cell>
          <cell r="CE263"/>
          <cell r="CF263"/>
          <cell r="CG263"/>
          <cell r="CH263">
            <v>360</v>
          </cell>
          <cell r="CI263">
            <v>10350</v>
          </cell>
          <cell r="CJ263">
            <v>6030</v>
          </cell>
          <cell r="CK263">
            <v>1070</v>
          </cell>
          <cell r="CL263"/>
          <cell r="CM263"/>
          <cell r="CN263">
            <v>540</v>
          </cell>
          <cell r="CO263">
            <v>13680</v>
          </cell>
          <cell r="CP263"/>
          <cell r="CQ263"/>
          <cell r="CR263">
            <v>1620</v>
          </cell>
          <cell r="CS263"/>
          <cell r="CT263"/>
          <cell r="CU263"/>
          <cell r="CV263"/>
          <cell r="CW263"/>
          <cell r="CX263">
            <v>6120</v>
          </cell>
          <cell r="CY263">
            <v>630</v>
          </cell>
          <cell r="CZ263"/>
          <cell r="DA263">
            <v>11880</v>
          </cell>
          <cell r="DB263"/>
          <cell r="DC263">
            <v>8370</v>
          </cell>
          <cell r="DD263">
            <v>5814</v>
          </cell>
          <cell r="DE263">
            <v>5040</v>
          </cell>
          <cell r="DF263"/>
          <cell r="DG263" t="str">
            <v>ACTIVO</v>
          </cell>
          <cell r="DH263" t="str">
            <v>C</v>
          </cell>
          <cell r="DI263"/>
          <cell r="DJ263">
            <v>5538.666666666667</v>
          </cell>
          <cell r="DK263">
            <v>923.1111111111112</v>
          </cell>
          <cell r="DL263">
            <v>2493.5336372305069</v>
          </cell>
          <cell r="DM263">
            <v>4050</v>
          </cell>
          <cell r="DN263">
            <v>573966</v>
          </cell>
          <cell r="DO263">
            <v>0.73122291766971592</v>
          </cell>
          <cell r="DP263" t="str">
            <v>OK</v>
          </cell>
          <cell r="DQ263">
            <v>1846.2222222222224</v>
          </cell>
        </row>
        <row r="264">
          <cell r="B264">
            <v>405658</v>
          </cell>
          <cell r="C264" t="str">
            <v>SUB DISCO PANQUEQUE VAINILLA 16 CM</v>
          </cell>
          <cell r="D264"/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>
            <v>1800</v>
          </cell>
          <cell r="CB264"/>
          <cell r="CC264">
            <v>900</v>
          </cell>
          <cell r="CD264"/>
          <cell r="CE264"/>
          <cell r="CF264"/>
          <cell r="CG264"/>
          <cell r="CH264">
            <v>720</v>
          </cell>
          <cell r="CI264"/>
          <cell r="CJ264">
            <v>5400</v>
          </cell>
          <cell r="CK264">
            <v>18000</v>
          </cell>
          <cell r="CL264">
            <v>648</v>
          </cell>
          <cell r="CM264"/>
          <cell r="CN264">
            <v>20520</v>
          </cell>
          <cell r="CO264"/>
          <cell r="CP264">
            <v>572</v>
          </cell>
          <cell r="CQ264">
            <v>5088</v>
          </cell>
          <cell r="CR264"/>
          <cell r="CS264">
            <v>11880</v>
          </cell>
          <cell r="CT264"/>
          <cell r="CU264"/>
          <cell r="CV264"/>
          <cell r="CW264"/>
          <cell r="CX264">
            <v>12360</v>
          </cell>
          <cell r="CY264">
            <v>2000</v>
          </cell>
          <cell r="CZ264">
            <v>12960</v>
          </cell>
          <cell r="DA264">
            <v>520</v>
          </cell>
          <cell r="DB264"/>
          <cell r="DC264">
            <v>12240</v>
          </cell>
          <cell r="DD264">
            <v>10890</v>
          </cell>
          <cell r="DE264">
            <v>9840</v>
          </cell>
          <cell r="DF264"/>
          <cell r="DG264" t="str">
            <v>ACTIVO</v>
          </cell>
          <cell r="DH264" t="str">
            <v>C</v>
          </cell>
          <cell r="DI264"/>
          <cell r="DJ264">
            <v>8128.4285714285716</v>
          </cell>
          <cell r="DK264">
            <v>1354.7380952380952</v>
          </cell>
          <cell r="DL264">
            <v>636.3961030678928</v>
          </cell>
          <cell r="DM264">
            <v>360</v>
          </cell>
          <cell r="DN264">
            <v>51548.4</v>
          </cell>
          <cell r="DO264">
            <v>4.4289003321675249E-2</v>
          </cell>
          <cell r="DP264" t="str">
            <v>COMPRAR</v>
          </cell>
          <cell r="DQ264">
            <v>2709.4761904761904</v>
          </cell>
        </row>
        <row r="265">
          <cell r="B265">
            <v>362073</v>
          </cell>
          <cell r="C265" t="str">
            <v>DISCO DE HOJA 15 PP 1X30</v>
          </cell>
          <cell r="D265"/>
          <cell r="E265"/>
          <cell r="F265"/>
          <cell r="G265"/>
          <cell r="H265"/>
          <cell r="I265"/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>
            <v>675</v>
          </cell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 t="str">
            <v>ACTIVO</v>
          </cell>
          <cell r="DH265" t="str">
            <v>C</v>
          </cell>
          <cell r="DI265"/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 t="str">
            <v>0</v>
          </cell>
          <cell r="DO265">
            <v>0</v>
          </cell>
          <cell r="DP265" t="str">
            <v>COMPRAR</v>
          </cell>
          <cell r="DQ265">
            <v>0</v>
          </cell>
        </row>
        <row r="266">
          <cell r="B266">
            <v>107321</v>
          </cell>
          <cell r="C266" t="str">
            <v>MERENGUE CONGELABLE PURATOS</v>
          </cell>
          <cell r="D266">
            <v>1625</v>
          </cell>
          <cell r="E266">
            <v>360</v>
          </cell>
          <cell r="F266">
            <v>815</v>
          </cell>
          <cell r="G266">
            <v>20</v>
          </cell>
          <cell r="H266">
            <v>1020</v>
          </cell>
          <cell r="I266">
            <v>1165</v>
          </cell>
          <cell r="J266">
            <v>895</v>
          </cell>
          <cell r="K266">
            <v>440</v>
          </cell>
          <cell r="L266">
            <v>1210</v>
          </cell>
          <cell r="M266">
            <v>545</v>
          </cell>
          <cell r="N266">
            <v>830</v>
          </cell>
          <cell r="O266">
            <v>530</v>
          </cell>
          <cell r="P266">
            <v>730</v>
          </cell>
          <cell r="Q266">
            <v>1010</v>
          </cell>
          <cell r="R266">
            <v>990</v>
          </cell>
          <cell r="S266">
            <v>915</v>
          </cell>
          <cell r="T266">
            <v>1315</v>
          </cell>
          <cell r="U266">
            <v>655</v>
          </cell>
          <cell r="V266">
            <v>1740</v>
          </cell>
          <cell r="W266">
            <v>20</v>
          </cell>
          <cell r="X266">
            <v>1055</v>
          </cell>
          <cell r="Y266">
            <v>2385</v>
          </cell>
          <cell r="Z266">
            <v>460</v>
          </cell>
          <cell r="AA266">
            <v>35</v>
          </cell>
          <cell r="AB266">
            <v>1450</v>
          </cell>
          <cell r="AC266">
            <v>125</v>
          </cell>
          <cell r="AD266">
            <v>1105</v>
          </cell>
          <cell r="AE266">
            <v>20</v>
          </cell>
          <cell r="AF266">
            <v>1181</v>
          </cell>
          <cell r="AG266">
            <v>845</v>
          </cell>
          <cell r="AH266">
            <v>724</v>
          </cell>
          <cell r="AI266">
            <v>1170</v>
          </cell>
          <cell r="AJ266">
            <v>635</v>
          </cell>
          <cell r="AK266">
            <v>175</v>
          </cell>
          <cell r="AL266">
            <v>40</v>
          </cell>
          <cell r="AM266">
            <v>80</v>
          </cell>
          <cell r="AN266">
            <v>330</v>
          </cell>
          <cell r="AO266">
            <v>75</v>
          </cell>
          <cell r="AP266">
            <v>70</v>
          </cell>
          <cell r="AQ266">
            <v>690</v>
          </cell>
          <cell r="AR266">
            <v>715</v>
          </cell>
          <cell r="AS266">
            <v>1115</v>
          </cell>
          <cell r="AT266">
            <v>1120</v>
          </cell>
          <cell r="AU266">
            <v>1115</v>
          </cell>
          <cell r="AV266">
            <v>1400</v>
          </cell>
          <cell r="AW266">
            <v>815</v>
          </cell>
          <cell r="AX266">
            <v>1125</v>
          </cell>
          <cell r="AY266">
            <v>1295</v>
          </cell>
          <cell r="AZ266">
            <v>775</v>
          </cell>
          <cell r="BA266">
            <v>830</v>
          </cell>
          <cell r="BB266">
            <v>1010</v>
          </cell>
          <cell r="BC266">
            <v>1015</v>
          </cell>
          <cell r="BD266">
            <v>1310</v>
          </cell>
          <cell r="BE266">
            <v>1075</v>
          </cell>
          <cell r="BF266">
            <v>585</v>
          </cell>
          <cell r="BG266">
            <v>860</v>
          </cell>
          <cell r="BH266">
            <v>1340</v>
          </cell>
          <cell r="BI266">
            <v>595</v>
          </cell>
          <cell r="BJ266">
            <v>1650</v>
          </cell>
          <cell r="BK266">
            <v>550</v>
          </cell>
          <cell r="BL266">
            <v>875</v>
          </cell>
          <cell r="BM266">
            <v>1250</v>
          </cell>
          <cell r="BN266">
            <v>360</v>
          </cell>
          <cell r="BO266">
            <v>970</v>
          </cell>
          <cell r="BP266">
            <v>255</v>
          </cell>
          <cell r="BQ266">
            <v>960</v>
          </cell>
          <cell r="BR266">
            <v>775</v>
          </cell>
          <cell r="BS266">
            <v>1090</v>
          </cell>
          <cell r="BT266">
            <v>1015</v>
          </cell>
          <cell r="BU266">
            <v>735</v>
          </cell>
          <cell r="BV266">
            <v>580</v>
          </cell>
          <cell r="BW266">
            <v>90</v>
          </cell>
          <cell r="BX266">
            <v>700</v>
          </cell>
          <cell r="BY266">
            <v>765</v>
          </cell>
          <cell r="BZ266">
            <v>860</v>
          </cell>
          <cell r="CA266">
            <v>640</v>
          </cell>
          <cell r="CB266">
            <v>510</v>
          </cell>
          <cell r="CC266">
            <v>845</v>
          </cell>
          <cell r="CD266">
            <v>295</v>
          </cell>
          <cell r="CE266">
            <v>555</v>
          </cell>
          <cell r="CF266">
            <v>20</v>
          </cell>
          <cell r="CG266">
            <v>890</v>
          </cell>
          <cell r="CH266">
            <v>985</v>
          </cell>
          <cell r="CI266">
            <v>710</v>
          </cell>
          <cell r="CJ266">
            <v>740</v>
          </cell>
          <cell r="CK266">
            <v>20</v>
          </cell>
          <cell r="CL266">
            <v>1225</v>
          </cell>
          <cell r="CM266">
            <v>1165</v>
          </cell>
          <cell r="CN266">
            <v>580</v>
          </cell>
          <cell r="CO266">
            <v>615</v>
          </cell>
          <cell r="CP266">
            <v>575</v>
          </cell>
          <cell r="CQ266">
            <v>605</v>
          </cell>
          <cell r="CR266">
            <v>590</v>
          </cell>
          <cell r="CS266">
            <v>15</v>
          </cell>
          <cell r="CT266">
            <v>1215</v>
          </cell>
          <cell r="CU266">
            <v>400</v>
          </cell>
          <cell r="CV266">
            <v>1385</v>
          </cell>
          <cell r="CW266">
            <v>235</v>
          </cell>
          <cell r="CX266">
            <v>910</v>
          </cell>
          <cell r="CY266">
            <v>405</v>
          </cell>
          <cell r="CZ266">
            <v>575</v>
          </cell>
          <cell r="DA266">
            <v>620</v>
          </cell>
          <cell r="DB266">
            <v>640</v>
          </cell>
          <cell r="DC266">
            <v>490</v>
          </cell>
          <cell r="DD266">
            <v>480</v>
          </cell>
          <cell r="DE266">
            <v>735</v>
          </cell>
          <cell r="DF266"/>
          <cell r="DG266" t="str">
            <v>ACTIVO</v>
          </cell>
          <cell r="DH266" t="str">
            <v>A</v>
          </cell>
          <cell r="DI266"/>
          <cell r="DJ266">
            <v>643.6</v>
          </cell>
          <cell r="DK266">
            <v>107.26666666666667</v>
          </cell>
          <cell r="DL266">
            <v>395.40045839170637</v>
          </cell>
          <cell r="DM266">
            <v>790</v>
          </cell>
          <cell r="DN266">
            <v>2077700</v>
          </cell>
          <cell r="DO266">
            <v>1.2274704785581105</v>
          </cell>
          <cell r="DP266" t="str">
            <v>OK</v>
          </cell>
          <cell r="DQ266">
            <v>429.06666666666666</v>
          </cell>
        </row>
        <row r="267">
          <cell r="B267">
            <v>353009</v>
          </cell>
          <cell r="C267" t="str">
            <v>DISCO PANQUEQUE VAINILLA 19 CM. SEMI ELABORADO UND</v>
          </cell>
          <cell r="D267">
            <v>23832</v>
          </cell>
          <cell r="E267">
            <v>5544</v>
          </cell>
          <cell r="F267">
            <v>16776</v>
          </cell>
          <cell r="G267">
            <v>14400</v>
          </cell>
          <cell r="H267">
            <v>11520</v>
          </cell>
          <cell r="I267">
            <v>4752</v>
          </cell>
          <cell r="J267">
            <v>14400</v>
          </cell>
          <cell r="K267">
            <v>4248</v>
          </cell>
          <cell r="L267">
            <v>15984</v>
          </cell>
          <cell r="M267">
            <v>16920</v>
          </cell>
          <cell r="N267">
            <v>20736</v>
          </cell>
          <cell r="O267">
            <v>6480</v>
          </cell>
          <cell r="P267">
            <v>6984</v>
          </cell>
          <cell r="Q267">
            <v>9864</v>
          </cell>
          <cell r="R267">
            <v>3456</v>
          </cell>
          <cell r="S267">
            <v>10584</v>
          </cell>
          <cell r="T267">
            <v>8784</v>
          </cell>
          <cell r="U267">
            <v>1768</v>
          </cell>
          <cell r="V267">
            <v>7272</v>
          </cell>
          <cell r="W267"/>
          <cell r="X267">
            <v>2880</v>
          </cell>
          <cell r="Y267"/>
          <cell r="Z267"/>
          <cell r="AA267"/>
          <cell r="AB267"/>
          <cell r="AC267">
            <v>8640</v>
          </cell>
          <cell r="AD267">
            <v>3238</v>
          </cell>
          <cell r="AE267">
            <v>9504</v>
          </cell>
          <cell r="AF267">
            <v>8422</v>
          </cell>
          <cell r="AG267">
            <v>2160</v>
          </cell>
          <cell r="AH267">
            <v>15768</v>
          </cell>
          <cell r="AI267">
            <v>25786</v>
          </cell>
          <cell r="AJ267"/>
          <cell r="AK267">
            <v>7704</v>
          </cell>
          <cell r="AL267">
            <v>13032</v>
          </cell>
          <cell r="AM267"/>
          <cell r="AN267">
            <v>15264</v>
          </cell>
          <cell r="AO267">
            <v>21024</v>
          </cell>
          <cell r="AP267">
            <v>11520</v>
          </cell>
          <cell r="AQ267">
            <v>11664</v>
          </cell>
          <cell r="AR267">
            <v>4752</v>
          </cell>
          <cell r="AS267">
            <v>72</v>
          </cell>
          <cell r="AT267"/>
          <cell r="AU267">
            <v>12474</v>
          </cell>
          <cell r="AV267">
            <v>12456</v>
          </cell>
          <cell r="AW267">
            <v>20808</v>
          </cell>
          <cell r="AX267">
            <v>11952</v>
          </cell>
          <cell r="AY267">
            <v>12097</v>
          </cell>
          <cell r="AZ267">
            <v>4320</v>
          </cell>
          <cell r="BA267"/>
          <cell r="BB267">
            <v>8568</v>
          </cell>
          <cell r="BC267">
            <v>1440</v>
          </cell>
          <cell r="BD267">
            <v>11660</v>
          </cell>
          <cell r="BE267">
            <v>15264</v>
          </cell>
          <cell r="BF267">
            <v>5328</v>
          </cell>
          <cell r="BG267">
            <v>2304</v>
          </cell>
          <cell r="BH267"/>
          <cell r="BI267">
            <v>6264</v>
          </cell>
          <cell r="BJ267">
            <v>792</v>
          </cell>
          <cell r="BK267">
            <v>8208</v>
          </cell>
          <cell r="BL267">
            <v>1008</v>
          </cell>
          <cell r="BM267">
            <v>4824</v>
          </cell>
          <cell r="BN267">
            <v>9720</v>
          </cell>
          <cell r="BO267">
            <v>4752</v>
          </cell>
          <cell r="BP267">
            <v>4752</v>
          </cell>
          <cell r="BQ267">
            <v>8856</v>
          </cell>
          <cell r="BR267">
            <v>11808</v>
          </cell>
          <cell r="BS267">
            <v>10008</v>
          </cell>
          <cell r="BT267">
            <v>6768</v>
          </cell>
          <cell r="BU267">
            <v>14832</v>
          </cell>
          <cell r="BV267">
            <v>2160</v>
          </cell>
          <cell r="BW267">
            <v>1440</v>
          </cell>
          <cell r="BX267">
            <v>3672</v>
          </cell>
          <cell r="BY267"/>
          <cell r="BZ267">
            <v>13230</v>
          </cell>
          <cell r="CA267">
            <v>30744</v>
          </cell>
          <cell r="CB267">
            <v>13536</v>
          </cell>
          <cell r="CC267">
            <v>720</v>
          </cell>
          <cell r="CD267"/>
          <cell r="CE267">
            <v>4200</v>
          </cell>
          <cell r="CF267"/>
          <cell r="CG267">
            <v>18312</v>
          </cell>
          <cell r="CH267"/>
          <cell r="CI267">
            <v>24984</v>
          </cell>
          <cell r="CJ267"/>
          <cell r="CK267"/>
          <cell r="CL267"/>
          <cell r="CM267"/>
          <cell r="CN267">
            <v>3888</v>
          </cell>
          <cell r="CO267"/>
          <cell r="CP267">
            <v>8136</v>
          </cell>
          <cell r="CQ267"/>
          <cell r="CR267">
            <v>1292</v>
          </cell>
          <cell r="CS267">
            <v>4320</v>
          </cell>
          <cell r="CT267">
            <v>12528</v>
          </cell>
          <cell r="CU267">
            <v>23616</v>
          </cell>
          <cell r="CV267">
            <v>23112</v>
          </cell>
          <cell r="CW267">
            <v>4752</v>
          </cell>
          <cell r="CX267">
            <v>11904</v>
          </cell>
          <cell r="CY267">
            <v>19152</v>
          </cell>
          <cell r="CZ267">
            <v>14280</v>
          </cell>
          <cell r="DA267">
            <v>16800</v>
          </cell>
          <cell r="DB267">
            <v>7848</v>
          </cell>
          <cell r="DC267"/>
          <cell r="DD267">
            <v>23904</v>
          </cell>
          <cell r="DE267">
            <v>10224</v>
          </cell>
          <cell r="DF267">
            <v>19152</v>
          </cell>
          <cell r="DG267" t="str">
            <v>INSUMO</v>
          </cell>
          <cell r="DH267" t="str">
            <v>A</v>
          </cell>
          <cell r="DI267"/>
          <cell r="DJ267">
            <v>13676.75</v>
          </cell>
          <cell r="DK267">
            <v>2279.4583333333335</v>
          </cell>
          <cell r="DL267">
            <v>6709.8565101614895</v>
          </cell>
          <cell r="DM267">
            <v>1296</v>
          </cell>
          <cell r="DN267">
            <v>192741.12</v>
          </cell>
          <cell r="DO267">
            <v>9.475935437878151E-2</v>
          </cell>
          <cell r="DP267" t="str">
            <v>COMPRAR</v>
          </cell>
          <cell r="DQ267">
            <v>4558.916666666667</v>
          </cell>
        </row>
        <row r="268">
          <cell r="B268">
            <v>362029</v>
          </cell>
          <cell r="C268" t="str">
            <v>PLANCHA DE HOJA  42X36X1 cm (1x12)</v>
          </cell>
          <cell r="D268">
            <v>524</v>
          </cell>
          <cell r="E268">
            <v>376</v>
          </cell>
          <cell r="F268">
            <v>724</v>
          </cell>
          <cell r="G268">
            <v>752</v>
          </cell>
          <cell r="H268">
            <v>684</v>
          </cell>
          <cell r="I268">
            <v>412</v>
          </cell>
          <cell r="J268">
            <v>972</v>
          </cell>
          <cell r="K268">
            <v>972</v>
          </cell>
          <cell r="L268">
            <v>1156</v>
          </cell>
          <cell r="M268">
            <v>1076</v>
          </cell>
          <cell r="N268">
            <v>695</v>
          </cell>
          <cell r="O268">
            <v>176</v>
          </cell>
          <cell r="P268">
            <v>1213</v>
          </cell>
          <cell r="Q268">
            <v>905</v>
          </cell>
          <cell r="R268">
            <v>662</v>
          </cell>
          <cell r="S268">
            <v>1102</v>
          </cell>
          <cell r="T268">
            <v>112</v>
          </cell>
          <cell r="U268">
            <v>880</v>
          </cell>
          <cell r="V268">
            <v>932</v>
          </cell>
          <cell r="W268">
            <v>1160</v>
          </cell>
          <cell r="X268">
            <v>460</v>
          </cell>
          <cell r="Y268">
            <v>192</v>
          </cell>
          <cell r="Z268">
            <v>1236</v>
          </cell>
          <cell r="AA268">
            <v>372</v>
          </cell>
          <cell r="AB268">
            <v>292</v>
          </cell>
          <cell r="AC268"/>
          <cell r="AD268"/>
          <cell r="AE268"/>
          <cell r="AF268"/>
          <cell r="AG268"/>
          <cell r="AH268">
            <v>44</v>
          </cell>
          <cell r="AI268">
            <v>508</v>
          </cell>
          <cell r="AJ268">
            <v>928</v>
          </cell>
          <cell r="AK268">
            <v>468</v>
          </cell>
          <cell r="AL268">
            <v>544</v>
          </cell>
          <cell r="AM268">
            <v>420</v>
          </cell>
          <cell r="AN268"/>
          <cell r="AO268"/>
          <cell r="AP268"/>
          <cell r="AQ268"/>
          <cell r="AR268">
            <v>1344</v>
          </cell>
          <cell r="AS268"/>
          <cell r="AT268">
            <v>1008</v>
          </cell>
          <cell r="AU268">
            <v>260</v>
          </cell>
          <cell r="AV268">
            <v>684</v>
          </cell>
          <cell r="AW268">
            <v>1152</v>
          </cell>
          <cell r="AX268">
            <v>528</v>
          </cell>
          <cell r="AY268">
            <v>1064</v>
          </cell>
          <cell r="AZ268">
            <v>1492</v>
          </cell>
          <cell r="BA268">
            <v>412</v>
          </cell>
          <cell r="BB268">
            <v>1288</v>
          </cell>
          <cell r="BC268">
            <v>12</v>
          </cell>
          <cell r="BD268">
            <v>804</v>
          </cell>
          <cell r="BE268">
            <v>820</v>
          </cell>
          <cell r="BF268">
            <v>956</v>
          </cell>
          <cell r="BG268">
            <v>1352</v>
          </cell>
          <cell r="BH268">
            <v>1212</v>
          </cell>
          <cell r="BI268">
            <v>476</v>
          </cell>
          <cell r="BJ268">
            <v>452</v>
          </cell>
          <cell r="BK268">
            <v>1100</v>
          </cell>
          <cell r="BL268">
            <v>1564</v>
          </cell>
          <cell r="BM268">
            <v>236</v>
          </cell>
          <cell r="BN268">
            <v>1064</v>
          </cell>
          <cell r="BO268">
            <v>1084</v>
          </cell>
          <cell r="BP268">
            <v>636</v>
          </cell>
          <cell r="BQ268">
            <v>104</v>
          </cell>
          <cell r="BR268">
            <v>708</v>
          </cell>
          <cell r="BS268">
            <v>592</v>
          </cell>
          <cell r="BT268">
            <v>624</v>
          </cell>
          <cell r="BU268">
            <v>1164</v>
          </cell>
          <cell r="BV268">
            <v>1068</v>
          </cell>
          <cell r="BW268">
            <v>1024</v>
          </cell>
          <cell r="BX268">
            <v>812</v>
          </cell>
          <cell r="BY268">
            <v>1092</v>
          </cell>
          <cell r="BZ268">
            <v>1392</v>
          </cell>
          <cell r="CA268">
            <v>752</v>
          </cell>
          <cell r="CB268">
            <v>760</v>
          </cell>
          <cell r="CC268">
            <v>276</v>
          </cell>
          <cell r="CD268"/>
          <cell r="CE268">
            <v>268</v>
          </cell>
          <cell r="CF268">
            <v>64</v>
          </cell>
          <cell r="CG268">
            <v>760</v>
          </cell>
          <cell r="CH268">
            <v>816</v>
          </cell>
          <cell r="CI268">
            <v>800</v>
          </cell>
          <cell r="CJ268">
            <v>932</v>
          </cell>
          <cell r="CK268">
            <v>868</v>
          </cell>
          <cell r="CL268">
            <v>840</v>
          </cell>
          <cell r="CM268">
            <v>924</v>
          </cell>
          <cell r="CN268">
            <v>1012</v>
          </cell>
          <cell r="CO268">
            <v>944</v>
          </cell>
          <cell r="CP268">
            <v>1344</v>
          </cell>
          <cell r="CQ268">
            <v>984</v>
          </cell>
          <cell r="CR268">
            <v>536</v>
          </cell>
          <cell r="CS268"/>
          <cell r="CT268">
            <v>1008</v>
          </cell>
          <cell r="CU268">
            <v>1024</v>
          </cell>
          <cell r="CV268">
            <v>1000</v>
          </cell>
          <cell r="CW268">
            <v>824</v>
          </cell>
          <cell r="CX268">
            <v>1128</v>
          </cell>
          <cell r="CY268">
            <v>1480</v>
          </cell>
          <cell r="CZ268">
            <v>1020</v>
          </cell>
          <cell r="DA268">
            <v>1244</v>
          </cell>
          <cell r="DB268">
            <v>1008</v>
          </cell>
          <cell r="DC268">
            <v>772</v>
          </cell>
          <cell r="DD268">
            <v>1040</v>
          </cell>
          <cell r="DE268">
            <v>760</v>
          </cell>
          <cell r="DF268">
            <v>452</v>
          </cell>
          <cell r="DG268" t="str">
            <v>INSUMO</v>
          </cell>
          <cell r="DH268" t="str">
            <v>B</v>
          </cell>
          <cell r="DI268"/>
          <cell r="DJ268">
            <v>932.16666666666663</v>
          </cell>
          <cell r="DK268">
            <v>155.36111111111111</v>
          </cell>
          <cell r="DL268">
            <v>406.26862878088571</v>
          </cell>
          <cell r="DM268">
            <v>292</v>
          </cell>
          <cell r="DN268">
            <v>311861.84000000003</v>
          </cell>
          <cell r="DO268">
            <v>0.3132487037368139</v>
          </cell>
          <cell r="DP268" t="str">
            <v>COMPRAR</v>
          </cell>
          <cell r="DQ268">
            <v>310.72222222222223</v>
          </cell>
        </row>
        <row r="269">
          <cell r="B269">
            <v>393040</v>
          </cell>
          <cell r="C269" t="str">
            <v>SUB DISCO HOJA 15 PP</v>
          </cell>
          <cell r="D269">
            <v>11925</v>
          </cell>
          <cell r="E269">
            <v>8955</v>
          </cell>
          <cell r="F269">
            <v>20610</v>
          </cell>
          <cell r="G269">
            <v>20430</v>
          </cell>
          <cell r="H269">
            <v>29790</v>
          </cell>
          <cell r="I269">
            <v>33255</v>
          </cell>
          <cell r="J269">
            <v>22095</v>
          </cell>
          <cell r="K269">
            <v>21870</v>
          </cell>
          <cell r="L269">
            <v>17325</v>
          </cell>
          <cell r="M269">
            <v>10890</v>
          </cell>
          <cell r="N269">
            <v>20910</v>
          </cell>
          <cell r="O269">
            <v>1936.35</v>
          </cell>
          <cell r="P269">
            <v>24435</v>
          </cell>
          <cell r="Q269">
            <v>9240</v>
          </cell>
          <cell r="R269">
            <v>15975</v>
          </cell>
          <cell r="S269">
            <v>7965</v>
          </cell>
          <cell r="T269">
            <v>9510</v>
          </cell>
          <cell r="U269">
            <v>20385</v>
          </cell>
          <cell r="V269">
            <v>10845</v>
          </cell>
          <cell r="W269">
            <v>27495</v>
          </cell>
          <cell r="X269">
            <v>4050</v>
          </cell>
          <cell r="Y269">
            <v>22410</v>
          </cell>
          <cell r="Z269">
            <v>11700</v>
          </cell>
          <cell r="AA269">
            <v>4050</v>
          </cell>
          <cell r="AB269">
            <v>5985</v>
          </cell>
          <cell r="AC269">
            <v>14979</v>
          </cell>
          <cell r="AD269"/>
          <cell r="AE269"/>
          <cell r="AF269">
            <v>6525</v>
          </cell>
          <cell r="AG269">
            <v>4950</v>
          </cell>
          <cell r="AH269">
            <v>14850</v>
          </cell>
          <cell r="AI269">
            <v>9775</v>
          </cell>
          <cell r="AJ269">
            <v>405</v>
          </cell>
          <cell r="AK269">
            <v>4500</v>
          </cell>
          <cell r="AL269">
            <v>9270</v>
          </cell>
          <cell r="AM269">
            <v>8550</v>
          </cell>
          <cell r="AN269">
            <v>10575</v>
          </cell>
          <cell r="AO269">
            <v>11745</v>
          </cell>
          <cell r="AP269">
            <v>3015</v>
          </cell>
          <cell r="AQ269">
            <v>13860</v>
          </cell>
          <cell r="AR269">
            <v>15345</v>
          </cell>
          <cell r="AS269">
            <v>6930</v>
          </cell>
          <cell r="AT269">
            <v>11925</v>
          </cell>
          <cell r="AU269">
            <v>20880</v>
          </cell>
          <cell r="AV269">
            <v>19215</v>
          </cell>
          <cell r="AW269">
            <v>31905</v>
          </cell>
          <cell r="AX269">
            <v>7020</v>
          </cell>
          <cell r="AY269"/>
          <cell r="AZ269">
            <v>14760</v>
          </cell>
          <cell r="BA269">
            <v>10665</v>
          </cell>
          <cell r="BB269">
            <v>5580</v>
          </cell>
          <cell r="BC269">
            <v>24930</v>
          </cell>
          <cell r="BD269">
            <v>28935</v>
          </cell>
          <cell r="BE269">
            <v>30885</v>
          </cell>
          <cell r="BF269">
            <v>3915</v>
          </cell>
          <cell r="BG269">
            <v>555</v>
          </cell>
          <cell r="BH269">
            <v>1620</v>
          </cell>
          <cell r="BI269">
            <v>7605</v>
          </cell>
          <cell r="BJ269">
            <v>990</v>
          </cell>
          <cell r="BK269">
            <v>8820</v>
          </cell>
          <cell r="BL269">
            <v>2070</v>
          </cell>
          <cell r="BM269">
            <v>2520</v>
          </cell>
          <cell r="BN269">
            <v>21051</v>
          </cell>
          <cell r="BO269">
            <v>14490</v>
          </cell>
          <cell r="BP269">
            <v>405</v>
          </cell>
          <cell r="BQ269">
            <v>7479</v>
          </cell>
          <cell r="BR269">
            <v>1845</v>
          </cell>
          <cell r="BS269">
            <v>15880</v>
          </cell>
          <cell r="BT269">
            <v>3285</v>
          </cell>
          <cell r="BU269">
            <v>12195</v>
          </cell>
          <cell r="BV269">
            <v>495</v>
          </cell>
          <cell r="BW269">
            <v>7200</v>
          </cell>
          <cell r="BX269">
            <v>13410</v>
          </cell>
          <cell r="BY269">
            <v>1845</v>
          </cell>
          <cell r="BZ269">
            <v>450</v>
          </cell>
          <cell r="CA269">
            <v>13635</v>
          </cell>
          <cell r="CB269">
            <v>6390</v>
          </cell>
          <cell r="CC269">
            <v>9675</v>
          </cell>
          <cell r="CD269">
            <v>675</v>
          </cell>
          <cell r="CE269"/>
          <cell r="CF269"/>
          <cell r="CG269">
            <v>455</v>
          </cell>
          <cell r="CH269">
            <v>11605</v>
          </cell>
          <cell r="CI269">
            <v>4585</v>
          </cell>
          <cell r="CJ269">
            <v>8775</v>
          </cell>
          <cell r="CK269">
            <v>3195</v>
          </cell>
          <cell r="CL269">
            <v>450</v>
          </cell>
          <cell r="CM269"/>
          <cell r="CN269">
            <v>495</v>
          </cell>
          <cell r="CO269"/>
          <cell r="CP269">
            <v>17550</v>
          </cell>
          <cell r="CQ269">
            <v>12600</v>
          </cell>
          <cell r="CR269">
            <v>7155</v>
          </cell>
          <cell r="CS269">
            <v>9900</v>
          </cell>
          <cell r="CT269">
            <v>9000</v>
          </cell>
          <cell r="CU269"/>
          <cell r="CV269"/>
          <cell r="CW269"/>
          <cell r="CX269"/>
          <cell r="CY269">
            <v>10485</v>
          </cell>
          <cell r="CZ269">
            <v>6228</v>
          </cell>
          <cell r="DA269"/>
          <cell r="DB269"/>
          <cell r="DC269"/>
          <cell r="DD269">
            <v>3600</v>
          </cell>
          <cell r="DE269">
            <v>1440</v>
          </cell>
          <cell r="DF269"/>
          <cell r="DG269" t="str">
            <v>INSUMO</v>
          </cell>
          <cell r="DH269" t="str">
            <v>A</v>
          </cell>
          <cell r="DI269"/>
          <cell r="DJ269">
            <v>7071.8666666666668</v>
          </cell>
          <cell r="DK269">
            <v>1178.6444444444444</v>
          </cell>
          <cell r="DL269">
            <v>8105.2237709733236</v>
          </cell>
          <cell r="DM269">
            <v>0</v>
          </cell>
          <cell r="DN269" t="str">
            <v>0</v>
          </cell>
          <cell r="DO269">
            <v>0</v>
          </cell>
          <cell r="DP269" t="str">
            <v>COMPRAR</v>
          </cell>
          <cell r="DQ269">
            <v>2357.2888888888888</v>
          </cell>
        </row>
        <row r="270">
          <cell r="B270">
            <v>405344</v>
          </cell>
          <cell r="C270" t="str">
            <v>DISCO DE PANQUEQUE VAINILLA 18 CM ENCOMIENDA TOTTUS</v>
          </cell>
          <cell r="D270"/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  <cell r="T270"/>
          <cell r="U270">
            <v>6532</v>
          </cell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 t="str">
            <v>INSUMO</v>
          </cell>
          <cell r="DH270" t="str">
            <v/>
          </cell>
          <cell r="DI270"/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 t="str">
            <v>0</v>
          </cell>
          <cell r="DO270">
            <v>0</v>
          </cell>
          <cell r="DP270" t="str">
            <v>COMPRAR</v>
          </cell>
          <cell r="DQ270">
            <v>0</v>
          </cell>
        </row>
        <row r="271">
          <cell r="B271">
            <v>362099</v>
          </cell>
          <cell r="C271" t="str">
            <v>GRANA DE HOJA</v>
          </cell>
          <cell r="D271"/>
          <cell r="E271"/>
          <cell r="F271"/>
          <cell r="G271"/>
          <cell r="H271"/>
          <cell r="I271"/>
          <cell r="J271"/>
          <cell r="K271"/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>
            <v>30</v>
          </cell>
          <cell r="AA271">
            <v>40</v>
          </cell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 t="str">
            <v>INSUMO</v>
          </cell>
          <cell r="DH271" t="str">
            <v/>
          </cell>
          <cell r="DI271"/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 t="str">
            <v>0</v>
          </cell>
          <cell r="DO271">
            <v>0</v>
          </cell>
          <cell r="DP271" t="str">
            <v>COMPRAR</v>
          </cell>
          <cell r="DQ271">
            <v>0</v>
          </cell>
        </row>
        <row r="272">
          <cell r="B272">
            <v>430440</v>
          </cell>
          <cell r="C272" t="str">
            <v>PLANCHA PANQUEQUE VAINILLA OBERENA</v>
          </cell>
          <cell r="D272"/>
          <cell r="E272"/>
          <cell r="F272"/>
          <cell r="G272"/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>
            <v>60</v>
          </cell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 t="str">
            <v>SIN USO</v>
          </cell>
          <cell r="DH272" t="str">
            <v/>
          </cell>
          <cell r="DI272"/>
          <cell r="DJ272">
            <v>60</v>
          </cell>
          <cell r="DK272">
            <v>10</v>
          </cell>
          <cell r="DL272">
            <v>0</v>
          </cell>
          <cell r="DM272">
            <v>0</v>
          </cell>
          <cell r="DN272" t="str">
            <v>0</v>
          </cell>
          <cell r="DO272">
            <v>0</v>
          </cell>
          <cell r="DP272" t="str">
            <v>INACTIVO</v>
          </cell>
          <cell r="DQ272">
            <v>30</v>
          </cell>
        </row>
        <row r="273">
          <cell r="B273">
            <v>300004</v>
          </cell>
          <cell r="C273" t="str">
            <v>GRANA BLANCA</v>
          </cell>
          <cell r="D273"/>
          <cell r="E273"/>
          <cell r="F273"/>
          <cell r="G273"/>
          <cell r="H273"/>
          <cell r="I273"/>
          <cell r="J273"/>
          <cell r="K273"/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>
            <v>40</v>
          </cell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 t="str">
            <v>SIN USO</v>
          </cell>
          <cell r="DH273">
            <v>0</v>
          </cell>
          <cell r="DI273"/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 t="str">
            <v>0</v>
          </cell>
          <cell r="DO273">
            <v>0</v>
          </cell>
          <cell r="DP273" t="str">
            <v>INACTIVO</v>
          </cell>
          <cell r="DQ273">
            <v>0</v>
          </cell>
        </row>
        <row r="274">
          <cell r="B274">
            <v>362106</v>
          </cell>
          <cell r="C274" t="str">
            <v>HOJARASCA OBERENA</v>
          </cell>
          <cell r="D274">
            <v>15624</v>
          </cell>
          <cell r="E274">
            <v>10944</v>
          </cell>
          <cell r="F274">
            <v>9000</v>
          </cell>
          <cell r="G274">
            <v>24624</v>
          </cell>
          <cell r="H274">
            <v>14688</v>
          </cell>
          <cell r="I274">
            <v>13968</v>
          </cell>
          <cell r="J274">
            <v>21240</v>
          </cell>
          <cell r="K274">
            <v>16056</v>
          </cell>
          <cell r="L274">
            <v>19296</v>
          </cell>
          <cell r="M274">
            <v>15048</v>
          </cell>
          <cell r="N274">
            <v>18432</v>
          </cell>
          <cell r="O274">
            <v>18144</v>
          </cell>
          <cell r="P274">
            <v>10728</v>
          </cell>
          <cell r="Q274">
            <v>20880</v>
          </cell>
          <cell r="R274">
            <v>20088</v>
          </cell>
          <cell r="S274">
            <v>15408</v>
          </cell>
          <cell r="T274">
            <v>15768</v>
          </cell>
          <cell r="U274">
            <v>16200</v>
          </cell>
          <cell r="V274">
            <v>16344</v>
          </cell>
          <cell r="W274">
            <v>15408</v>
          </cell>
          <cell r="X274">
            <v>15264</v>
          </cell>
          <cell r="Y274">
            <v>20808</v>
          </cell>
          <cell r="Z274">
            <v>16632</v>
          </cell>
          <cell r="AA274">
            <v>14256</v>
          </cell>
          <cell r="AB274">
            <v>29017.871999999999</v>
          </cell>
          <cell r="AC274">
            <v>10080</v>
          </cell>
          <cell r="AD274"/>
          <cell r="AE274">
            <v>21312</v>
          </cell>
          <cell r="AF274">
            <v>12456</v>
          </cell>
          <cell r="AG274">
            <v>18612</v>
          </cell>
          <cell r="AH274">
            <v>18432</v>
          </cell>
          <cell r="AI274">
            <v>16776</v>
          </cell>
          <cell r="AJ274">
            <v>24954</v>
          </cell>
          <cell r="AK274">
            <v>16488</v>
          </cell>
          <cell r="AL274">
            <v>15480</v>
          </cell>
          <cell r="AM274">
            <v>23976</v>
          </cell>
          <cell r="AN274">
            <v>24264</v>
          </cell>
          <cell r="AO274">
            <v>23400</v>
          </cell>
          <cell r="AP274">
            <v>28872</v>
          </cell>
          <cell r="AQ274">
            <v>24768</v>
          </cell>
          <cell r="AR274">
            <v>25353</v>
          </cell>
          <cell r="AS274">
            <v>35712</v>
          </cell>
          <cell r="AT274">
            <v>27648</v>
          </cell>
          <cell r="AU274">
            <v>24336</v>
          </cell>
          <cell r="AV274">
            <v>33336</v>
          </cell>
          <cell r="AW274">
            <v>25476</v>
          </cell>
          <cell r="AX274">
            <v>22392</v>
          </cell>
          <cell r="AY274">
            <v>17640</v>
          </cell>
          <cell r="AZ274">
            <v>16704</v>
          </cell>
          <cell r="BA274">
            <v>43056</v>
          </cell>
          <cell r="BB274">
            <v>432</v>
          </cell>
          <cell r="BC274">
            <v>30024</v>
          </cell>
          <cell r="BD274">
            <v>28152</v>
          </cell>
          <cell r="BE274">
            <v>22536</v>
          </cell>
          <cell r="BF274">
            <v>23184</v>
          </cell>
          <cell r="BG274">
            <v>25786</v>
          </cell>
          <cell r="BH274">
            <v>24120</v>
          </cell>
          <cell r="BI274">
            <v>29808</v>
          </cell>
          <cell r="BJ274">
            <v>12960</v>
          </cell>
          <cell r="BK274">
            <v>19584</v>
          </cell>
          <cell r="BL274">
            <v>27792</v>
          </cell>
          <cell r="BM274">
            <v>13608</v>
          </cell>
          <cell r="BN274">
            <v>31104</v>
          </cell>
          <cell r="BO274">
            <v>26568</v>
          </cell>
          <cell r="BP274">
            <v>6264</v>
          </cell>
          <cell r="BQ274">
            <v>38844</v>
          </cell>
          <cell r="BR274">
            <v>22680</v>
          </cell>
          <cell r="BS274">
            <v>26280</v>
          </cell>
          <cell r="BT274">
            <v>14616</v>
          </cell>
          <cell r="BU274">
            <v>23184</v>
          </cell>
          <cell r="BV274">
            <v>26424</v>
          </cell>
          <cell r="BW274">
            <v>20664</v>
          </cell>
          <cell r="BX274">
            <v>22320</v>
          </cell>
          <cell r="BY274">
            <v>33984</v>
          </cell>
          <cell r="BZ274">
            <v>32400</v>
          </cell>
          <cell r="CA274">
            <v>17136</v>
          </cell>
          <cell r="CB274">
            <v>22032</v>
          </cell>
          <cell r="CC274">
            <v>26352</v>
          </cell>
          <cell r="CD274">
            <v>21960</v>
          </cell>
          <cell r="CE274">
            <v>12600</v>
          </cell>
          <cell r="CF274"/>
          <cell r="CG274">
            <v>28728</v>
          </cell>
          <cell r="CH274">
            <v>31608</v>
          </cell>
          <cell r="CI274">
            <v>33930</v>
          </cell>
          <cell r="CJ274">
            <v>41832</v>
          </cell>
          <cell r="CK274">
            <v>29691</v>
          </cell>
          <cell r="CL274">
            <v>1386</v>
          </cell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 t="str">
            <v>SIN USO</v>
          </cell>
          <cell r="DH274" t="str">
            <v>A</v>
          </cell>
          <cell r="DI274"/>
          <cell r="DJ274">
            <v>27862.5</v>
          </cell>
          <cell r="DK274">
            <v>4643.75</v>
          </cell>
          <cell r="DL274">
            <v>7655.3399144711902</v>
          </cell>
          <cell r="DM274">
            <v>0</v>
          </cell>
          <cell r="DN274" t="str">
            <v>0</v>
          </cell>
          <cell r="DO274">
            <v>0</v>
          </cell>
          <cell r="DP274" t="str">
            <v>INACTIVO</v>
          </cell>
          <cell r="DQ274">
            <v>13931.25</v>
          </cell>
        </row>
        <row r="275">
          <cell r="B275">
            <v>107289</v>
          </cell>
          <cell r="C275" t="str">
            <v>HOJARASCA 16CM OBERENA</v>
          </cell>
          <cell r="D275"/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>
            <v>500</v>
          </cell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 t="str">
            <v>SIN USO</v>
          </cell>
          <cell r="DH275" t="str">
            <v>C</v>
          </cell>
          <cell r="DI275"/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 t="str">
            <v>0</v>
          </cell>
          <cell r="DO275">
            <v>0</v>
          </cell>
          <cell r="DP275" t="str">
            <v>INACTIVO</v>
          </cell>
          <cell r="DQ275">
            <v>0</v>
          </cell>
        </row>
        <row r="276">
          <cell r="B276"/>
          <cell r="C276"/>
          <cell r="D276">
            <v>54560</v>
          </cell>
          <cell r="E276">
            <v>27538</v>
          </cell>
          <cell r="F276">
            <v>49050</v>
          </cell>
          <cell r="G276">
            <v>61186</v>
          </cell>
          <cell r="H276">
            <v>58632</v>
          </cell>
          <cell r="I276">
            <v>53862</v>
          </cell>
          <cell r="J276">
            <v>60477</v>
          </cell>
          <cell r="K276">
            <v>44431</v>
          </cell>
          <cell r="L276">
            <v>56196</v>
          </cell>
          <cell r="M276">
            <v>45389</v>
          </cell>
          <cell r="N276">
            <v>62438</v>
          </cell>
          <cell r="O276">
            <v>27266.35</v>
          </cell>
          <cell r="P276">
            <v>44950</v>
          </cell>
          <cell r="Q276">
            <v>43254</v>
          </cell>
          <cell r="R276">
            <v>41946</v>
          </cell>
          <cell r="S276">
            <v>36809</v>
          </cell>
          <cell r="T276">
            <v>36164</v>
          </cell>
          <cell r="U276">
            <v>47350</v>
          </cell>
          <cell r="V276">
            <v>38183</v>
          </cell>
          <cell r="W276">
            <v>44843</v>
          </cell>
          <cell r="X276">
            <v>24189</v>
          </cell>
          <cell r="Y276">
            <v>45795</v>
          </cell>
          <cell r="Z276">
            <v>30843</v>
          </cell>
          <cell r="AA276">
            <v>19538</v>
          </cell>
          <cell r="AB276">
            <v>37574.872000000003</v>
          </cell>
          <cell r="AC276">
            <v>34519</v>
          </cell>
          <cell r="AD276">
            <v>4658</v>
          </cell>
          <cell r="AE276">
            <v>31201</v>
          </cell>
          <cell r="AF276">
            <v>29394</v>
          </cell>
          <cell r="AG276">
            <v>27252</v>
          </cell>
          <cell r="AH276">
            <v>50563</v>
          </cell>
          <cell r="AI276">
            <v>55130</v>
          </cell>
          <cell r="AJ276">
            <v>27652</v>
          </cell>
          <cell r="AK276">
            <v>30240</v>
          </cell>
          <cell r="AL276">
            <v>39386</v>
          </cell>
          <cell r="AM276">
            <v>33886</v>
          </cell>
          <cell r="AN276">
            <v>51908</v>
          </cell>
          <cell r="AO276">
            <v>57269</v>
          </cell>
          <cell r="AP276">
            <v>44277</v>
          </cell>
          <cell r="AQ276">
            <v>51897</v>
          </cell>
          <cell r="AR276">
            <v>48589</v>
          </cell>
          <cell r="AS276">
            <v>44929</v>
          </cell>
          <cell r="AT276">
            <v>42686</v>
          </cell>
          <cell r="AU276">
            <v>60315</v>
          </cell>
          <cell r="AV276">
            <v>68086</v>
          </cell>
          <cell r="AW276">
            <v>81151</v>
          </cell>
          <cell r="AX276">
            <v>43942</v>
          </cell>
          <cell r="AY276">
            <v>33116</v>
          </cell>
          <cell r="AZ276">
            <v>39181</v>
          </cell>
          <cell r="BA276">
            <v>55988</v>
          </cell>
          <cell r="BB276">
            <v>17818</v>
          </cell>
          <cell r="BC276">
            <v>58471</v>
          </cell>
          <cell r="BD276">
            <v>71911</v>
          </cell>
          <cell r="BE276">
            <v>71465</v>
          </cell>
          <cell r="BF276">
            <v>34718</v>
          </cell>
          <cell r="BG276">
            <v>32102</v>
          </cell>
          <cell r="BH276">
            <v>29427</v>
          </cell>
          <cell r="BI276">
            <v>45603</v>
          </cell>
          <cell r="BJ276">
            <v>17624</v>
          </cell>
          <cell r="BK276">
            <v>39147</v>
          </cell>
          <cell r="BL276">
            <v>34219</v>
          </cell>
          <cell r="BM276">
            <v>23323</v>
          </cell>
          <cell r="BN276">
            <v>64739</v>
          </cell>
          <cell r="BO276">
            <v>49778</v>
          </cell>
          <cell r="BP276">
            <v>12387</v>
          </cell>
          <cell r="BQ276">
            <v>61794</v>
          </cell>
          <cell r="BR276">
            <v>38693</v>
          </cell>
          <cell r="BS276">
            <v>54900</v>
          </cell>
          <cell r="BT276">
            <v>27293</v>
          </cell>
          <cell r="BU276">
            <v>53065</v>
          </cell>
          <cell r="BV276">
            <v>31577</v>
          </cell>
          <cell r="BW276">
            <v>31358</v>
          </cell>
          <cell r="BX276">
            <v>47574</v>
          </cell>
          <cell r="BY276">
            <v>40331</v>
          </cell>
          <cell r="BZ276">
            <v>49992</v>
          </cell>
          <cell r="CA276">
            <v>66817</v>
          </cell>
          <cell r="CB276">
            <v>49903</v>
          </cell>
          <cell r="CC276">
            <v>39723</v>
          </cell>
          <cell r="CD276">
            <v>23705</v>
          </cell>
          <cell r="CE276">
            <v>17968</v>
          </cell>
          <cell r="CF276">
            <v>329</v>
          </cell>
          <cell r="CG276">
            <v>49900</v>
          </cell>
          <cell r="CH276">
            <v>46859</v>
          </cell>
          <cell r="CI276">
            <v>82324</v>
          </cell>
          <cell r="CJ276">
            <v>76804</v>
          </cell>
          <cell r="CK276">
            <v>65896</v>
          </cell>
          <cell r="CL276">
            <v>46023</v>
          </cell>
          <cell r="CM276">
            <v>55567</v>
          </cell>
          <cell r="CN276">
            <v>53599</v>
          </cell>
          <cell r="CO276">
            <v>51036</v>
          </cell>
          <cell r="CP276">
            <v>64870</v>
          </cell>
          <cell r="CQ276">
            <v>47415</v>
          </cell>
          <cell r="CR276">
            <v>83736</v>
          </cell>
          <cell r="CS276">
            <v>62206</v>
          </cell>
          <cell r="CT276">
            <v>93717</v>
          </cell>
          <cell r="CU276">
            <v>171726</v>
          </cell>
          <cell r="CV276">
            <v>180061</v>
          </cell>
          <cell r="CW276">
            <v>123840</v>
          </cell>
          <cell r="CX276">
            <v>69281</v>
          </cell>
          <cell r="CY276">
            <v>101947</v>
          </cell>
          <cell r="CZ276">
            <v>92654</v>
          </cell>
          <cell r="DA276">
            <v>108579</v>
          </cell>
          <cell r="DB276">
            <v>47055</v>
          </cell>
          <cell r="DC276">
            <v>75376</v>
          </cell>
          <cell r="DD276">
            <v>77989</v>
          </cell>
          <cell r="DE276">
            <v>61787</v>
          </cell>
          <cell r="DF276">
            <v>19764</v>
          </cell>
          <cell r="DG276" t="str">
            <v>ACTIVO</v>
          </cell>
          <cell r="DH276" t="str">
            <v/>
          </cell>
          <cell r="DI276"/>
          <cell r="DJ276">
            <v>77151.56</v>
          </cell>
          <cell r="DK276">
            <v>12858.593333333332</v>
          </cell>
          <cell r="DL276">
            <v>15591.693738377166</v>
          </cell>
          <cell r="DM276">
            <v>0</v>
          </cell>
          <cell r="DN276" t="str">
            <v>0</v>
          </cell>
          <cell r="DO276">
            <v>0</v>
          </cell>
          <cell r="DP276" t="str">
            <v>INACTIVO</v>
          </cell>
          <cell r="DQ276">
            <v>0</v>
          </cell>
        </row>
        <row r="277">
          <cell r="B277">
            <v>107172</v>
          </cell>
          <cell r="C277" t="str">
            <v>MERM. MEL DURAZNO ENT. BALDE 5 Kg</v>
          </cell>
          <cell r="D277"/>
          <cell r="E277">
            <v>430</v>
          </cell>
          <cell r="F277">
            <v>470</v>
          </cell>
          <cell r="G277">
            <v>655</v>
          </cell>
          <cell r="H277">
            <v>1160</v>
          </cell>
          <cell r="I277">
            <v>730</v>
          </cell>
          <cell r="J277">
            <v>1215</v>
          </cell>
          <cell r="K277">
            <v>185</v>
          </cell>
          <cell r="L277">
            <v>1085</v>
          </cell>
          <cell r="M277">
            <v>645</v>
          </cell>
          <cell r="N277">
            <v>650</v>
          </cell>
          <cell r="O277">
            <v>490</v>
          </cell>
          <cell r="P277">
            <v>640</v>
          </cell>
          <cell r="Q277">
            <v>750</v>
          </cell>
          <cell r="R277">
            <v>690</v>
          </cell>
          <cell r="S277">
            <v>170</v>
          </cell>
          <cell r="T277">
            <v>675</v>
          </cell>
          <cell r="U277">
            <v>970</v>
          </cell>
          <cell r="V277">
            <v>575</v>
          </cell>
          <cell r="W277">
            <v>135</v>
          </cell>
          <cell r="X277">
            <v>950</v>
          </cell>
          <cell r="Y277">
            <v>960</v>
          </cell>
          <cell r="Z277">
            <v>890</v>
          </cell>
          <cell r="AA277">
            <v>115</v>
          </cell>
          <cell r="AB277">
            <v>145</v>
          </cell>
          <cell r="AC277">
            <v>815</v>
          </cell>
          <cell r="AD277">
            <v>55</v>
          </cell>
          <cell r="AE277">
            <v>35</v>
          </cell>
          <cell r="AF277">
            <v>880</v>
          </cell>
          <cell r="AG277">
            <v>105</v>
          </cell>
          <cell r="AH277">
            <v>120</v>
          </cell>
          <cell r="AI277">
            <v>135</v>
          </cell>
          <cell r="AJ277">
            <v>115</v>
          </cell>
          <cell r="AK277">
            <v>130</v>
          </cell>
          <cell r="AL277">
            <v>910</v>
          </cell>
          <cell r="AM277">
            <v>785</v>
          </cell>
          <cell r="AN277">
            <v>160</v>
          </cell>
          <cell r="AO277">
            <v>145</v>
          </cell>
          <cell r="AP277">
            <v>670</v>
          </cell>
          <cell r="AQ277">
            <v>140</v>
          </cell>
          <cell r="AR277">
            <v>275</v>
          </cell>
          <cell r="AS277">
            <v>905</v>
          </cell>
          <cell r="AT277">
            <v>135</v>
          </cell>
          <cell r="AU277">
            <v>175</v>
          </cell>
          <cell r="AV277">
            <v>110</v>
          </cell>
          <cell r="AW277">
            <v>135</v>
          </cell>
          <cell r="AX277">
            <v>115</v>
          </cell>
          <cell r="AY277">
            <v>110</v>
          </cell>
          <cell r="AZ277">
            <v>195</v>
          </cell>
          <cell r="BA277">
            <v>155</v>
          </cell>
          <cell r="BB277">
            <v>150</v>
          </cell>
          <cell r="BC277">
            <v>140</v>
          </cell>
          <cell r="BD277">
            <v>140</v>
          </cell>
          <cell r="BE277">
            <v>120</v>
          </cell>
          <cell r="BF277">
            <v>150</v>
          </cell>
          <cell r="BG277">
            <v>150</v>
          </cell>
          <cell r="BH277">
            <v>140</v>
          </cell>
          <cell r="BI277">
            <v>95</v>
          </cell>
          <cell r="BJ277">
            <v>85</v>
          </cell>
          <cell r="BK277">
            <v>115</v>
          </cell>
          <cell r="BL277">
            <v>135</v>
          </cell>
          <cell r="BM277">
            <v>225</v>
          </cell>
          <cell r="BN277">
            <v>105</v>
          </cell>
          <cell r="BO277">
            <v>110</v>
          </cell>
          <cell r="BP277">
            <v>15</v>
          </cell>
          <cell r="BQ277">
            <v>130</v>
          </cell>
          <cell r="BR277">
            <v>110</v>
          </cell>
          <cell r="BS277">
            <v>165</v>
          </cell>
          <cell r="BT277">
            <v>80</v>
          </cell>
          <cell r="BU277">
            <v>165</v>
          </cell>
          <cell r="BV277">
            <v>125</v>
          </cell>
          <cell r="BW277">
            <v>135</v>
          </cell>
          <cell r="BX277">
            <v>60</v>
          </cell>
          <cell r="BY277">
            <v>15</v>
          </cell>
          <cell r="BZ277">
            <v>30</v>
          </cell>
          <cell r="CA277">
            <v>25</v>
          </cell>
          <cell r="CB277">
            <v>25</v>
          </cell>
          <cell r="CC277">
            <v>35</v>
          </cell>
          <cell r="CD277">
            <v>85</v>
          </cell>
          <cell r="CE277">
            <v>50</v>
          </cell>
          <cell r="CF277">
            <v>40</v>
          </cell>
          <cell r="CG277">
            <v>85</v>
          </cell>
          <cell r="CH277">
            <v>90</v>
          </cell>
          <cell r="CI277">
            <v>85</v>
          </cell>
          <cell r="CJ277">
            <v>90</v>
          </cell>
          <cell r="CK277">
            <v>100</v>
          </cell>
          <cell r="CL277">
            <v>90</v>
          </cell>
          <cell r="CM277">
            <v>85</v>
          </cell>
          <cell r="CN277">
            <v>95</v>
          </cell>
          <cell r="CO277">
            <v>95</v>
          </cell>
          <cell r="CP277">
            <v>100</v>
          </cell>
          <cell r="CQ277">
            <v>100</v>
          </cell>
          <cell r="CR277">
            <v>125</v>
          </cell>
          <cell r="CS277">
            <v>100</v>
          </cell>
          <cell r="CT277">
            <v>135</v>
          </cell>
          <cell r="CU277">
            <v>110</v>
          </cell>
          <cell r="CV277">
            <v>100</v>
          </cell>
          <cell r="CW277">
            <v>105</v>
          </cell>
          <cell r="CX277">
            <v>100</v>
          </cell>
          <cell r="CY277">
            <v>110</v>
          </cell>
          <cell r="CZ277">
            <v>95</v>
          </cell>
          <cell r="DA277">
            <v>100</v>
          </cell>
          <cell r="DB277">
            <v>100</v>
          </cell>
          <cell r="DC277">
            <v>135</v>
          </cell>
          <cell r="DD277">
            <v>125</v>
          </cell>
          <cell r="DE277">
            <v>105</v>
          </cell>
          <cell r="DF277">
            <v>15</v>
          </cell>
          <cell r="DG277" t="str">
            <v>ACTIVO</v>
          </cell>
          <cell r="DH277" t="str">
            <v>B</v>
          </cell>
          <cell r="DI277"/>
          <cell r="DJ277">
            <v>99.8</v>
          </cell>
          <cell r="DK277">
            <v>16.633333333333333</v>
          </cell>
          <cell r="DL277">
            <v>218.36005571815687</v>
          </cell>
          <cell r="DM277">
            <v>320</v>
          </cell>
          <cell r="DN277">
            <v>645769.6</v>
          </cell>
          <cell r="DO277">
            <v>3.2064128256513027</v>
          </cell>
          <cell r="DP277" t="str">
            <v>OK</v>
          </cell>
          <cell r="DQ277">
            <v>33.266666666666666</v>
          </cell>
        </row>
        <row r="278">
          <cell r="B278">
            <v>107129</v>
          </cell>
          <cell r="C278" t="str">
            <v>MERM. MEL FRAMBUESA QUINTA BALDE 5 Kg</v>
          </cell>
          <cell r="D278">
            <v>145</v>
          </cell>
          <cell r="E278">
            <v>80</v>
          </cell>
          <cell r="F278">
            <v>90</v>
          </cell>
          <cell r="G278">
            <v>95</v>
          </cell>
          <cell r="H278">
            <v>95</v>
          </cell>
          <cell r="I278">
            <v>35</v>
          </cell>
          <cell r="J278">
            <v>80</v>
          </cell>
          <cell r="K278">
            <v>115</v>
          </cell>
          <cell r="L278">
            <v>125</v>
          </cell>
          <cell r="M278">
            <v>130</v>
          </cell>
          <cell r="N278">
            <v>155</v>
          </cell>
          <cell r="O278">
            <v>5</v>
          </cell>
          <cell r="P278">
            <v>75</v>
          </cell>
          <cell r="Q278">
            <v>145</v>
          </cell>
          <cell r="R278">
            <v>95</v>
          </cell>
          <cell r="S278">
            <v>55</v>
          </cell>
          <cell r="T278">
            <v>100</v>
          </cell>
          <cell r="U278">
            <v>110</v>
          </cell>
          <cell r="V278">
            <v>135</v>
          </cell>
          <cell r="W278">
            <v>100</v>
          </cell>
          <cell r="X278">
            <v>40</v>
          </cell>
          <cell r="Y278">
            <v>25</v>
          </cell>
          <cell r="Z278">
            <v>95</v>
          </cell>
          <cell r="AA278">
            <v>70</v>
          </cell>
          <cell r="AB278">
            <v>85</v>
          </cell>
          <cell r="AC278">
            <v>95</v>
          </cell>
          <cell r="AD278">
            <v>20</v>
          </cell>
          <cell r="AE278">
            <v>30</v>
          </cell>
          <cell r="AF278">
            <v>96</v>
          </cell>
          <cell r="AG278">
            <v>94</v>
          </cell>
          <cell r="AH278">
            <v>80</v>
          </cell>
          <cell r="AI278">
            <v>75</v>
          </cell>
          <cell r="AJ278">
            <v>90</v>
          </cell>
          <cell r="AK278">
            <v>85</v>
          </cell>
          <cell r="AL278">
            <v>100</v>
          </cell>
          <cell r="AM278">
            <v>85</v>
          </cell>
          <cell r="AN278">
            <v>120</v>
          </cell>
          <cell r="AO278">
            <v>115</v>
          </cell>
          <cell r="AP278">
            <v>105</v>
          </cell>
          <cell r="AQ278">
            <v>90</v>
          </cell>
          <cell r="AR278">
            <v>85</v>
          </cell>
          <cell r="AS278">
            <v>90</v>
          </cell>
          <cell r="AT278">
            <v>90</v>
          </cell>
          <cell r="AU278">
            <v>150</v>
          </cell>
          <cell r="AV278">
            <v>80</v>
          </cell>
          <cell r="AW278">
            <v>70</v>
          </cell>
          <cell r="AX278">
            <v>70</v>
          </cell>
          <cell r="AY278">
            <v>100</v>
          </cell>
          <cell r="AZ278">
            <v>115</v>
          </cell>
          <cell r="BA278">
            <v>75</v>
          </cell>
          <cell r="BB278">
            <v>115</v>
          </cell>
          <cell r="BC278">
            <v>110</v>
          </cell>
          <cell r="BD278">
            <v>130</v>
          </cell>
          <cell r="BE278">
            <v>90</v>
          </cell>
          <cell r="BF278">
            <v>75</v>
          </cell>
          <cell r="BG278">
            <v>90</v>
          </cell>
          <cell r="BH278">
            <v>105</v>
          </cell>
          <cell r="BI278">
            <v>110</v>
          </cell>
          <cell r="BJ278">
            <v>80</v>
          </cell>
          <cell r="BK278">
            <v>75</v>
          </cell>
          <cell r="BL278">
            <v>80</v>
          </cell>
          <cell r="BM278">
            <v>145</v>
          </cell>
          <cell r="BN278">
            <v>75</v>
          </cell>
          <cell r="BO278">
            <v>80</v>
          </cell>
          <cell r="BP278">
            <v>25</v>
          </cell>
          <cell r="BQ278">
            <v>115</v>
          </cell>
          <cell r="BR278">
            <v>85</v>
          </cell>
          <cell r="BS278">
            <v>110</v>
          </cell>
          <cell r="BT278">
            <v>80</v>
          </cell>
          <cell r="BU278">
            <v>75</v>
          </cell>
          <cell r="BV278">
            <v>90</v>
          </cell>
          <cell r="BW278">
            <v>535</v>
          </cell>
          <cell r="BX278">
            <v>75</v>
          </cell>
          <cell r="BY278">
            <v>65</v>
          </cell>
          <cell r="BZ278">
            <v>295</v>
          </cell>
          <cell r="CA278">
            <v>380</v>
          </cell>
          <cell r="CB278">
            <v>65</v>
          </cell>
          <cell r="CC278">
            <v>1085</v>
          </cell>
          <cell r="CD278">
            <v>155</v>
          </cell>
          <cell r="CE278">
            <v>25</v>
          </cell>
          <cell r="CF278">
            <v>25</v>
          </cell>
          <cell r="CG278">
            <v>85</v>
          </cell>
          <cell r="CH278">
            <v>40</v>
          </cell>
          <cell r="CI278">
            <v>60</v>
          </cell>
          <cell r="CJ278">
            <v>80</v>
          </cell>
          <cell r="CK278">
            <v>75</v>
          </cell>
          <cell r="CL278">
            <v>65</v>
          </cell>
          <cell r="CM278">
            <v>65</v>
          </cell>
          <cell r="CN278">
            <v>70</v>
          </cell>
          <cell r="CO278">
            <v>80</v>
          </cell>
          <cell r="CP278">
            <v>730</v>
          </cell>
          <cell r="CQ278">
            <v>95</v>
          </cell>
          <cell r="CR278">
            <v>215</v>
          </cell>
          <cell r="CS278">
            <v>625</v>
          </cell>
          <cell r="CT278">
            <v>1300</v>
          </cell>
          <cell r="CU278">
            <v>700</v>
          </cell>
          <cell r="CV278">
            <v>850</v>
          </cell>
          <cell r="CW278">
            <v>1560</v>
          </cell>
          <cell r="CX278">
            <v>610</v>
          </cell>
          <cell r="CY278">
            <v>115</v>
          </cell>
          <cell r="CZ278">
            <v>345</v>
          </cell>
          <cell r="DA278">
            <v>460</v>
          </cell>
          <cell r="DB278">
            <v>495</v>
          </cell>
          <cell r="DC278">
            <v>240</v>
          </cell>
          <cell r="DD278">
            <v>360</v>
          </cell>
          <cell r="DE278">
            <v>390</v>
          </cell>
          <cell r="DF278">
            <v>15</v>
          </cell>
          <cell r="DG278" t="str">
            <v>ACTIVO</v>
          </cell>
          <cell r="DH278" t="str">
            <v>B</v>
          </cell>
          <cell r="DI278"/>
          <cell r="DJ278">
            <v>373.8</v>
          </cell>
          <cell r="DK278">
            <v>62.300000000000004</v>
          </cell>
          <cell r="DL278">
            <v>156.72677592925376</v>
          </cell>
          <cell r="DM278">
            <v>915</v>
          </cell>
          <cell r="DN278">
            <v>3949423.65</v>
          </cell>
          <cell r="DO278">
            <v>2.447833065810594</v>
          </cell>
          <cell r="DP278" t="str">
            <v>OK</v>
          </cell>
          <cell r="DQ278">
            <v>124.60000000000001</v>
          </cell>
        </row>
        <row r="279">
          <cell r="B279">
            <v>403407</v>
          </cell>
          <cell r="C279" t="str">
            <v>MERM. LAMARKA FRAMBUESA BALDE 5 Kg</v>
          </cell>
          <cell r="D279">
            <v>1085</v>
          </cell>
          <cell r="E279">
            <v>755</v>
          </cell>
          <cell r="F279">
            <v>1050</v>
          </cell>
          <cell r="G279">
            <v>1340</v>
          </cell>
          <cell r="H279">
            <v>1580</v>
          </cell>
          <cell r="I279">
            <v>885</v>
          </cell>
          <cell r="J279">
            <v>1125</v>
          </cell>
          <cell r="K279">
            <v>830</v>
          </cell>
          <cell r="L279">
            <v>920</v>
          </cell>
          <cell r="M279">
            <v>1050</v>
          </cell>
          <cell r="N279">
            <v>1395</v>
          </cell>
          <cell r="O279">
            <v>995</v>
          </cell>
          <cell r="P279">
            <v>1160</v>
          </cell>
          <cell r="Q279">
            <v>1045</v>
          </cell>
          <cell r="R279">
            <v>775</v>
          </cell>
          <cell r="S279">
            <v>1090</v>
          </cell>
          <cell r="T279">
            <v>1625</v>
          </cell>
          <cell r="U279">
            <v>1455</v>
          </cell>
          <cell r="V279">
            <v>1875</v>
          </cell>
          <cell r="W279">
            <v>2340</v>
          </cell>
          <cell r="X279">
            <v>410</v>
          </cell>
          <cell r="Y279">
            <v>2585</v>
          </cell>
          <cell r="Z279">
            <v>550</v>
          </cell>
          <cell r="AA279">
            <v>727</v>
          </cell>
          <cell r="AB279">
            <v>775</v>
          </cell>
          <cell r="AC279">
            <v>80</v>
          </cell>
          <cell r="AD279">
            <v>350</v>
          </cell>
          <cell r="AE279">
            <v>630</v>
          </cell>
          <cell r="AF279">
            <v>1335.4</v>
          </cell>
          <cell r="AG279">
            <v>779.6</v>
          </cell>
          <cell r="AH279">
            <v>1495</v>
          </cell>
          <cell r="AI279">
            <v>2430</v>
          </cell>
          <cell r="AJ279">
            <v>1070</v>
          </cell>
          <cell r="AK279">
            <v>1195</v>
          </cell>
          <cell r="AL279">
            <v>1125</v>
          </cell>
          <cell r="AM279">
            <v>755</v>
          </cell>
          <cell r="AN279">
            <v>665</v>
          </cell>
          <cell r="AO279">
            <v>860</v>
          </cell>
          <cell r="AP279">
            <v>815</v>
          </cell>
          <cell r="AQ279">
            <v>1375</v>
          </cell>
          <cell r="AR279">
            <v>1700</v>
          </cell>
          <cell r="AS279">
            <v>1010</v>
          </cell>
          <cell r="AT279">
            <v>1290</v>
          </cell>
          <cell r="AU279">
            <v>2100</v>
          </cell>
          <cell r="AV279">
            <v>2295</v>
          </cell>
          <cell r="AW279">
            <v>1895</v>
          </cell>
          <cell r="AX279">
            <v>1745</v>
          </cell>
          <cell r="AY279">
            <v>780</v>
          </cell>
          <cell r="AZ279">
            <v>1315</v>
          </cell>
          <cell r="BA279">
            <v>1590</v>
          </cell>
          <cell r="BB279">
            <v>430</v>
          </cell>
          <cell r="BC279">
            <v>2280</v>
          </cell>
          <cell r="BD279">
            <v>1220</v>
          </cell>
          <cell r="BE279">
            <v>925</v>
          </cell>
          <cell r="BF279">
            <v>920</v>
          </cell>
          <cell r="BG279">
            <v>690</v>
          </cell>
          <cell r="BH279">
            <v>1475</v>
          </cell>
          <cell r="BI279">
            <v>1775</v>
          </cell>
          <cell r="BJ279">
            <v>1015</v>
          </cell>
          <cell r="BK279">
            <v>760</v>
          </cell>
          <cell r="BL279">
            <v>1325</v>
          </cell>
          <cell r="BM279">
            <v>1240</v>
          </cell>
          <cell r="BN279">
            <v>1640</v>
          </cell>
          <cell r="BO279">
            <v>1265</v>
          </cell>
          <cell r="BP279">
            <v>955</v>
          </cell>
          <cell r="BQ279">
            <v>985</v>
          </cell>
          <cell r="BR279">
            <v>1220</v>
          </cell>
          <cell r="BS279">
            <v>1310</v>
          </cell>
          <cell r="BT279">
            <v>555</v>
          </cell>
          <cell r="BU279">
            <v>1310</v>
          </cell>
          <cell r="BV279">
            <v>660</v>
          </cell>
          <cell r="BW279">
            <v>1280</v>
          </cell>
          <cell r="BX279">
            <v>1370</v>
          </cell>
          <cell r="BY279">
            <v>1195</v>
          </cell>
          <cell r="BZ279">
            <v>1155</v>
          </cell>
          <cell r="CA279">
            <v>1065</v>
          </cell>
          <cell r="CB279">
            <v>835</v>
          </cell>
          <cell r="CC279">
            <v>1750</v>
          </cell>
          <cell r="CD279">
            <v>95</v>
          </cell>
          <cell r="CE279">
            <v>430</v>
          </cell>
          <cell r="CF279">
            <v>295</v>
          </cell>
          <cell r="CG279">
            <v>1270</v>
          </cell>
          <cell r="CH279">
            <v>1610</v>
          </cell>
          <cell r="CI279">
            <v>1610</v>
          </cell>
          <cell r="CJ279">
            <v>1165</v>
          </cell>
          <cell r="CK279">
            <v>1815</v>
          </cell>
          <cell r="CL279">
            <v>1420</v>
          </cell>
          <cell r="CM279">
            <v>1555</v>
          </cell>
          <cell r="CN279">
            <v>1605</v>
          </cell>
          <cell r="CO279">
            <v>1025</v>
          </cell>
          <cell r="CP279">
            <v>785</v>
          </cell>
          <cell r="CQ279">
            <v>585</v>
          </cell>
          <cell r="CR279">
            <v>1390</v>
          </cell>
          <cell r="CS279">
            <v>1055</v>
          </cell>
          <cell r="CT279">
            <v>1960</v>
          </cell>
          <cell r="CU279">
            <v>2820</v>
          </cell>
          <cell r="CV279">
            <v>1830</v>
          </cell>
          <cell r="CW279">
            <v>1745</v>
          </cell>
          <cell r="CX279">
            <v>1050</v>
          </cell>
          <cell r="CY279">
            <v>265</v>
          </cell>
          <cell r="CZ279">
            <v>445</v>
          </cell>
          <cell r="DA279">
            <v>1930</v>
          </cell>
          <cell r="DB279">
            <v>350</v>
          </cell>
          <cell r="DC279">
            <v>395</v>
          </cell>
          <cell r="DD279">
            <v>920</v>
          </cell>
          <cell r="DE279">
            <v>820</v>
          </cell>
          <cell r="DF279">
            <v>300</v>
          </cell>
          <cell r="DG279" t="str">
            <v>ACTIVO</v>
          </cell>
          <cell r="DH279" t="str">
            <v>A</v>
          </cell>
          <cell r="DI279"/>
          <cell r="DJ279">
            <v>1235.8</v>
          </cell>
          <cell r="DK279">
            <v>205.96666666666667</v>
          </cell>
          <cell r="DL279">
            <v>490.52329028946258</v>
          </cell>
          <cell r="DM279">
            <v>1445</v>
          </cell>
          <cell r="DN279">
            <v>3391183.8</v>
          </cell>
          <cell r="DO279">
            <v>1.1692830555106004</v>
          </cell>
          <cell r="DP279" t="str">
            <v>OK</v>
          </cell>
          <cell r="DQ279">
            <v>411.93333333333334</v>
          </cell>
        </row>
        <row r="280">
          <cell r="B280">
            <v>107193</v>
          </cell>
          <cell r="C280" t="str">
            <v>MERMELADA DE FRAMBUESA EBEL</v>
          </cell>
          <cell r="D280">
            <v>490</v>
          </cell>
          <cell r="E280">
            <v>605</v>
          </cell>
          <cell r="F280">
            <v>360</v>
          </cell>
          <cell r="G280">
            <v>290</v>
          </cell>
          <cell r="H280">
            <v>310</v>
          </cell>
          <cell r="I280">
            <v>245</v>
          </cell>
          <cell r="J280">
            <v>270</v>
          </cell>
          <cell r="K280">
            <v>245</v>
          </cell>
          <cell r="L280">
            <v>330</v>
          </cell>
          <cell r="M280">
            <v>235</v>
          </cell>
          <cell r="N280">
            <v>245</v>
          </cell>
          <cell r="O280">
            <v>75</v>
          </cell>
          <cell r="P280">
            <v>210</v>
          </cell>
          <cell r="Q280">
            <v>340</v>
          </cell>
          <cell r="R280">
            <v>245</v>
          </cell>
          <cell r="S280">
            <v>275</v>
          </cell>
          <cell r="T280">
            <v>255</v>
          </cell>
          <cell r="U280">
            <v>225</v>
          </cell>
          <cell r="V280">
            <v>305</v>
          </cell>
          <cell r="W280">
            <v>105</v>
          </cell>
          <cell r="X280">
            <v>400</v>
          </cell>
          <cell r="Y280">
            <v>195</v>
          </cell>
          <cell r="Z280">
            <v>395</v>
          </cell>
          <cell r="AA280">
            <v>450</v>
          </cell>
          <cell r="AB280">
            <v>355</v>
          </cell>
          <cell r="AC280">
            <v>480</v>
          </cell>
          <cell r="AD280">
            <v>190</v>
          </cell>
          <cell r="AE280">
            <v>212.5</v>
          </cell>
          <cell r="AF280">
            <v>190</v>
          </cell>
          <cell r="AG280">
            <v>225</v>
          </cell>
          <cell r="AH280">
            <v>175</v>
          </cell>
          <cell r="AI280">
            <v>335</v>
          </cell>
          <cell r="AJ280">
            <v>195</v>
          </cell>
          <cell r="AK280">
            <v>190</v>
          </cell>
          <cell r="AL280">
            <v>155</v>
          </cell>
          <cell r="AM280">
            <v>155</v>
          </cell>
          <cell r="AN280">
            <v>170</v>
          </cell>
          <cell r="AO280">
            <v>210</v>
          </cell>
          <cell r="AP280">
            <v>190</v>
          </cell>
          <cell r="AQ280">
            <v>175</v>
          </cell>
          <cell r="AR280">
            <v>215</v>
          </cell>
          <cell r="AS280">
            <v>165</v>
          </cell>
          <cell r="AT280">
            <v>165</v>
          </cell>
          <cell r="AU280">
            <v>160</v>
          </cell>
          <cell r="AV280">
            <v>175</v>
          </cell>
          <cell r="AW280">
            <v>460</v>
          </cell>
          <cell r="AX280">
            <v>160</v>
          </cell>
          <cell r="AY280">
            <v>225</v>
          </cell>
          <cell r="AZ280">
            <v>230</v>
          </cell>
          <cell r="BA280">
            <v>250</v>
          </cell>
          <cell r="BB280">
            <v>370</v>
          </cell>
          <cell r="BC280">
            <v>195</v>
          </cell>
          <cell r="BD280">
            <v>240</v>
          </cell>
          <cell r="BE280">
            <v>210</v>
          </cell>
          <cell r="BF280">
            <v>225</v>
          </cell>
          <cell r="BG280">
            <v>300</v>
          </cell>
          <cell r="BH280">
            <v>255</v>
          </cell>
          <cell r="BI280">
            <v>200</v>
          </cell>
          <cell r="BJ280">
            <v>165</v>
          </cell>
          <cell r="BK280">
            <v>235</v>
          </cell>
          <cell r="BL280">
            <v>205</v>
          </cell>
          <cell r="BM280">
            <v>255</v>
          </cell>
          <cell r="BN280">
            <v>150</v>
          </cell>
          <cell r="BO280">
            <v>185</v>
          </cell>
          <cell r="BP280">
            <v>20</v>
          </cell>
          <cell r="BQ280">
            <v>260</v>
          </cell>
          <cell r="BR280">
            <v>160</v>
          </cell>
          <cell r="BS280">
            <v>210</v>
          </cell>
          <cell r="BT280">
            <v>155</v>
          </cell>
          <cell r="BU280">
            <v>190</v>
          </cell>
          <cell r="BV280">
            <v>210</v>
          </cell>
          <cell r="BW280">
            <v>205</v>
          </cell>
          <cell r="BX280">
            <v>210</v>
          </cell>
          <cell r="BY280">
            <v>100</v>
          </cell>
          <cell r="BZ280">
            <v>105</v>
          </cell>
          <cell r="CA280">
            <v>100</v>
          </cell>
          <cell r="CB280">
            <v>115</v>
          </cell>
          <cell r="CC280">
            <v>105</v>
          </cell>
          <cell r="CD280">
            <v>130</v>
          </cell>
          <cell r="CE280">
            <v>85</v>
          </cell>
          <cell r="CF280">
            <v>60</v>
          </cell>
          <cell r="CG280">
            <v>125</v>
          </cell>
          <cell r="CH280">
            <v>195</v>
          </cell>
          <cell r="CI280">
            <v>190</v>
          </cell>
          <cell r="CJ280">
            <v>175</v>
          </cell>
          <cell r="CK280">
            <v>180</v>
          </cell>
          <cell r="CL280">
            <v>130</v>
          </cell>
          <cell r="CM280">
            <v>135</v>
          </cell>
          <cell r="CN280">
            <v>140</v>
          </cell>
          <cell r="CO280">
            <v>135</v>
          </cell>
          <cell r="CP280">
            <v>235</v>
          </cell>
          <cell r="CQ280">
            <v>245</v>
          </cell>
          <cell r="CR280">
            <v>200</v>
          </cell>
          <cell r="CS280">
            <v>175</v>
          </cell>
          <cell r="CT280">
            <v>310</v>
          </cell>
          <cell r="CU280">
            <v>195</v>
          </cell>
          <cell r="CV280">
            <v>175</v>
          </cell>
          <cell r="CW280">
            <v>175</v>
          </cell>
          <cell r="CX280">
            <v>180</v>
          </cell>
          <cell r="CY280">
            <v>220</v>
          </cell>
          <cell r="CZ280">
            <v>175</v>
          </cell>
          <cell r="DA280">
            <v>305</v>
          </cell>
          <cell r="DB280">
            <v>200</v>
          </cell>
          <cell r="DC280">
            <v>230</v>
          </cell>
          <cell r="DD280">
            <v>330</v>
          </cell>
          <cell r="DE280">
            <v>210</v>
          </cell>
          <cell r="DF280">
            <v>35</v>
          </cell>
          <cell r="DG280" t="str">
            <v>ACTIVO</v>
          </cell>
          <cell r="DH280" t="str">
            <v>B</v>
          </cell>
          <cell r="DI280"/>
          <cell r="DJ280">
            <v>192.6</v>
          </cell>
          <cell r="DK280">
            <v>32.1</v>
          </cell>
          <cell r="DL280">
            <v>70.48678709728182</v>
          </cell>
          <cell r="DM280">
            <v>255</v>
          </cell>
          <cell r="DN280">
            <v>978486</v>
          </cell>
          <cell r="DO280">
            <v>1.32398753894081</v>
          </cell>
          <cell r="DP280" t="str">
            <v>OK</v>
          </cell>
          <cell r="DQ280">
            <v>64.2</v>
          </cell>
        </row>
        <row r="281">
          <cell r="B281">
            <v>403408</v>
          </cell>
          <cell r="C281" t="str">
            <v>MERM. LAMARKA DAMASCO BALDE 5 Kg</v>
          </cell>
          <cell r="D281">
            <v>1260</v>
          </cell>
          <cell r="E281">
            <v>490</v>
          </cell>
          <cell r="F281">
            <v>1040</v>
          </cell>
          <cell r="G281">
            <v>500</v>
          </cell>
          <cell r="H281">
            <v>1200</v>
          </cell>
          <cell r="I281">
            <v>695</v>
          </cell>
          <cell r="J281">
            <v>1220</v>
          </cell>
          <cell r="K281">
            <v>685</v>
          </cell>
          <cell r="L281">
            <v>1405</v>
          </cell>
          <cell r="M281">
            <v>480</v>
          </cell>
          <cell r="N281">
            <v>1445</v>
          </cell>
          <cell r="O281">
            <v>80</v>
          </cell>
          <cell r="P281">
            <v>1200</v>
          </cell>
          <cell r="Q281">
            <v>995</v>
          </cell>
          <cell r="R281">
            <v>840</v>
          </cell>
          <cell r="S281">
            <v>1030</v>
          </cell>
          <cell r="T281">
            <v>950</v>
          </cell>
          <cell r="U281">
            <v>1085</v>
          </cell>
          <cell r="V281">
            <v>1190</v>
          </cell>
          <cell r="W281">
            <v>910</v>
          </cell>
          <cell r="X281">
            <v>1130</v>
          </cell>
          <cell r="Y281">
            <v>160</v>
          </cell>
          <cell r="Z281">
            <v>930</v>
          </cell>
          <cell r="AA281">
            <v>1010</v>
          </cell>
          <cell r="AB281">
            <v>1815</v>
          </cell>
          <cell r="AC281">
            <v>80</v>
          </cell>
          <cell r="AD281"/>
          <cell r="AE281">
            <v>720</v>
          </cell>
          <cell r="AF281">
            <v>80</v>
          </cell>
          <cell r="AG281">
            <v>81</v>
          </cell>
          <cell r="AH281">
            <v>134</v>
          </cell>
          <cell r="AI281">
            <v>1103</v>
          </cell>
          <cell r="AJ281">
            <v>80</v>
          </cell>
          <cell r="AK281">
            <v>800</v>
          </cell>
          <cell r="AL281">
            <v>930</v>
          </cell>
          <cell r="AM281">
            <v>710</v>
          </cell>
          <cell r="AN281">
            <v>380</v>
          </cell>
          <cell r="AO281">
            <v>820</v>
          </cell>
          <cell r="AP281">
            <v>290</v>
          </cell>
          <cell r="AQ281">
            <v>900</v>
          </cell>
          <cell r="AR281">
            <v>880</v>
          </cell>
          <cell r="AS281">
            <v>800</v>
          </cell>
          <cell r="AT281">
            <v>1395</v>
          </cell>
          <cell r="AU281">
            <v>455</v>
          </cell>
          <cell r="AV281">
            <v>345</v>
          </cell>
          <cell r="AW281">
            <v>590</v>
          </cell>
          <cell r="AX281">
            <v>1180</v>
          </cell>
          <cell r="AY281">
            <v>1245</v>
          </cell>
          <cell r="AZ281">
            <v>865</v>
          </cell>
          <cell r="BA281">
            <v>750</v>
          </cell>
          <cell r="BB281">
            <v>455</v>
          </cell>
          <cell r="BC281">
            <v>1025</v>
          </cell>
          <cell r="BD281">
            <v>475</v>
          </cell>
          <cell r="BE281">
            <v>145</v>
          </cell>
          <cell r="BF281">
            <v>310</v>
          </cell>
          <cell r="BG281">
            <v>360</v>
          </cell>
          <cell r="BH281">
            <v>1235</v>
          </cell>
          <cell r="BI281">
            <v>910</v>
          </cell>
          <cell r="BJ281">
            <v>1010</v>
          </cell>
          <cell r="BK281">
            <v>455</v>
          </cell>
          <cell r="BL281">
            <v>880</v>
          </cell>
          <cell r="BM281">
            <v>875</v>
          </cell>
          <cell r="BN281">
            <v>190</v>
          </cell>
          <cell r="BO281"/>
          <cell r="BP281">
            <v>5</v>
          </cell>
          <cell r="BQ281">
            <v>575</v>
          </cell>
          <cell r="BR281"/>
          <cell r="BS281">
            <v>80</v>
          </cell>
          <cell r="BT281">
            <v>240</v>
          </cell>
          <cell r="BU281">
            <v>120</v>
          </cell>
          <cell r="BV281">
            <v>80</v>
          </cell>
          <cell r="BW281">
            <v>125</v>
          </cell>
          <cell r="BX281">
            <v>120</v>
          </cell>
          <cell r="BY281">
            <v>80</v>
          </cell>
          <cell r="BZ281">
            <v>120</v>
          </cell>
          <cell r="CA281">
            <v>120</v>
          </cell>
          <cell r="CB281">
            <v>80</v>
          </cell>
          <cell r="CC281">
            <v>120</v>
          </cell>
          <cell r="CD281">
            <v>95</v>
          </cell>
          <cell r="CE281">
            <v>80</v>
          </cell>
          <cell r="CF281">
            <v>80</v>
          </cell>
          <cell r="CG281">
            <v>105</v>
          </cell>
          <cell r="CH281">
            <v>190</v>
          </cell>
          <cell r="CI281">
            <v>95</v>
          </cell>
          <cell r="CJ281">
            <v>95</v>
          </cell>
          <cell r="CK281">
            <v>200</v>
          </cell>
          <cell r="CL281">
            <v>100</v>
          </cell>
          <cell r="CM281">
            <v>205</v>
          </cell>
          <cell r="CN281">
            <v>100</v>
          </cell>
          <cell r="CO281">
            <v>200</v>
          </cell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 t="str">
            <v>ACTIVO</v>
          </cell>
          <cell r="DH281" t="str">
            <v>B</v>
          </cell>
          <cell r="DI281"/>
          <cell r="DJ281">
            <v>137</v>
          </cell>
          <cell r="DK281">
            <v>22.833333333333332</v>
          </cell>
          <cell r="DL281">
            <v>400.80718654274864</v>
          </cell>
          <cell r="DM281">
            <v>315</v>
          </cell>
          <cell r="DN281">
            <v>537226.19999999995</v>
          </cell>
          <cell r="DO281">
            <v>2.2992700729927007</v>
          </cell>
          <cell r="DP281" t="str">
            <v>OK</v>
          </cell>
          <cell r="DQ281">
            <v>45.666666666666664</v>
          </cell>
        </row>
        <row r="282">
          <cell r="B282">
            <v>107131</v>
          </cell>
          <cell r="C282" t="str">
            <v>MERM. MEL DAMASCO MOL. BALDE 5 Kg</v>
          </cell>
          <cell r="D282">
            <v>200</v>
          </cell>
          <cell r="E282">
            <v>135</v>
          </cell>
          <cell r="F282">
            <v>140</v>
          </cell>
          <cell r="G282">
            <v>135</v>
          </cell>
          <cell r="H282">
            <v>180</v>
          </cell>
          <cell r="I282">
            <v>150</v>
          </cell>
          <cell r="J282">
            <v>145</v>
          </cell>
          <cell r="K282">
            <v>205</v>
          </cell>
          <cell r="L282">
            <v>345</v>
          </cell>
          <cell r="M282">
            <v>220</v>
          </cell>
          <cell r="N282">
            <v>150</v>
          </cell>
          <cell r="O282">
            <v>45</v>
          </cell>
          <cell r="P282">
            <v>310</v>
          </cell>
          <cell r="Q282">
            <v>340</v>
          </cell>
          <cell r="R282">
            <v>265</v>
          </cell>
          <cell r="S282">
            <v>195</v>
          </cell>
          <cell r="T282">
            <v>255</v>
          </cell>
          <cell r="U282">
            <v>225</v>
          </cell>
          <cell r="V282">
            <v>335</v>
          </cell>
          <cell r="W282">
            <v>200</v>
          </cell>
          <cell r="X282">
            <v>170</v>
          </cell>
          <cell r="Y282">
            <v>260</v>
          </cell>
          <cell r="Z282">
            <v>150</v>
          </cell>
          <cell r="AA282">
            <v>205</v>
          </cell>
          <cell r="AB282">
            <v>245</v>
          </cell>
          <cell r="AC282">
            <v>160</v>
          </cell>
          <cell r="AD282">
            <v>95</v>
          </cell>
          <cell r="AE282">
            <v>115</v>
          </cell>
          <cell r="AF282">
            <v>225</v>
          </cell>
          <cell r="AG282">
            <v>155</v>
          </cell>
          <cell r="AH282">
            <v>140</v>
          </cell>
          <cell r="AI282">
            <v>185</v>
          </cell>
          <cell r="AJ282">
            <v>210</v>
          </cell>
          <cell r="AK282">
            <v>180</v>
          </cell>
          <cell r="AL282">
            <v>215</v>
          </cell>
          <cell r="AM282">
            <v>210</v>
          </cell>
          <cell r="AN282">
            <v>290</v>
          </cell>
          <cell r="AO282">
            <v>220</v>
          </cell>
          <cell r="AP282">
            <v>250</v>
          </cell>
          <cell r="AQ282">
            <v>235</v>
          </cell>
          <cell r="AR282">
            <v>235</v>
          </cell>
          <cell r="AS282">
            <v>230</v>
          </cell>
          <cell r="AT282">
            <v>180</v>
          </cell>
          <cell r="AU282">
            <v>215</v>
          </cell>
          <cell r="AV282">
            <v>220</v>
          </cell>
          <cell r="AW282">
            <v>145</v>
          </cell>
          <cell r="AX282">
            <v>226</v>
          </cell>
          <cell r="AY282">
            <v>224</v>
          </cell>
          <cell r="AZ282">
            <v>245</v>
          </cell>
          <cell r="BA282">
            <v>220</v>
          </cell>
          <cell r="BB282">
            <v>400</v>
          </cell>
          <cell r="BC282">
            <v>285</v>
          </cell>
          <cell r="BD282">
            <v>295</v>
          </cell>
          <cell r="BE282">
            <v>200</v>
          </cell>
          <cell r="BF282">
            <v>195</v>
          </cell>
          <cell r="BG282">
            <v>330</v>
          </cell>
          <cell r="BH282">
            <v>255</v>
          </cell>
          <cell r="BI282">
            <v>230</v>
          </cell>
          <cell r="BJ282">
            <v>180</v>
          </cell>
          <cell r="BK282">
            <v>255</v>
          </cell>
          <cell r="BL282">
            <v>285</v>
          </cell>
          <cell r="BM282">
            <v>250</v>
          </cell>
          <cell r="BN282">
            <v>335</v>
          </cell>
          <cell r="BO282">
            <v>225</v>
          </cell>
          <cell r="BP282">
            <v>20</v>
          </cell>
          <cell r="BQ282">
            <v>330</v>
          </cell>
          <cell r="BR282">
            <v>410</v>
          </cell>
          <cell r="BS282">
            <v>245</v>
          </cell>
          <cell r="BT282">
            <v>225</v>
          </cell>
          <cell r="BU282">
            <v>175</v>
          </cell>
          <cell r="BV282">
            <v>155</v>
          </cell>
          <cell r="BW282">
            <v>215</v>
          </cell>
          <cell r="BX282">
            <v>175</v>
          </cell>
          <cell r="BY282">
            <v>270</v>
          </cell>
          <cell r="BZ282">
            <v>225</v>
          </cell>
          <cell r="CA282">
            <v>245</v>
          </cell>
          <cell r="CB282">
            <v>160</v>
          </cell>
          <cell r="CC282">
            <v>195</v>
          </cell>
          <cell r="CD282">
            <v>140</v>
          </cell>
          <cell r="CE282">
            <v>65</v>
          </cell>
          <cell r="CF282">
            <v>65</v>
          </cell>
          <cell r="CG282">
            <v>210</v>
          </cell>
          <cell r="CH282">
            <v>165</v>
          </cell>
          <cell r="CI282">
            <v>165</v>
          </cell>
          <cell r="CJ282">
            <v>125</v>
          </cell>
          <cell r="CK282">
            <v>185</v>
          </cell>
          <cell r="CL282">
            <v>135</v>
          </cell>
          <cell r="CM282">
            <v>135</v>
          </cell>
          <cell r="CN282">
            <v>160</v>
          </cell>
          <cell r="CO282">
            <v>170</v>
          </cell>
          <cell r="CP282">
            <v>170</v>
          </cell>
          <cell r="CQ282">
            <v>165</v>
          </cell>
          <cell r="CR282">
            <v>185</v>
          </cell>
          <cell r="CS282">
            <v>270</v>
          </cell>
          <cell r="CT282">
            <v>190</v>
          </cell>
          <cell r="CU282">
            <v>165</v>
          </cell>
          <cell r="CV282">
            <v>185</v>
          </cell>
          <cell r="CW282">
            <v>155</v>
          </cell>
          <cell r="CX282">
            <v>205</v>
          </cell>
          <cell r="CY282">
            <v>175</v>
          </cell>
          <cell r="CZ282">
            <v>145</v>
          </cell>
          <cell r="DA282">
            <v>185</v>
          </cell>
          <cell r="DB282">
            <v>195</v>
          </cell>
          <cell r="DC282">
            <v>200</v>
          </cell>
          <cell r="DD282">
            <v>215</v>
          </cell>
          <cell r="DE282">
            <v>150</v>
          </cell>
          <cell r="DF282">
            <v>25</v>
          </cell>
          <cell r="DG282" t="str">
            <v>ACTIVO</v>
          </cell>
          <cell r="DH282" t="str">
            <v>B</v>
          </cell>
          <cell r="DI282"/>
          <cell r="DJ282">
            <v>172.8</v>
          </cell>
          <cell r="DK282">
            <v>28.8</v>
          </cell>
          <cell r="DL282">
            <v>69.57719084737397</v>
          </cell>
          <cell r="DM282">
            <v>240</v>
          </cell>
          <cell r="DN282">
            <v>593611.19999999995</v>
          </cell>
          <cell r="DO282">
            <v>1.3888888888888888</v>
          </cell>
          <cell r="DP282" t="str">
            <v>OK</v>
          </cell>
          <cell r="DQ282">
            <v>57.6</v>
          </cell>
        </row>
        <row r="283">
          <cell r="B283">
            <v>107113</v>
          </cell>
          <cell r="C283" t="str">
            <v>MERM. MEL GUINDA ÁCIDA QUINTA BALDE 5 Kg</v>
          </cell>
          <cell r="D283">
            <v>155</v>
          </cell>
          <cell r="E283">
            <v>140</v>
          </cell>
          <cell r="F283">
            <v>120</v>
          </cell>
          <cell r="G283">
            <v>170</v>
          </cell>
          <cell r="H283">
            <v>135</v>
          </cell>
          <cell r="I283">
            <v>35</v>
          </cell>
          <cell r="J283">
            <v>125</v>
          </cell>
          <cell r="K283">
            <v>185</v>
          </cell>
          <cell r="L283">
            <v>150</v>
          </cell>
          <cell r="M283">
            <v>160</v>
          </cell>
          <cell r="N283">
            <v>115</v>
          </cell>
          <cell r="O283"/>
          <cell r="P283">
            <v>130</v>
          </cell>
          <cell r="Q283">
            <v>185</v>
          </cell>
          <cell r="R283">
            <v>150</v>
          </cell>
          <cell r="S283">
            <v>175</v>
          </cell>
          <cell r="T283">
            <v>110</v>
          </cell>
          <cell r="U283">
            <v>185</v>
          </cell>
          <cell r="V283">
            <v>185</v>
          </cell>
          <cell r="W283">
            <v>105</v>
          </cell>
          <cell r="X283">
            <v>110</v>
          </cell>
          <cell r="Y283"/>
          <cell r="Z283">
            <v>160</v>
          </cell>
          <cell r="AA283">
            <v>110</v>
          </cell>
          <cell r="AB283">
            <v>145</v>
          </cell>
          <cell r="AC283">
            <v>185</v>
          </cell>
          <cell r="AD283">
            <v>55</v>
          </cell>
          <cell r="AE283">
            <v>155</v>
          </cell>
          <cell r="AF283">
            <v>675</v>
          </cell>
          <cell r="AG283">
            <v>960</v>
          </cell>
          <cell r="AH283">
            <v>1005</v>
          </cell>
          <cell r="AI283">
            <v>2060</v>
          </cell>
          <cell r="AJ283">
            <v>200</v>
          </cell>
          <cell r="AK283">
            <v>1310</v>
          </cell>
          <cell r="AL283">
            <v>725</v>
          </cell>
          <cell r="AM283">
            <v>725</v>
          </cell>
          <cell r="AN283">
            <v>1385</v>
          </cell>
          <cell r="AO283">
            <v>950</v>
          </cell>
          <cell r="AP283">
            <v>1325</v>
          </cell>
          <cell r="AQ283">
            <v>1210</v>
          </cell>
          <cell r="AR283">
            <v>2345</v>
          </cell>
          <cell r="AS283">
            <v>1395</v>
          </cell>
          <cell r="AT283">
            <v>2140</v>
          </cell>
          <cell r="AU283">
            <v>965</v>
          </cell>
          <cell r="AV283">
            <v>1215</v>
          </cell>
          <cell r="AW283">
            <v>1125</v>
          </cell>
          <cell r="AX283">
            <v>1230</v>
          </cell>
          <cell r="AY283">
            <v>1220</v>
          </cell>
          <cell r="AZ283">
            <v>1265</v>
          </cell>
          <cell r="BA283">
            <v>735</v>
          </cell>
          <cell r="BB283">
            <v>1210</v>
          </cell>
          <cell r="BC283">
            <v>170</v>
          </cell>
          <cell r="BD283">
            <v>295</v>
          </cell>
          <cell r="BE283">
            <v>1690</v>
          </cell>
          <cell r="BF283">
            <v>325</v>
          </cell>
          <cell r="BG283">
            <v>1345</v>
          </cell>
          <cell r="BH283">
            <v>1295</v>
          </cell>
          <cell r="BI283">
            <v>1050</v>
          </cell>
          <cell r="BJ283">
            <v>470</v>
          </cell>
          <cell r="BK283">
            <v>1635</v>
          </cell>
          <cell r="BL283">
            <v>1285</v>
          </cell>
          <cell r="BM283">
            <v>945</v>
          </cell>
          <cell r="BN283">
            <v>895</v>
          </cell>
          <cell r="BO283">
            <v>1095</v>
          </cell>
          <cell r="BP283">
            <v>15</v>
          </cell>
          <cell r="BQ283">
            <v>775</v>
          </cell>
          <cell r="BR283">
            <v>760</v>
          </cell>
          <cell r="BS283">
            <v>1405</v>
          </cell>
          <cell r="BT283">
            <v>480</v>
          </cell>
          <cell r="BU283">
            <v>2035</v>
          </cell>
          <cell r="BV283">
            <v>1175</v>
          </cell>
          <cell r="BW283">
            <v>710</v>
          </cell>
          <cell r="BX283">
            <v>450</v>
          </cell>
          <cell r="BY283">
            <v>120</v>
          </cell>
          <cell r="BZ283">
            <v>125</v>
          </cell>
          <cell r="CA283">
            <v>335</v>
          </cell>
          <cell r="CB283">
            <v>420</v>
          </cell>
          <cell r="CC283">
            <v>290</v>
          </cell>
          <cell r="CD283">
            <v>1035</v>
          </cell>
          <cell r="CE283">
            <v>695</v>
          </cell>
          <cell r="CF283">
            <v>935</v>
          </cell>
          <cell r="CG283">
            <v>575</v>
          </cell>
          <cell r="CH283">
            <v>315</v>
          </cell>
          <cell r="CI283">
            <v>460</v>
          </cell>
          <cell r="CJ283">
            <v>105</v>
          </cell>
          <cell r="CK283">
            <v>1200</v>
          </cell>
          <cell r="CL283">
            <v>440</v>
          </cell>
          <cell r="CM283">
            <v>125</v>
          </cell>
          <cell r="CN283">
            <v>1625</v>
          </cell>
          <cell r="CO283">
            <v>465</v>
          </cell>
          <cell r="CP283">
            <v>1330</v>
          </cell>
          <cell r="CQ283">
            <v>375</v>
          </cell>
          <cell r="CR283">
            <v>130</v>
          </cell>
          <cell r="CS283">
            <v>1220</v>
          </cell>
          <cell r="CT283">
            <v>1230</v>
          </cell>
          <cell r="CU283">
            <v>2310</v>
          </cell>
          <cell r="CV283">
            <v>2295</v>
          </cell>
          <cell r="CW283">
            <v>2275</v>
          </cell>
          <cell r="CX283">
            <v>1225</v>
          </cell>
          <cell r="CY283">
            <v>2845</v>
          </cell>
          <cell r="CZ283">
            <v>435</v>
          </cell>
          <cell r="DA283">
            <v>1780</v>
          </cell>
          <cell r="DB283">
            <v>960</v>
          </cell>
          <cell r="DC283">
            <v>1990</v>
          </cell>
          <cell r="DD283">
            <v>1015</v>
          </cell>
          <cell r="DE283">
            <v>225</v>
          </cell>
          <cell r="DF283">
            <v>25</v>
          </cell>
          <cell r="DG283" t="str">
            <v>ACTIVO</v>
          </cell>
          <cell r="DH283" t="str">
            <v>A</v>
          </cell>
          <cell r="DI283"/>
          <cell r="DJ283">
            <v>1106.4000000000001</v>
          </cell>
          <cell r="DK283">
            <v>184.4</v>
          </cell>
          <cell r="DL283">
            <v>549.33496539816088</v>
          </cell>
          <cell r="DM283">
            <v>665</v>
          </cell>
          <cell r="DN283">
            <v>2190829.2000000002</v>
          </cell>
          <cell r="DO283">
            <v>0.60104844540853208</v>
          </cell>
          <cell r="DP283" t="str">
            <v>COMPRAR</v>
          </cell>
          <cell r="DQ283">
            <v>368.8</v>
          </cell>
        </row>
        <row r="284">
          <cell r="B284">
            <v>405491</v>
          </cell>
          <cell r="C284" t="str">
            <v>FILLING DE MANZANA MEL</v>
          </cell>
          <cell r="D284"/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>
            <v>319.09999999999997</v>
          </cell>
          <cell r="AI284">
            <v>376.45</v>
          </cell>
          <cell r="AJ284">
            <v>543</v>
          </cell>
          <cell r="AK284">
            <v>429.3</v>
          </cell>
          <cell r="AL284">
            <v>567</v>
          </cell>
          <cell r="AM284">
            <v>420</v>
          </cell>
          <cell r="AN284">
            <v>495</v>
          </cell>
          <cell r="AO284">
            <v>417</v>
          </cell>
          <cell r="AP284">
            <v>720</v>
          </cell>
          <cell r="AQ284">
            <v>548</v>
          </cell>
          <cell r="AR284">
            <v>675.4</v>
          </cell>
          <cell r="AS284">
            <v>729</v>
          </cell>
          <cell r="AT284">
            <v>660</v>
          </cell>
          <cell r="AU284">
            <v>838</v>
          </cell>
          <cell r="AV284">
            <v>646.5</v>
          </cell>
          <cell r="AW284">
            <v>763</v>
          </cell>
          <cell r="AX284">
            <v>805.5</v>
          </cell>
          <cell r="AY284">
            <v>498</v>
          </cell>
          <cell r="AZ284">
            <v>803.5</v>
          </cell>
          <cell r="BA284">
            <v>570</v>
          </cell>
          <cell r="BB284">
            <v>219.5</v>
          </cell>
          <cell r="BC284">
            <v>398.5</v>
          </cell>
          <cell r="BD284">
            <v>342</v>
          </cell>
          <cell r="BE284">
            <v>316</v>
          </cell>
          <cell r="BF284">
            <v>633.5</v>
          </cell>
          <cell r="BG284">
            <v>476</v>
          </cell>
          <cell r="BH284">
            <v>352</v>
          </cell>
          <cell r="BI284">
            <v>295</v>
          </cell>
          <cell r="BJ284">
            <v>696</v>
          </cell>
          <cell r="BK284">
            <v>949.15</v>
          </cell>
          <cell r="BL284">
            <v>465</v>
          </cell>
          <cell r="BM284">
            <v>390</v>
          </cell>
          <cell r="BN284">
            <v>339</v>
          </cell>
          <cell r="BO284">
            <v>366</v>
          </cell>
          <cell r="BP284">
            <v>39</v>
          </cell>
          <cell r="BQ284">
            <v>414</v>
          </cell>
          <cell r="BR284">
            <v>408</v>
          </cell>
          <cell r="BS284">
            <v>375</v>
          </cell>
          <cell r="BT284">
            <v>297</v>
          </cell>
          <cell r="BU284">
            <v>312</v>
          </cell>
          <cell r="BV284">
            <v>249</v>
          </cell>
          <cell r="BW284">
            <v>276</v>
          </cell>
          <cell r="BX284">
            <v>210</v>
          </cell>
          <cell r="BY284">
            <v>213</v>
          </cell>
          <cell r="BZ284">
            <v>264</v>
          </cell>
          <cell r="CA284">
            <v>296</v>
          </cell>
          <cell r="CB284">
            <v>180</v>
          </cell>
          <cell r="CC284">
            <v>261</v>
          </cell>
          <cell r="CD284">
            <v>201</v>
          </cell>
          <cell r="CE284">
            <v>123</v>
          </cell>
          <cell r="CF284">
            <v>84</v>
          </cell>
          <cell r="CG284">
            <v>228</v>
          </cell>
          <cell r="CH284">
            <v>225</v>
          </cell>
          <cell r="CI284">
            <v>253.2</v>
          </cell>
          <cell r="CJ284">
            <v>201</v>
          </cell>
          <cell r="CK284">
            <v>231</v>
          </cell>
          <cell r="CL284">
            <v>189</v>
          </cell>
          <cell r="CM284">
            <v>277</v>
          </cell>
          <cell r="CN284">
            <v>368.3</v>
          </cell>
          <cell r="CO284">
            <v>244</v>
          </cell>
          <cell r="CP284">
            <v>247</v>
          </cell>
          <cell r="CQ284">
            <v>238</v>
          </cell>
          <cell r="CR284">
            <v>267</v>
          </cell>
          <cell r="CS284">
            <v>244</v>
          </cell>
          <cell r="CT284">
            <v>399</v>
          </cell>
          <cell r="CU284">
            <v>257.7</v>
          </cell>
          <cell r="CV284">
            <v>321</v>
          </cell>
          <cell r="CW284">
            <v>293</v>
          </cell>
          <cell r="CX284">
            <v>319</v>
          </cell>
          <cell r="CY284">
            <v>378</v>
          </cell>
          <cell r="CZ284">
            <v>284</v>
          </cell>
          <cell r="DA284">
            <v>348</v>
          </cell>
          <cell r="DB284">
            <v>384</v>
          </cell>
          <cell r="DC284">
            <v>365</v>
          </cell>
          <cell r="DD284">
            <v>396.5</v>
          </cell>
          <cell r="DE284">
            <v>324</v>
          </cell>
          <cell r="DF284">
            <v>60</v>
          </cell>
          <cell r="DG284" t="str">
            <v>ACTIVO</v>
          </cell>
          <cell r="DH284" t="str">
            <v>A</v>
          </cell>
          <cell r="DI284"/>
          <cell r="DJ284">
            <v>281.66800000000001</v>
          </cell>
          <cell r="DK284">
            <v>46.94466666666667</v>
          </cell>
          <cell r="DL284">
            <v>206.24473266248609</v>
          </cell>
          <cell r="DM284">
            <v>656</v>
          </cell>
          <cell r="DN284">
            <v>1815637.44</v>
          </cell>
          <cell r="DO284">
            <v>2.3289830580683639</v>
          </cell>
          <cell r="DP284" t="str">
            <v>OK</v>
          </cell>
          <cell r="DQ284">
            <v>93.88933333333334</v>
          </cell>
        </row>
        <row r="285">
          <cell r="B285">
            <v>405436</v>
          </cell>
          <cell r="C285" t="str">
            <v>PURE DE MANZANA BALDE 4,5 Kg MEL</v>
          </cell>
          <cell r="D285"/>
          <cell r="E285"/>
          <cell r="F285"/>
          <cell r="G285"/>
          <cell r="H285"/>
          <cell r="I285"/>
          <cell r="J285"/>
          <cell r="K285"/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>
            <v>220.5</v>
          </cell>
          <cell r="AI285">
            <v>409.5</v>
          </cell>
          <cell r="AJ285">
            <v>549</v>
          </cell>
          <cell r="AK285">
            <v>490.5</v>
          </cell>
          <cell r="AL285">
            <v>580.5</v>
          </cell>
          <cell r="AM285">
            <v>427.5</v>
          </cell>
          <cell r="AN285">
            <v>562.5</v>
          </cell>
          <cell r="AO285">
            <v>607.5</v>
          </cell>
          <cell r="AP285">
            <v>585</v>
          </cell>
          <cell r="AQ285">
            <v>685.5</v>
          </cell>
          <cell r="AR285">
            <v>650.5</v>
          </cell>
          <cell r="AS285">
            <v>925</v>
          </cell>
          <cell r="AT285">
            <v>654</v>
          </cell>
          <cell r="AU285">
            <v>676.5</v>
          </cell>
          <cell r="AV285">
            <v>1134.8499999999999</v>
          </cell>
          <cell r="AW285">
            <v>736</v>
          </cell>
          <cell r="AX285">
            <v>811</v>
          </cell>
          <cell r="AY285">
            <v>533.5</v>
          </cell>
          <cell r="AZ285">
            <v>673</v>
          </cell>
          <cell r="BA285">
            <v>711.5</v>
          </cell>
          <cell r="BB285">
            <v>414</v>
          </cell>
          <cell r="BC285">
            <v>593.79999999999995</v>
          </cell>
          <cell r="BD285">
            <v>378</v>
          </cell>
          <cell r="BE285">
            <v>309.5</v>
          </cell>
          <cell r="BF285">
            <v>365</v>
          </cell>
          <cell r="BG285">
            <v>526</v>
          </cell>
          <cell r="BH285">
            <v>382</v>
          </cell>
          <cell r="BI285">
            <v>313.5</v>
          </cell>
          <cell r="BJ285">
            <v>248.5</v>
          </cell>
          <cell r="BK285">
            <v>1121</v>
          </cell>
          <cell r="BL285">
            <v>416.5</v>
          </cell>
          <cell r="BM285">
            <v>423.5</v>
          </cell>
          <cell r="BN285">
            <v>340.5</v>
          </cell>
          <cell r="BO285">
            <v>370</v>
          </cell>
          <cell r="BP285">
            <v>38.5</v>
          </cell>
          <cell r="BQ285">
            <v>424</v>
          </cell>
          <cell r="BR285">
            <v>414.5</v>
          </cell>
          <cell r="BS285">
            <v>406</v>
          </cell>
          <cell r="BT285">
            <v>390</v>
          </cell>
          <cell r="BU285">
            <v>361.5</v>
          </cell>
          <cell r="BV285">
            <v>310</v>
          </cell>
          <cell r="BW285">
            <v>311.5</v>
          </cell>
          <cell r="BX285">
            <v>247.5</v>
          </cell>
          <cell r="BY285">
            <v>210</v>
          </cell>
          <cell r="BZ285">
            <v>313.5</v>
          </cell>
          <cell r="CA285">
            <v>300.5</v>
          </cell>
          <cell r="CB285">
            <v>182.5</v>
          </cell>
          <cell r="CC285">
            <v>281</v>
          </cell>
          <cell r="CD285">
            <v>236</v>
          </cell>
          <cell r="CE285">
            <v>151.5</v>
          </cell>
          <cell r="CF285">
            <v>129</v>
          </cell>
          <cell r="CG285">
            <v>235</v>
          </cell>
          <cell r="CH285">
            <v>223</v>
          </cell>
          <cell r="CI285">
            <v>210</v>
          </cell>
          <cell r="CJ285">
            <v>207</v>
          </cell>
          <cell r="CK285">
            <v>234.5</v>
          </cell>
          <cell r="CL285">
            <v>188.5</v>
          </cell>
          <cell r="CM285">
            <v>192.5</v>
          </cell>
          <cell r="CN285">
            <v>227.5</v>
          </cell>
          <cell r="CO285">
            <v>220.5</v>
          </cell>
          <cell r="CP285">
            <v>234.5</v>
          </cell>
          <cell r="CQ285">
            <v>236.5</v>
          </cell>
          <cell r="CR285">
            <v>268</v>
          </cell>
          <cell r="CS285">
            <v>232</v>
          </cell>
          <cell r="CT285">
            <v>210</v>
          </cell>
          <cell r="CU285"/>
          <cell r="CV285">
            <v>52.5</v>
          </cell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 t="str">
            <v>ACTIVO</v>
          </cell>
          <cell r="DH285" t="str">
            <v>A</v>
          </cell>
          <cell r="DI285"/>
          <cell r="DJ285">
            <v>206.3125</v>
          </cell>
          <cell r="DK285">
            <v>34.385416666666664</v>
          </cell>
          <cell r="DL285">
            <v>227.46549269805152</v>
          </cell>
          <cell r="DM285">
            <v>451.5</v>
          </cell>
          <cell r="DN285">
            <v>1096485.81</v>
          </cell>
          <cell r="DO285">
            <v>2.1884277491669191</v>
          </cell>
          <cell r="DP285" t="str">
            <v>OK</v>
          </cell>
          <cell r="DQ285">
            <v>68.770833333333329</v>
          </cell>
        </row>
        <row r="286">
          <cell r="B286">
            <v>405524</v>
          </cell>
          <cell r="C286" t="str">
            <v>CREMFIL DULCE DE LECHE PURATOS</v>
          </cell>
          <cell r="D286"/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>
            <v>57</v>
          </cell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>
            <v>19</v>
          </cell>
          <cell r="BR286">
            <v>38</v>
          </cell>
          <cell r="BS286">
            <v>56</v>
          </cell>
          <cell r="BT286">
            <v>57</v>
          </cell>
          <cell r="BU286">
            <v>114</v>
          </cell>
          <cell r="BV286">
            <v>57</v>
          </cell>
          <cell r="BW286">
            <v>76</v>
          </cell>
          <cell r="BX286">
            <v>76</v>
          </cell>
          <cell r="BY286">
            <v>57</v>
          </cell>
          <cell r="BZ286">
            <v>57</v>
          </cell>
          <cell r="CA286">
            <v>38</v>
          </cell>
          <cell r="CB286">
            <v>38</v>
          </cell>
          <cell r="CC286">
            <v>57</v>
          </cell>
          <cell r="CD286">
            <v>57</v>
          </cell>
          <cell r="CE286">
            <v>38</v>
          </cell>
          <cell r="CF286">
            <v>19</v>
          </cell>
          <cell r="CG286">
            <v>38</v>
          </cell>
          <cell r="CH286">
            <v>38</v>
          </cell>
          <cell r="CI286">
            <v>76</v>
          </cell>
          <cell r="CJ286">
            <v>57</v>
          </cell>
          <cell r="CK286">
            <v>152</v>
          </cell>
          <cell r="CL286">
            <v>38</v>
          </cell>
          <cell r="CM286">
            <v>19</v>
          </cell>
          <cell r="CN286">
            <v>57</v>
          </cell>
          <cell r="CO286">
            <v>56</v>
          </cell>
          <cell r="CP286">
            <v>75</v>
          </cell>
          <cell r="CQ286">
            <v>57</v>
          </cell>
          <cell r="CR286">
            <v>37</v>
          </cell>
          <cell r="CS286">
            <v>56</v>
          </cell>
          <cell r="CT286">
            <v>38</v>
          </cell>
          <cell r="CU286">
            <v>37</v>
          </cell>
          <cell r="CV286">
            <v>57</v>
          </cell>
          <cell r="CW286">
            <v>56</v>
          </cell>
          <cell r="CX286"/>
          <cell r="CY286">
            <v>57</v>
          </cell>
          <cell r="CZ286">
            <v>19</v>
          </cell>
          <cell r="DA286">
            <v>19</v>
          </cell>
          <cell r="DB286">
            <v>38</v>
          </cell>
          <cell r="DC286">
            <v>38</v>
          </cell>
          <cell r="DD286">
            <v>37</v>
          </cell>
          <cell r="DE286">
            <v>57</v>
          </cell>
          <cell r="DF286"/>
          <cell r="DG286" t="str">
            <v>ACTIVO</v>
          </cell>
          <cell r="DH286" t="str">
            <v>C</v>
          </cell>
          <cell r="DI286"/>
          <cell r="DJ286">
            <v>48.791666666666664</v>
          </cell>
          <cell r="DK286">
            <v>8.1319444444444446</v>
          </cell>
          <cell r="DL286">
            <v>21.346350195447151</v>
          </cell>
          <cell r="DM286">
            <v>133</v>
          </cell>
          <cell r="DN286">
            <v>482522.67</v>
          </cell>
          <cell r="DO286">
            <v>2.7258753202391119</v>
          </cell>
          <cell r="DP286" t="str">
            <v>OK</v>
          </cell>
          <cell r="DQ286">
            <v>32.527777777777779</v>
          </cell>
        </row>
        <row r="287">
          <cell r="B287">
            <v>405318</v>
          </cell>
          <cell r="C287" t="str">
            <v>MERM. EBEL FRUTOS DEL BOSQUE BALDE 5 KG</v>
          </cell>
          <cell r="D287">
            <v>150</v>
          </cell>
          <cell r="E287">
            <v>255</v>
          </cell>
          <cell r="F287">
            <v>55</v>
          </cell>
          <cell r="G287">
            <v>335</v>
          </cell>
          <cell r="H287">
            <v>220</v>
          </cell>
          <cell r="I287">
            <v>430</v>
          </cell>
          <cell r="J287">
            <v>410</v>
          </cell>
          <cell r="K287">
            <v>470</v>
          </cell>
          <cell r="L287">
            <v>395</v>
          </cell>
          <cell r="M287">
            <v>160</v>
          </cell>
          <cell r="N287">
            <v>160</v>
          </cell>
          <cell r="O287">
            <v>320</v>
          </cell>
          <cell r="P287">
            <v>100</v>
          </cell>
          <cell r="Q287">
            <v>410</v>
          </cell>
          <cell r="R287">
            <v>350</v>
          </cell>
          <cell r="S287">
            <v>310</v>
          </cell>
          <cell r="T287">
            <v>125</v>
          </cell>
          <cell r="U287">
            <v>450</v>
          </cell>
          <cell r="V287">
            <v>75</v>
          </cell>
          <cell r="W287">
            <v>75</v>
          </cell>
          <cell r="X287">
            <v>495</v>
          </cell>
          <cell r="Y287">
            <v>75</v>
          </cell>
          <cell r="Z287">
            <v>540</v>
          </cell>
          <cell r="AA287">
            <v>55</v>
          </cell>
          <cell r="AB287">
            <v>510</v>
          </cell>
          <cell r="AC287">
            <v>55</v>
          </cell>
          <cell r="AD287">
            <v>30</v>
          </cell>
          <cell r="AE287">
            <v>25</v>
          </cell>
          <cell r="AF287">
            <v>55</v>
          </cell>
          <cell r="AG287">
            <v>60</v>
          </cell>
          <cell r="AH287">
            <v>55</v>
          </cell>
          <cell r="AI287">
            <v>450</v>
          </cell>
          <cell r="AJ287">
            <v>520</v>
          </cell>
          <cell r="AK287"/>
          <cell r="AL287"/>
          <cell r="AM287">
            <v>425</v>
          </cell>
          <cell r="AN287">
            <v>150</v>
          </cell>
          <cell r="AO287"/>
          <cell r="AP287">
            <v>525</v>
          </cell>
          <cell r="AQ287"/>
          <cell r="AR287"/>
          <cell r="AS287">
            <v>425</v>
          </cell>
          <cell r="AT287">
            <v>50</v>
          </cell>
          <cell r="AU287"/>
          <cell r="AV287"/>
          <cell r="AW287">
            <v>245</v>
          </cell>
          <cell r="AX287"/>
          <cell r="AY287"/>
          <cell r="AZ287">
            <v>305</v>
          </cell>
          <cell r="BA287">
            <v>285</v>
          </cell>
          <cell r="BB287">
            <v>285</v>
          </cell>
          <cell r="BC287">
            <v>520</v>
          </cell>
          <cell r="BD287">
            <v>100</v>
          </cell>
          <cell r="BE287">
            <v>330</v>
          </cell>
          <cell r="BF287"/>
          <cell r="BG287"/>
          <cell r="BH287"/>
          <cell r="BI287">
            <v>285</v>
          </cell>
          <cell r="BJ287">
            <v>260</v>
          </cell>
          <cell r="BK287">
            <v>170</v>
          </cell>
          <cell r="BL287">
            <v>175</v>
          </cell>
          <cell r="BM287">
            <v>215</v>
          </cell>
          <cell r="BN287">
            <v>210</v>
          </cell>
          <cell r="BO287">
            <v>75</v>
          </cell>
          <cell r="BP287"/>
          <cell r="BQ287">
            <v>180</v>
          </cell>
          <cell r="BR287">
            <v>50</v>
          </cell>
          <cell r="BS287">
            <v>235</v>
          </cell>
          <cell r="BT287">
            <v>370</v>
          </cell>
          <cell r="BU287">
            <v>110</v>
          </cell>
          <cell r="BV287"/>
          <cell r="BW287"/>
          <cell r="BX287"/>
          <cell r="BY287">
            <v>195</v>
          </cell>
          <cell r="BZ287">
            <v>245</v>
          </cell>
          <cell r="CA287">
            <v>235</v>
          </cell>
          <cell r="CB287">
            <v>200</v>
          </cell>
          <cell r="CC287"/>
          <cell r="CD287">
            <v>475</v>
          </cell>
          <cell r="CE287"/>
          <cell r="CF287"/>
          <cell r="CG287"/>
          <cell r="CH287">
            <v>425</v>
          </cell>
          <cell r="CI287">
            <v>115</v>
          </cell>
          <cell r="CJ287"/>
          <cell r="CK287"/>
          <cell r="CL287">
            <v>490</v>
          </cell>
          <cell r="CM287">
            <v>5</v>
          </cell>
          <cell r="CN287">
            <v>370</v>
          </cell>
          <cell r="CO287">
            <v>160</v>
          </cell>
          <cell r="CP287"/>
          <cell r="CQ287">
            <v>25</v>
          </cell>
          <cell r="CR287">
            <v>450</v>
          </cell>
          <cell r="CS287">
            <v>30</v>
          </cell>
          <cell r="CT287">
            <v>360</v>
          </cell>
          <cell r="CU287"/>
          <cell r="CV287"/>
          <cell r="CW287">
            <v>125</v>
          </cell>
          <cell r="CX287">
            <v>30</v>
          </cell>
          <cell r="CY287">
            <v>285</v>
          </cell>
          <cell r="CZ287">
            <v>100</v>
          </cell>
          <cell r="DA287">
            <v>330</v>
          </cell>
          <cell r="DB287">
            <v>115</v>
          </cell>
          <cell r="DC287">
            <v>260</v>
          </cell>
          <cell r="DD287">
            <v>515</v>
          </cell>
          <cell r="DE287"/>
          <cell r="DF287"/>
          <cell r="DG287" t="str">
            <v>ACTIVO</v>
          </cell>
          <cell r="DH287" t="str">
            <v>B</v>
          </cell>
          <cell r="DI287"/>
          <cell r="DJ287">
            <v>232.77777777777777</v>
          </cell>
          <cell r="DK287">
            <v>38.796296296296298</v>
          </cell>
          <cell r="DL287">
            <v>148.55352994965889</v>
          </cell>
          <cell r="DM287">
            <v>625</v>
          </cell>
          <cell r="DN287">
            <v>1788750</v>
          </cell>
          <cell r="DO287">
            <v>2.6849642004773271</v>
          </cell>
          <cell r="DP287" t="str">
            <v>OK</v>
          </cell>
          <cell r="DQ287">
            <v>77.592592592592595</v>
          </cell>
        </row>
        <row r="288">
          <cell r="B288">
            <v>405558</v>
          </cell>
          <cell r="C288" t="str">
            <v>RELLENO CREMA VAINILLA BAKELS</v>
          </cell>
          <cell r="D288"/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>
            <v>18</v>
          </cell>
          <cell r="BR288">
            <v>37</v>
          </cell>
          <cell r="BS288">
            <v>18</v>
          </cell>
          <cell r="BT288">
            <v>18</v>
          </cell>
          <cell r="BU288">
            <v>36</v>
          </cell>
          <cell r="BV288">
            <v>18</v>
          </cell>
          <cell r="BW288">
            <v>36</v>
          </cell>
          <cell r="BX288">
            <v>36</v>
          </cell>
          <cell r="BY288"/>
          <cell r="BZ288"/>
          <cell r="CA288"/>
          <cell r="CB288"/>
          <cell r="CC288"/>
          <cell r="CD288"/>
          <cell r="CE288">
            <v>18</v>
          </cell>
          <cell r="CF288">
            <v>18</v>
          </cell>
          <cell r="CG288"/>
          <cell r="CH288">
            <v>19</v>
          </cell>
          <cell r="CI288">
            <v>19</v>
          </cell>
          <cell r="CJ288">
            <v>36</v>
          </cell>
          <cell r="CK288">
            <v>36</v>
          </cell>
          <cell r="CL288">
            <v>18</v>
          </cell>
          <cell r="CM288"/>
          <cell r="CN288">
            <v>36</v>
          </cell>
          <cell r="CO288">
            <v>18</v>
          </cell>
          <cell r="CP288">
            <v>18</v>
          </cell>
          <cell r="CQ288"/>
          <cell r="CR288">
            <v>146</v>
          </cell>
          <cell r="CS288">
            <v>253</v>
          </cell>
          <cell r="CT288">
            <v>593</v>
          </cell>
          <cell r="CU288">
            <v>1189</v>
          </cell>
          <cell r="CV288">
            <v>777</v>
          </cell>
          <cell r="CW288">
            <v>1423</v>
          </cell>
          <cell r="CX288">
            <v>728</v>
          </cell>
          <cell r="CY288">
            <v>18</v>
          </cell>
          <cell r="CZ288">
            <v>254</v>
          </cell>
          <cell r="DA288">
            <v>450</v>
          </cell>
          <cell r="DB288">
            <v>379</v>
          </cell>
          <cell r="DC288">
            <v>162</v>
          </cell>
          <cell r="DD288">
            <v>234</v>
          </cell>
          <cell r="DE288">
            <v>235</v>
          </cell>
          <cell r="DF288"/>
          <cell r="DG288" t="str">
            <v>ACTIVO</v>
          </cell>
          <cell r="DH288" t="str">
            <v>C</v>
          </cell>
          <cell r="DI288"/>
          <cell r="DJ288">
            <v>310.18181818181819</v>
          </cell>
          <cell r="DK288">
            <v>51.696969696969695</v>
          </cell>
          <cell r="DL288">
            <v>9.6234666888346982</v>
          </cell>
          <cell r="DM288">
            <v>252</v>
          </cell>
          <cell r="DN288">
            <v>693000</v>
          </cell>
          <cell r="DO288">
            <v>0.81242672919109027</v>
          </cell>
          <cell r="DP288" t="str">
            <v>OK</v>
          </cell>
          <cell r="DQ288">
            <v>155.09090909090909</v>
          </cell>
        </row>
        <row r="289">
          <cell r="B289">
            <v>405612</v>
          </cell>
          <cell r="C289" t="str">
            <v>SATIN PURATOS</v>
          </cell>
          <cell r="D289"/>
          <cell r="E289"/>
          <cell r="F289"/>
          <cell r="G289"/>
          <cell r="H289"/>
          <cell r="I289"/>
          <cell r="J289"/>
          <cell r="K289"/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>
            <v>218</v>
          </cell>
          <cell r="BT289">
            <v>282</v>
          </cell>
          <cell r="BU289">
            <v>240</v>
          </cell>
          <cell r="BV289">
            <v>260</v>
          </cell>
          <cell r="BW289">
            <v>260</v>
          </cell>
          <cell r="BX289">
            <v>180</v>
          </cell>
          <cell r="BY289">
            <v>160</v>
          </cell>
          <cell r="BZ289">
            <v>140</v>
          </cell>
          <cell r="CA289">
            <v>180</v>
          </cell>
          <cell r="CB289">
            <v>160</v>
          </cell>
          <cell r="CC289">
            <v>210</v>
          </cell>
          <cell r="CD289">
            <v>160</v>
          </cell>
          <cell r="CE289">
            <v>120</v>
          </cell>
          <cell r="CF289">
            <v>20</v>
          </cell>
          <cell r="CG289">
            <v>160</v>
          </cell>
          <cell r="CH289">
            <v>180</v>
          </cell>
          <cell r="CI289">
            <v>260</v>
          </cell>
          <cell r="CJ289">
            <v>260</v>
          </cell>
          <cell r="CK289">
            <v>260</v>
          </cell>
          <cell r="CL289">
            <v>220</v>
          </cell>
          <cell r="CM289">
            <v>180</v>
          </cell>
          <cell r="CN289">
            <v>200</v>
          </cell>
          <cell r="CO289">
            <v>220</v>
          </cell>
          <cell r="CP289">
            <v>240</v>
          </cell>
          <cell r="CQ289">
            <v>220</v>
          </cell>
          <cell r="CR289">
            <v>220</v>
          </cell>
          <cell r="CS289">
            <v>200</v>
          </cell>
          <cell r="CT289">
            <v>240</v>
          </cell>
          <cell r="CU289">
            <v>180</v>
          </cell>
          <cell r="CV289">
            <v>240</v>
          </cell>
          <cell r="CW289">
            <v>220</v>
          </cell>
          <cell r="CX289">
            <v>180</v>
          </cell>
          <cell r="CY289">
            <v>240</v>
          </cell>
          <cell r="CZ289">
            <v>240</v>
          </cell>
          <cell r="DA289">
            <v>240</v>
          </cell>
          <cell r="DB289">
            <v>240</v>
          </cell>
          <cell r="DC289">
            <v>220</v>
          </cell>
          <cell r="DD289">
            <v>200</v>
          </cell>
          <cell r="DE289">
            <v>240</v>
          </cell>
          <cell r="DF289">
            <v>40</v>
          </cell>
          <cell r="DG289" t="str">
            <v>ACTIVO</v>
          </cell>
          <cell r="DH289" t="str">
            <v>C</v>
          </cell>
          <cell r="DI289"/>
          <cell r="DJ289">
            <v>211.2</v>
          </cell>
          <cell r="DK289">
            <v>35.199999999999996</v>
          </cell>
          <cell r="DL289">
            <v>51.217484995172995</v>
          </cell>
          <cell r="DM289">
            <v>320</v>
          </cell>
          <cell r="DN289">
            <v>526400</v>
          </cell>
          <cell r="DO289">
            <v>1.5151515151515151</v>
          </cell>
          <cell r="DP289" t="str">
            <v>OK</v>
          </cell>
          <cell r="DQ289">
            <v>140.79999999999998</v>
          </cell>
        </row>
        <row r="290">
          <cell r="B290">
            <v>107157</v>
          </cell>
          <cell r="C290" t="str">
            <v>MERM. EBEL GUINDA (ET. VERDE) BL 5 Kg</v>
          </cell>
          <cell r="D290">
            <v>1510</v>
          </cell>
          <cell r="E290">
            <v>1800</v>
          </cell>
          <cell r="F290">
            <v>1345</v>
          </cell>
          <cell r="G290">
            <v>1710</v>
          </cell>
          <cell r="H290">
            <v>2625</v>
          </cell>
          <cell r="I290">
            <v>1645</v>
          </cell>
          <cell r="J290">
            <v>1865</v>
          </cell>
          <cell r="K290">
            <v>1715</v>
          </cell>
          <cell r="L290">
            <v>1750</v>
          </cell>
          <cell r="M290">
            <v>1635</v>
          </cell>
          <cell r="N290">
            <v>1995</v>
          </cell>
          <cell r="O290">
            <v>720</v>
          </cell>
          <cell r="P290">
            <v>1405</v>
          </cell>
          <cell r="Q290">
            <v>1615</v>
          </cell>
          <cell r="R290">
            <v>1820</v>
          </cell>
          <cell r="S290">
            <v>1900</v>
          </cell>
          <cell r="T290">
            <v>1075</v>
          </cell>
          <cell r="U290">
            <v>2445</v>
          </cell>
          <cell r="V290">
            <v>1930</v>
          </cell>
          <cell r="W290">
            <v>505</v>
          </cell>
          <cell r="X290">
            <v>1470</v>
          </cell>
          <cell r="Y290">
            <v>2980</v>
          </cell>
          <cell r="Z290">
            <v>570</v>
          </cell>
          <cell r="AA290">
            <v>2170</v>
          </cell>
          <cell r="AB290">
            <v>1210</v>
          </cell>
          <cell r="AC290">
            <v>650</v>
          </cell>
          <cell r="AD290">
            <v>465</v>
          </cell>
          <cell r="AE290">
            <v>20</v>
          </cell>
          <cell r="AF290">
            <v>1217</v>
          </cell>
          <cell r="AG290">
            <v>915</v>
          </cell>
          <cell r="AH290">
            <v>473</v>
          </cell>
          <cell r="AI290">
            <v>685</v>
          </cell>
          <cell r="AJ290">
            <v>1890</v>
          </cell>
          <cell r="AK290">
            <v>1005</v>
          </cell>
          <cell r="AL290">
            <v>675</v>
          </cell>
          <cell r="AM290">
            <v>400</v>
          </cell>
          <cell r="AN290">
            <v>845</v>
          </cell>
          <cell r="AO290">
            <v>2105</v>
          </cell>
          <cell r="AP290">
            <v>465</v>
          </cell>
          <cell r="AQ290">
            <v>1415</v>
          </cell>
          <cell r="AR290">
            <v>805</v>
          </cell>
          <cell r="AS290">
            <v>1310</v>
          </cell>
          <cell r="AT290">
            <v>1450</v>
          </cell>
          <cell r="AU290">
            <v>2110</v>
          </cell>
          <cell r="AV290">
            <v>1960</v>
          </cell>
          <cell r="AW290">
            <v>1465</v>
          </cell>
          <cell r="AX290">
            <v>1365</v>
          </cell>
          <cell r="AY290">
            <v>965</v>
          </cell>
          <cell r="AZ290">
            <v>1945</v>
          </cell>
          <cell r="BA290">
            <v>2735</v>
          </cell>
          <cell r="BB290">
            <v>480</v>
          </cell>
          <cell r="BC290">
            <v>1085</v>
          </cell>
          <cell r="BD290">
            <v>1575</v>
          </cell>
          <cell r="BE290">
            <v>380</v>
          </cell>
          <cell r="BF290">
            <v>1545</v>
          </cell>
          <cell r="BG290">
            <v>235</v>
          </cell>
          <cell r="BH290">
            <v>2225</v>
          </cell>
          <cell r="BI290">
            <v>710</v>
          </cell>
          <cell r="BJ290">
            <v>820</v>
          </cell>
          <cell r="BK290">
            <v>410</v>
          </cell>
          <cell r="BL290">
            <v>495</v>
          </cell>
          <cell r="BM290">
            <v>1320</v>
          </cell>
          <cell r="BN290">
            <v>565</v>
          </cell>
          <cell r="BO290">
            <v>1130</v>
          </cell>
          <cell r="BP290">
            <v>255</v>
          </cell>
          <cell r="BQ290">
            <v>860</v>
          </cell>
          <cell r="BR290">
            <v>1175</v>
          </cell>
          <cell r="BS290">
            <v>2760</v>
          </cell>
          <cell r="BT290">
            <v>715</v>
          </cell>
          <cell r="BU290">
            <v>290</v>
          </cell>
          <cell r="BV290">
            <v>980</v>
          </cell>
          <cell r="BW290">
            <v>695</v>
          </cell>
          <cell r="BX290">
            <v>265</v>
          </cell>
          <cell r="BY290">
            <v>315</v>
          </cell>
          <cell r="BZ290">
            <v>760</v>
          </cell>
          <cell r="CA290">
            <v>1055</v>
          </cell>
          <cell r="CB290">
            <v>685</v>
          </cell>
          <cell r="CC290">
            <v>910</v>
          </cell>
          <cell r="CD290">
            <v>335</v>
          </cell>
          <cell r="CE290">
            <v>190</v>
          </cell>
          <cell r="CF290">
            <v>965</v>
          </cell>
          <cell r="CG290">
            <v>1360</v>
          </cell>
          <cell r="CH290">
            <v>920</v>
          </cell>
          <cell r="CI290">
            <v>1125</v>
          </cell>
          <cell r="CJ290">
            <v>1270</v>
          </cell>
          <cell r="CK290">
            <v>470</v>
          </cell>
          <cell r="CL290">
            <v>1355</v>
          </cell>
          <cell r="CM290">
            <v>1115</v>
          </cell>
          <cell r="CN290">
            <v>315</v>
          </cell>
          <cell r="CO290">
            <v>365</v>
          </cell>
          <cell r="CP290">
            <v>240</v>
          </cell>
          <cell r="CQ290">
            <v>3005</v>
          </cell>
          <cell r="CR290">
            <v>1205</v>
          </cell>
          <cell r="CS290">
            <v>270</v>
          </cell>
          <cell r="CT290">
            <v>250</v>
          </cell>
          <cell r="CU290">
            <v>455</v>
          </cell>
          <cell r="CV290">
            <v>485</v>
          </cell>
          <cell r="CW290">
            <v>95</v>
          </cell>
          <cell r="CX290">
            <v>170</v>
          </cell>
          <cell r="CY290">
            <v>970</v>
          </cell>
          <cell r="CZ290">
            <v>780</v>
          </cell>
          <cell r="DA290">
            <v>1505</v>
          </cell>
          <cell r="DB290">
            <v>660</v>
          </cell>
          <cell r="DC290">
            <v>1215</v>
          </cell>
          <cell r="DD290">
            <v>250</v>
          </cell>
          <cell r="DE290">
            <v>1480</v>
          </cell>
          <cell r="DF290">
            <v>10</v>
          </cell>
          <cell r="DG290" t="str">
            <v>ACTIVO</v>
          </cell>
          <cell r="DH290" t="str">
            <v>A</v>
          </cell>
          <cell r="DI290"/>
          <cell r="DJ290">
            <v>832.6</v>
          </cell>
          <cell r="DK290">
            <v>138.76666666666668</v>
          </cell>
          <cell r="DL290">
            <v>652.72380732605257</v>
          </cell>
          <cell r="DM290">
            <v>1240</v>
          </cell>
          <cell r="DN290">
            <v>2602375.6</v>
          </cell>
          <cell r="DO290">
            <v>1.4893105933221233</v>
          </cell>
          <cell r="DP290" t="str">
            <v>OK</v>
          </cell>
          <cell r="DQ290">
            <v>277.53333333333336</v>
          </cell>
        </row>
        <row r="291">
          <cell r="B291">
            <v>403391</v>
          </cell>
          <cell r="C291" t="str">
            <v>MERM. EBEL PIÑA QUINTA BALDE 5 Kg</v>
          </cell>
          <cell r="D291">
            <v>540</v>
          </cell>
          <cell r="E291">
            <v>75</v>
          </cell>
          <cell r="F291">
            <v>540</v>
          </cell>
          <cell r="G291">
            <v>45</v>
          </cell>
          <cell r="H291">
            <v>730</v>
          </cell>
          <cell r="I291">
            <v>355</v>
          </cell>
          <cell r="J291">
            <v>490</v>
          </cell>
          <cell r="K291">
            <v>65</v>
          </cell>
          <cell r="L291">
            <v>55</v>
          </cell>
          <cell r="M291">
            <v>595</v>
          </cell>
          <cell r="N291">
            <v>510</v>
          </cell>
          <cell r="O291">
            <v>30</v>
          </cell>
          <cell r="P291">
            <v>25</v>
          </cell>
          <cell r="Q291">
            <v>455</v>
          </cell>
          <cell r="R291">
            <v>95</v>
          </cell>
          <cell r="S291">
            <v>600</v>
          </cell>
          <cell r="T291">
            <v>575</v>
          </cell>
          <cell r="U291">
            <v>100</v>
          </cell>
          <cell r="V291">
            <v>705</v>
          </cell>
          <cell r="W291">
            <v>1225</v>
          </cell>
          <cell r="X291">
            <v>60</v>
          </cell>
          <cell r="Y291">
            <v>400</v>
          </cell>
          <cell r="Z291">
            <v>960</v>
          </cell>
          <cell r="AA291">
            <v>915</v>
          </cell>
          <cell r="AB291">
            <v>90</v>
          </cell>
          <cell r="AC291">
            <v>1240</v>
          </cell>
          <cell r="AD291">
            <v>15</v>
          </cell>
          <cell r="AE291">
            <v>50</v>
          </cell>
          <cell r="AF291">
            <v>566</v>
          </cell>
          <cell r="AG291">
            <v>549</v>
          </cell>
          <cell r="AH291">
            <v>815</v>
          </cell>
          <cell r="AI291">
            <v>400</v>
          </cell>
          <cell r="AJ291">
            <v>2245</v>
          </cell>
          <cell r="AK291">
            <v>475</v>
          </cell>
          <cell r="AL291">
            <v>440</v>
          </cell>
          <cell r="AM291">
            <v>450</v>
          </cell>
          <cell r="AN291">
            <v>510</v>
          </cell>
          <cell r="AO291">
            <v>625</v>
          </cell>
          <cell r="AP291">
            <v>655</v>
          </cell>
          <cell r="AQ291">
            <v>640</v>
          </cell>
          <cell r="AR291">
            <v>800</v>
          </cell>
          <cell r="AS291">
            <v>470</v>
          </cell>
          <cell r="AT291">
            <v>540</v>
          </cell>
          <cell r="AU291">
            <v>1190</v>
          </cell>
          <cell r="AV291">
            <v>1615</v>
          </cell>
          <cell r="AW291">
            <v>1140</v>
          </cell>
          <cell r="AX291">
            <v>1055</v>
          </cell>
          <cell r="AY291">
            <v>1010</v>
          </cell>
          <cell r="AZ291">
            <v>1250</v>
          </cell>
          <cell r="BA291">
            <v>845</v>
          </cell>
          <cell r="BB291">
            <v>565</v>
          </cell>
          <cell r="BC291">
            <v>935</v>
          </cell>
          <cell r="BD291">
            <v>705</v>
          </cell>
          <cell r="BE291">
            <v>840</v>
          </cell>
          <cell r="BF291">
            <v>1310</v>
          </cell>
          <cell r="BG291">
            <v>590</v>
          </cell>
          <cell r="BH291">
            <v>1230</v>
          </cell>
          <cell r="BI291">
            <v>950</v>
          </cell>
          <cell r="BJ291">
            <v>870</v>
          </cell>
          <cell r="BK291">
            <v>635</v>
          </cell>
          <cell r="BL291">
            <v>855</v>
          </cell>
          <cell r="BM291">
            <v>975</v>
          </cell>
          <cell r="BN291">
            <v>360</v>
          </cell>
          <cell r="BO291">
            <v>945</v>
          </cell>
          <cell r="BP291">
            <v>370</v>
          </cell>
          <cell r="BQ291">
            <v>1085</v>
          </cell>
          <cell r="BR291">
            <v>650</v>
          </cell>
          <cell r="BS291">
            <v>295</v>
          </cell>
          <cell r="BT291">
            <v>755</v>
          </cell>
          <cell r="BU291">
            <v>825</v>
          </cell>
          <cell r="BV291">
            <v>950</v>
          </cell>
          <cell r="BW291">
            <v>645</v>
          </cell>
          <cell r="BX291">
            <v>455</v>
          </cell>
          <cell r="BY291">
            <v>540</v>
          </cell>
          <cell r="BZ291">
            <v>925</v>
          </cell>
          <cell r="CA291">
            <v>785</v>
          </cell>
          <cell r="CB291">
            <v>405</v>
          </cell>
          <cell r="CC291">
            <v>1125</v>
          </cell>
          <cell r="CD291">
            <v>530</v>
          </cell>
          <cell r="CE291">
            <v>730</v>
          </cell>
          <cell r="CF291"/>
          <cell r="CG291">
            <v>1320</v>
          </cell>
          <cell r="CH291">
            <v>240</v>
          </cell>
          <cell r="CI291">
            <v>595</v>
          </cell>
          <cell r="CJ291">
            <v>1135</v>
          </cell>
          <cell r="CK291">
            <v>75</v>
          </cell>
          <cell r="CL291">
            <v>745</v>
          </cell>
          <cell r="CM291">
            <v>750</v>
          </cell>
          <cell r="CN291">
            <v>75</v>
          </cell>
          <cell r="CO291">
            <v>1060</v>
          </cell>
          <cell r="CP291">
            <v>1565</v>
          </cell>
          <cell r="CQ291">
            <v>125</v>
          </cell>
          <cell r="CR291">
            <v>1040</v>
          </cell>
          <cell r="CS291">
            <v>505</v>
          </cell>
          <cell r="CT291">
            <v>1020</v>
          </cell>
          <cell r="CU291">
            <v>705</v>
          </cell>
          <cell r="CV291">
            <v>925</v>
          </cell>
          <cell r="CW291">
            <v>595</v>
          </cell>
          <cell r="CX291">
            <v>170</v>
          </cell>
          <cell r="CY291">
            <v>1100</v>
          </cell>
          <cell r="CZ291">
            <v>1480</v>
          </cell>
          <cell r="DA291">
            <v>500</v>
          </cell>
          <cell r="DB291">
            <v>1355</v>
          </cell>
          <cell r="DC291">
            <v>850</v>
          </cell>
          <cell r="DD291">
            <v>1340</v>
          </cell>
          <cell r="DE291">
            <v>60</v>
          </cell>
          <cell r="DF291"/>
          <cell r="DG291" t="str">
            <v>ACTIVO</v>
          </cell>
          <cell r="DH291" t="str">
            <v>A</v>
          </cell>
          <cell r="DI291"/>
          <cell r="DJ291">
            <v>802.91666666666663</v>
          </cell>
          <cell r="DK291">
            <v>133.81944444444443</v>
          </cell>
          <cell r="DL291">
            <v>362.9986415788614</v>
          </cell>
          <cell r="DM291">
            <v>635</v>
          </cell>
          <cell r="DN291">
            <v>1023378.7</v>
          </cell>
          <cell r="DO291">
            <v>0.79086663207057606</v>
          </cell>
          <cell r="DP291" t="str">
            <v>OK</v>
          </cell>
          <cell r="DQ291">
            <v>267.63888888888886</v>
          </cell>
        </row>
        <row r="292">
          <cell r="B292">
            <v>107155</v>
          </cell>
          <cell r="C292" t="str">
            <v>MER. EBEL PIÑA BALDE 5 Kg</v>
          </cell>
          <cell r="D292">
            <v>120</v>
          </cell>
          <cell r="E292">
            <v>95</v>
          </cell>
          <cell r="F292">
            <v>150</v>
          </cell>
          <cell r="G292">
            <v>65</v>
          </cell>
          <cell r="H292">
            <v>160</v>
          </cell>
          <cell r="I292">
            <v>120</v>
          </cell>
          <cell r="J292">
            <v>160</v>
          </cell>
          <cell r="K292">
            <v>120</v>
          </cell>
          <cell r="L292">
            <v>120</v>
          </cell>
          <cell r="M292">
            <v>120</v>
          </cell>
          <cell r="N292">
            <v>230</v>
          </cell>
          <cell r="O292">
            <v>80</v>
          </cell>
          <cell r="P292">
            <v>45</v>
          </cell>
          <cell r="Q292">
            <v>335</v>
          </cell>
          <cell r="R292">
            <v>100</v>
          </cell>
          <cell r="S292">
            <v>205</v>
          </cell>
          <cell r="T292">
            <v>110</v>
          </cell>
          <cell r="U292">
            <v>115</v>
          </cell>
          <cell r="V292">
            <v>110</v>
          </cell>
          <cell r="W292"/>
          <cell r="X292">
            <v>345</v>
          </cell>
          <cell r="Y292">
            <v>175</v>
          </cell>
          <cell r="Z292">
            <v>175</v>
          </cell>
          <cell r="AA292">
            <v>140</v>
          </cell>
          <cell r="AB292">
            <v>180</v>
          </cell>
          <cell r="AC292">
            <v>145</v>
          </cell>
          <cell r="AD292"/>
          <cell r="AE292">
            <v>10</v>
          </cell>
          <cell r="AF292">
            <v>180</v>
          </cell>
          <cell r="AG292">
            <v>392</v>
          </cell>
          <cell r="AH292">
            <v>123</v>
          </cell>
          <cell r="AI292">
            <v>640</v>
          </cell>
          <cell r="AJ292">
            <v>155</v>
          </cell>
          <cell r="AK292">
            <v>110</v>
          </cell>
          <cell r="AL292">
            <v>160</v>
          </cell>
          <cell r="AM292">
            <v>80</v>
          </cell>
          <cell r="AN292">
            <v>100</v>
          </cell>
          <cell r="AO292">
            <v>155</v>
          </cell>
          <cell r="AP292">
            <v>230</v>
          </cell>
          <cell r="AQ292">
            <v>205</v>
          </cell>
          <cell r="AR292">
            <v>160</v>
          </cell>
          <cell r="AS292">
            <v>280</v>
          </cell>
          <cell r="AT292">
            <v>270</v>
          </cell>
          <cell r="AU292">
            <v>145</v>
          </cell>
          <cell r="AV292">
            <v>165</v>
          </cell>
          <cell r="AW292">
            <v>230</v>
          </cell>
          <cell r="AX292">
            <v>320</v>
          </cell>
          <cell r="AY292">
            <v>330</v>
          </cell>
          <cell r="AZ292">
            <v>775</v>
          </cell>
          <cell r="BA292">
            <v>290</v>
          </cell>
          <cell r="BB292">
            <v>140</v>
          </cell>
          <cell r="BC292">
            <v>135</v>
          </cell>
          <cell r="BD292">
            <v>145</v>
          </cell>
          <cell r="BE292">
            <v>170</v>
          </cell>
          <cell r="BF292">
            <v>575</v>
          </cell>
          <cell r="BG292"/>
          <cell r="BH292">
            <v>340</v>
          </cell>
          <cell r="BI292">
            <v>210</v>
          </cell>
          <cell r="BJ292">
            <v>190</v>
          </cell>
          <cell r="BK292">
            <v>145</v>
          </cell>
          <cell r="BL292">
            <v>150</v>
          </cell>
          <cell r="BM292">
            <v>155</v>
          </cell>
          <cell r="BN292">
            <v>190</v>
          </cell>
          <cell r="BO292"/>
          <cell r="BP292">
            <v>130</v>
          </cell>
          <cell r="BQ292">
            <v>345</v>
          </cell>
          <cell r="BR292"/>
          <cell r="BS292">
            <v>100</v>
          </cell>
          <cell r="BT292">
            <v>240</v>
          </cell>
          <cell r="BU292">
            <v>170</v>
          </cell>
          <cell r="BV292">
            <v>90</v>
          </cell>
          <cell r="BW292">
            <v>120</v>
          </cell>
          <cell r="BX292">
            <v>120</v>
          </cell>
          <cell r="BY292">
            <v>80</v>
          </cell>
          <cell r="BZ292">
            <v>135</v>
          </cell>
          <cell r="CA292">
            <v>143</v>
          </cell>
          <cell r="CB292">
            <v>80</v>
          </cell>
          <cell r="CC292">
            <v>345</v>
          </cell>
          <cell r="CD292">
            <v>95</v>
          </cell>
          <cell r="CE292">
            <v>90</v>
          </cell>
          <cell r="CF292">
            <v>80</v>
          </cell>
          <cell r="CG292">
            <v>105</v>
          </cell>
          <cell r="CH292">
            <v>190</v>
          </cell>
          <cell r="CI292">
            <v>95</v>
          </cell>
          <cell r="CJ292">
            <v>95</v>
          </cell>
          <cell r="CK292">
            <v>200</v>
          </cell>
          <cell r="CL292">
            <v>100</v>
          </cell>
          <cell r="CM292">
            <v>205</v>
          </cell>
          <cell r="CN292">
            <v>100</v>
          </cell>
          <cell r="CO292">
            <v>215</v>
          </cell>
          <cell r="CP292">
            <v>90</v>
          </cell>
          <cell r="CQ292"/>
          <cell r="CR292">
            <v>40</v>
          </cell>
          <cell r="CS292">
            <v>40</v>
          </cell>
          <cell r="CT292"/>
          <cell r="CU292">
            <v>35</v>
          </cell>
          <cell r="CV292">
            <v>140</v>
          </cell>
          <cell r="CW292">
            <v>40</v>
          </cell>
          <cell r="CX292"/>
          <cell r="CY292"/>
          <cell r="CZ292"/>
          <cell r="DA292">
            <v>275</v>
          </cell>
          <cell r="DB292">
            <v>20</v>
          </cell>
          <cell r="DC292"/>
          <cell r="DD292">
            <v>175</v>
          </cell>
          <cell r="DE292"/>
          <cell r="DF292"/>
          <cell r="DG292" t="str">
            <v>ACTIVO</v>
          </cell>
          <cell r="DH292" t="str">
            <v>B</v>
          </cell>
          <cell r="DI292"/>
          <cell r="DJ292">
            <v>117.89473684210526</v>
          </cell>
          <cell r="DK292">
            <v>19.649122807017545</v>
          </cell>
          <cell r="DL292">
            <v>144.37756765099047</v>
          </cell>
          <cell r="DM292">
            <v>0</v>
          </cell>
          <cell r="DN292" t="str">
            <v>0</v>
          </cell>
          <cell r="DO292">
            <v>0</v>
          </cell>
          <cell r="DP292" t="str">
            <v>COMPRAR</v>
          </cell>
          <cell r="DQ292">
            <v>39.298245614035089</v>
          </cell>
        </row>
        <row r="293">
          <cell r="B293">
            <v>107158</v>
          </cell>
          <cell r="C293" t="str">
            <v>MER. MEL PIÑA BALDE 5 Kg</v>
          </cell>
          <cell r="D293">
            <v>155</v>
          </cell>
          <cell r="E293">
            <v>150</v>
          </cell>
          <cell r="F293">
            <v>150</v>
          </cell>
          <cell r="G293">
            <v>165</v>
          </cell>
          <cell r="H293">
            <v>225</v>
          </cell>
          <cell r="I293">
            <v>95</v>
          </cell>
          <cell r="J293">
            <v>240</v>
          </cell>
          <cell r="K293">
            <v>210</v>
          </cell>
          <cell r="L293">
            <v>255</v>
          </cell>
          <cell r="M293">
            <v>265</v>
          </cell>
          <cell r="N293">
            <v>230</v>
          </cell>
          <cell r="O293"/>
          <cell r="P293">
            <v>200</v>
          </cell>
          <cell r="Q293">
            <v>250</v>
          </cell>
          <cell r="R293">
            <v>325</v>
          </cell>
          <cell r="S293">
            <v>215</v>
          </cell>
          <cell r="T293">
            <v>185</v>
          </cell>
          <cell r="U293">
            <v>301</v>
          </cell>
          <cell r="V293">
            <v>265</v>
          </cell>
          <cell r="W293">
            <v>230</v>
          </cell>
          <cell r="X293">
            <v>180</v>
          </cell>
          <cell r="Y293"/>
          <cell r="Z293">
            <v>205</v>
          </cell>
          <cell r="AA293">
            <v>155</v>
          </cell>
          <cell r="AB293">
            <v>220</v>
          </cell>
          <cell r="AC293">
            <v>135</v>
          </cell>
          <cell r="AD293">
            <v>110</v>
          </cell>
          <cell r="AE293">
            <v>80</v>
          </cell>
          <cell r="AF293">
            <v>200</v>
          </cell>
          <cell r="AG293">
            <v>165</v>
          </cell>
          <cell r="AH293">
            <v>425</v>
          </cell>
          <cell r="AI293">
            <v>250</v>
          </cell>
          <cell r="AJ293">
            <v>220</v>
          </cell>
          <cell r="AK293">
            <v>215</v>
          </cell>
          <cell r="AL293">
            <v>170</v>
          </cell>
          <cell r="AM293">
            <v>190</v>
          </cell>
          <cell r="AN293">
            <v>295</v>
          </cell>
          <cell r="AO293">
            <v>220</v>
          </cell>
          <cell r="AP293">
            <v>195</v>
          </cell>
          <cell r="AQ293">
            <v>370</v>
          </cell>
          <cell r="AR293">
            <v>255</v>
          </cell>
          <cell r="AS293">
            <v>210</v>
          </cell>
          <cell r="AT293">
            <v>330</v>
          </cell>
          <cell r="AU293">
            <v>250</v>
          </cell>
          <cell r="AV293">
            <v>250</v>
          </cell>
          <cell r="AW293">
            <v>185</v>
          </cell>
          <cell r="AX293">
            <v>255</v>
          </cell>
          <cell r="AY293">
            <v>165</v>
          </cell>
          <cell r="AZ293">
            <v>250</v>
          </cell>
          <cell r="BA293">
            <v>225</v>
          </cell>
          <cell r="BB293">
            <v>175</v>
          </cell>
          <cell r="BC293">
            <v>230</v>
          </cell>
          <cell r="BD293">
            <v>275</v>
          </cell>
          <cell r="BE293">
            <v>195</v>
          </cell>
          <cell r="BF293">
            <v>240</v>
          </cell>
          <cell r="BG293">
            <v>180</v>
          </cell>
          <cell r="BH293">
            <v>245</v>
          </cell>
          <cell r="BI293">
            <v>200</v>
          </cell>
          <cell r="BJ293">
            <v>240</v>
          </cell>
          <cell r="BK293">
            <v>180</v>
          </cell>
          <cell r="BL293">
            <v>205</v>
          </cell>
          <cell r="BM293">
            <v>170</v>
          </cell>
          <cell r="BN293">
            <v>185</v>
          </cell>
          <cell r="BO293">
            <v>125</v>
          </cell>
          <cell r="BP293">
            <v>15</v>
          </cell>
          <cell r="BQ293">
            <v>210</v>
          </cell>
          <cell r="BR293">
            <v>180</v>
          </cell>
          <cell r="BS293">
            <v>265</v>
          </cell>
          <cell r="BT293">
            <v>170</v>
          </cell>
          <cell r="BU293">
            <v>215</v>
          </cell>
          <cell r="BV293">
            <v>195</v>
          </cell>
          <cell r="BW293">
            <v>250</v>
          </cell>
          <cell r="BX293">
            <v>190</v>
          </cell>
          <cell r="BY293">
            <v>170</v>
          </cell>
          <cell r="BZ293">
            <v>225</v>
          </cell>
          <cell r="CA293">
            <v>195</v>
          </cell>
          <cell r="CB293">
            <v>165</v>
          </cell>
          <cell r="CC293">
            <v>225</v>
          </cell>
          <cell r="CD293">
            <v>120</v>
          </cell>
          <cell r="CE293">
            <v>75</v>
          </cell>
          <cell r="CF293">
            <v>40</v>
          </cell>
          <cell r="CG293">
            <v>165</v>
          </cell>
          <cell r="CH293">
            <v>200</v>
          </cell>
          <cell r="CI293">
            <v>205</v>
          </cell>
          <cell r="CJ293">
            <v>140</v>
          </cell>
          <cell r="CK293">
            <v>158.5</v>
          </cell>
          <cell r="CL293">
            <v>135</v>
          </cell>
          <cell r="CM293">
            <v>155</v>
          </cell>
          <cell r="CN293">
            <v>170</v>
          </cell>
          <cell r="CO293">
            <v>195</v>
          </cell>
          <cell r="CP293">
            <v>165</v>
          </cell>
          <cell r="CQ293">
            <v>190</v>
          </cell>
          <cell r="CR293">
            <v>255</v>
          </cell>
          <cell r="CS293">
            <v>245</v>
          </cell>
          <cell r="CT293">
            <v>185</v>
          </cell>
          <cell r="CU293">
            <v>210</v>
          </cell>
          <cell r="CV293">
            <v>215</v>
          </cell>
          <cell r="CW293">
            <v>185</v>
          </cell>
          <cell r="CX293">
            <v>185</v>
          </cell>
          <cell r="CY293">
            <v>260</v>
          </cell>
          <cell r="CZ293">
            <v>175</v>
          </cell>
          <cell r="DA293">
            <v>265</v>
          </cell>
          <cell r="DB293">
            <v>245</v>
          </cell>
          <cell r="DC293">
            <v>210</v>
          </cell>
          <cell r="DD293">
            <v>215</v>
          </cell>
          <cell r="DE293">
            <v>325</v>
          </cell>
          <cell r="DF293">
            <v>30</v>
          </cell>
          <cell r="DG293" t="str">
            <v>ACTIVO</v>
          </cell>
          <cell r="DH293" t="str">
            <v>B</v>
          </cell>
          <cell r="DI293"/>
          <cell r="DJ293">
            <v>190.74</v>
          </cell>
          <cell r="DK293">
            <v>31.790000000000003</v>
          </cell>
          <cell r="DL293">
            <v>65.794381071270209</v>
          </cell>
          <cell r="DM293">
            <v>730</v>
          </cell>
          <cell r="DN293">
            <v>2475386.2000000002</v>
          </cell>
          <cell r="DO293">
            <v>3.8271993289294324</v>
          </cell>
          <cell r="DP293" t="str">
            <v>OK</v>
          </cell>
          <cell r="DQ293">
            <v>63.580000000000005</v>
          </cell>
        </row>
        <row r="294">
          <cell r="B294">
            <v>107095</v>
          </cell>
          <cell r="C294" t="str">
            <v>PURE DE LUCUMA (ET. VERDE) BALDE 4,5 Kg</v>
          </cell>
          <cell r="D294">
            <v>54</v>
          </cell>
          <cell r="E294">
            <v>76.5</v>
          </cell>
          <cell r="F294"/>
          <cell r="G294"/>
          <cell r="H294">
            <v>108</v>
          </cell>
          <cell r="I294">
            <v>108</v>
          </cell>
          <cell r="J294">
            <v>48</v>
          </cell>
          <cell r="K294">
            <v>54</v>
          </cell>
          <cell r="L294">
            <v>96</v>
          </cell>
          <cell r="M294">
            <v>42</v>
          </cell>
          <cell r="N294">
            <v>54</v>
          </cell>
          <cell r="O294">
            <v>354</v>
          </cell>
          <cell r="P294">
            <v>45</v>
          </cell>
          <cell r="Q294">
            <v>54</v>
          </cell>
          <cell r="R294">
            <v>66</v>
          </cell>
          <cell r="S294">
            <v>66</v>
          </cell>
          <cell r="T294">
            <v>4.5</v>
          </cell>
          <cell r="U294"/>
          <cell r="V294"/>
          <cell r="W294"/>
          <cell r="X294">
            <v>133.5</v>
          </cell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>
            <v>120</v>
          </cell>
          <cell r="AP294">
            <v>103.5</v>
          </cell>
          <cell r="AQ294">
            <v>78</v>
          </cell>
          <cell r="AR294">
            <v>4.5</v>
          </cell>
          <cell r="AS294"/>
          <cell r="AT294"/>
          <cell r="AU294"/>
          <cell r="AV294"/>
          <cell r="AW294"/>
          <cell r="AX294"/>
          <cell r="AY294"/>
          <cell r="AZ294"/>
          <cell r="BA294">
            <v>9</v>
          </cell>
          <cell r="BB294"/>
          <cell r="BC294"/>
          <cell r="BD294">
            <v>760.5</v>
          </cell>
          <cell r="BE294"/>
          <cell r="BF294"/>
          <cell r="BG294"/>
          <cell r="BH294"/>
          <cell r="BI294">
            <v>733.5</v>
          </cell>
          <cell r="BJ294"/>
          <cell r="BK294"/>
          <cell r="BL294"/>
          <cell r="BM294"/>
          <cell r="BN294">
            <v>12</v>
          </cell>
          <cell r="BO294">
            <v>27</v>
          </cell>
          <cell r="BP294"/>
          <cell r="BQ294"/>
          <cell r="BR294">
            <v>10.5</v>
          </cell>
          <cell r="BS294">
            <v>22.5</v>
          </cell>
          <cell r="BT294">
            <v>9</v>
          </cell>
          <cell r="BU294">
            <v>24.5</v>
          </cell>
          <cell r="BV294">
            <v>36</v>
          </cell>
          <cell r="BW294">
            <v>22.5</v>
          </cell>
          <cell r="BX294">
            <v>27</v>
          </cell>
          <cell r="BY294">
            <v>31.5</v>
          </cell>
          <cell r="BZ294">
            <v>22.5</v>
          </cell>
          <cell r="CA294">
            <v>31.5</v>
          </cell>
          <cell r="CB294">
            <v>23</v>
          </cell>
          <cell r="CC294">
            <v>130.5</v>
          </cell>
          <cell r="CD294">
            <v>33</v>
          </cell>
          <cell r="CE294">
            <v>18</v>
          </cell>
          <cell r="CF294">
            <v>9</v>
          </cell>
          <cell r="CG294">
            <v>27</v>
          </cell>
          <cell r="CH294">
            <v>66</v>
          </cell>
          <cell r="CI294">
            <v>144.5</v>
          </cell>
          <cell r="CJ294">
            <v>238.5</v>
          </cell>
          <cell r="CK294">
            <v>271.5</v>
          </cell>
          <cell r="CL294">
            <v>384</v>
          </cell>
          <cell r="CM294">
            <v>318.5</v>
          </cell>
          <cell r="CN294">
            <v>46.5</v>
          </cell>
          <cell r="CO294">
            <v>175.5</v>
          </cell>
          <cell r="CP294">
            <v>281</v>
          </cell>
          <cell r="CQ294">
            <v>560</v>
          </cell>
          <cell r="CR294">
            <v>900</v>
          </cell>
          <cell r="CS294">
            <v>415</v>
          </cell>
          <cell r="CT294">
            <v>1697</v>
          </cell>
          <cell r="CU294">
            <v>1507.5</v>
          </cell>
          <cell r="CV294">
            <v>1804.5</v>
          </cell>
          <cell r="CW294">
            <v>2142</v>
          </cell>
          <cell r="CX294">
            <v>400.5</v>
          </cell>
          <cell r="CY294">
            <v>594</v>
          </cell>
          <cell r="CZ294">
            <v>1048.5</v>
          </cell>
          <cell r="DA294">
            <v>778.5</v>
          </cell>
          <cell r="DB294">
            <v>594</v>
          </cell>
          <cell r="DC294">
            <v>967.5</v>
          </cell>
          <cell r="DD294">
            <v>585</v>
          </cell>
          <cell r="DE294">
            <v>464.5</v>
          </cell>
          <cell r="DF294">
            <v>4.5</v>
          </cell>
          <cell r="DG294" t="str">
            <v>ACTIVO</v>
          </cell>
          <cell r="DH294" t="str">
            <v>B</v>
          </cell>
          <cell r="DI294"/>
          <cell r="DJ294">
            <v>638.24</v>
          </cell>
          <cell r="DK294">
            <v>106.37333333333333</v>
          </cell>
          <cell r="DL294">
            <v>207.34694817381819</v>
          </cell>
          <cell r="DM294">
            <v>607.5</v>
          </cell>
          <cell r="DN294">
            <v>2701370.25</v>
          </cell>
          <cell r="DO294">
            <v>0.95183629982451745</v>
          </cell>
          <cell r="DP294" t="str">
            <v>OK</v>
          </cell>
          <cell r="DQ294">
            <v>212.74666666666667</v>
          </cell>
        </row>
        <row r="295">
          <cell r="B295">
            <v>170173</v>
          </cell>
          <cell r="C295" t="str">
            <v>MERM. EBEL GRANDES CONSUMIDORES FRUTILLA BALDE 5 Kg</v>
          </cell>
          <cell r="D295"/>
          <cell r="E295"/>
          <cell r="F295"/>
          <cell r="G295"/>
          <cell r="H295"/>
          <cell r="I295"/>
          <cell r="J295"/>
          <cell r="K295">
            <v>30</v>
          </cell>
          <cell r="L295">
            <v>100</v>
          </cell>
          <cell r="M295">
            <v>66</v>
          </cell>
          <cell r="N295">
            <v>5</v>
          </cell>
          <cell r="O295">
            <v>29</v>
          </cell>
          <cell r="P295">
            <v>45</v>
          </cell>
          <cell r="Q295">
            <v>60</v>
          </cell>
          <cell r="R295">
            <v>55</v>
          </cell>
          <cell r="S295">
            <v>115</v>
          </cell>
          <cell r="T295">
            <v>35</v>
          </cell>
          <cell r="U295">
            <v>110</v>
          </cell>
          <cell r="V295">
            <v>80</v>
          </cell>
          <cell r="W295">
            <v>35</v>
          </cell>
          <cell r="X295">
            <v>70</v>
          </cell>
          <cell r="Y295">
            <v>160</v>
          </cell>
          <cell r="Z295">
            <v>50</v>
          </cell>
          <cell r="AA295">
            <v>45</v>
          </cell>
          <cell r="AB295">
            <v>120</v>
          </cell>
          <cell r="AC295">
            <v>55</v>
          </cell>
          <cell r="AD295">
            <v>30</v>
          </cell>
          <cell r="AE295">
            <v>60</v>
          </cell>
          <cell r="AF295">
            <v>95</v>
          </cell>
          <cell r="AG295">
            <v>105</v>
          </cell>
          <cell r="AH295">
            <v>40</v>
          </cell>
          <cell r="AI295">
            <v>138</v>
          </cell>
          <cell r="AJ295">
            <v>65</v>
          </cell>
          <cell r="AK295">
            <v>5</v>
          </cell>
          <cell r="AL295">
            <v>100</v>
          </cell>
          <cell r="AM295">
            <v>70</v>
          </cell>
          <cell r="AN295">
            <v>75</v>
          </cell>
          <cell r="AO295">
            <v>75</v>
          </cell>
          <cell r="AP295">
            <v>105</v>
          </cell>
          <cell r="AQ295">
            <v>100</v>
          </cell>
          <cell r="AR295">
            <v>95</v>
          </cell>
          <cell r="AS295">
            <v>70</v>
          </cell>
          <cell r="AT295">
            <v>230</v>
          </cell>
          <cell r="AU295">
            <v>65</v>
          </cell>
          <cell r="AV295">
            <v>710</v>
          </cell>
          <cell r="AW295">
            <v>100</v>
          </cell>
          <cell r="AX295">
            <v>80</v>
          </cell>
          <cell r="AY295">
            <v>65</v>
          </cell>
          <cell r="AZ295">
            <v>61</v>
          </cell>
          <cell r="BA295">
            <v>99</v>
          </cell>
          <cell r="BB295">
            <v>55</v>
          </cell>
          <cell r="BC295">
            <v>125</v>
          </cell>
          <cell r="BD295">
            <v>80</v>
          </cell>
          <cell r="BE295">
            <v>80</v>
          </cell>
          <cell r="BF295">
            <v>20</v>
          </cell>
          <cell r="BG295">
            <v>115</v>
          </cell>
          <cell r="BH295">
            <v>80</v>
          </cell>
          <cell r="BI295">
            <v>95</v>
          </cell>
          <cell r="BJ295">
            <v>85</v>
          </cell>
          <cell r="BK295">
            <v>75</v>
          </cell>
          <cell r="BL295">
            <v>75</v>
          </cell>
          <cell r="BM295">
            <v>85</v>
          </cell>
          <cell r="BN295">
            <v>100</v>
          </cell>
          <cell r="BO295">
            <v>65</v>
          </cell>
          <cell r="BP295">
            <v>40</v>
          </cell>
          <cell r="BQ295">
            <v>80</v>
          </cell>
          <cell r="BR295">
            <v>40</v>
          </cell>
          <cell r="BS295">
            <v>100</v>
          </cell>
          <cell r="BT295">
            <v>65</v>
          </cell>
          <cell r="BU295">
            <v>65</v>
          </cell>
          <cell r="BV295">
            <v>60</v>
          </cell>
          <cell r="BW295">
            <v>65</v>
          </cell>
          <cell r="BX295">
            <v>30</v>
          </cell>
          <cell r="BY295">
            <v>55</v>
          </cell>
          <cell r="BZ295">
            <v>115</v>
          </cell>
          <cell r="CA295">
            <v>65</v>
          </cell>
          <cell r="CB295">
            <v>45</v>
          </cell>
          <cell r="CC295">
            <v>70</v>
          </cell>
          <cell r="CD295">
            <v>85</v>
          </cell>
          <cell r="CE295">
            <v>35</v>
          </cell>
          <cell r="CF295">
            <v>20</v>
          </cell>
          <cell r="CG295">
            <v>75</v>
          </cell>
          <cell r="CH295">
            <v>75</v>
          </cell>
          <cell r="CI295">
            <v>80</v>
          </cell>
          <cell r="CJ295">
            <v>40</v>
          </cell>
          <cell r="CK295">
            <v>120</v>
          </cell>
          <cell r="CL295">
            <v>75</v>
          </cell>
          <cell r="CM295">
            <v>80</v>
          </cell>
          <cell r="CN295">
            <v>85</v>
          </cell>
          <cell r="CO295">
            <v>75</v>
          </cell>
          <cell r="CP295">
            <v>95</v>
          </cell>
          <cell r="CQ295">
            <v>45</v>
          </cell>
          <cell r="CR295">
            <v>75</v>
          </cell>
          <cell r="CS295">
            <v>40</v>
          </cell>
          <cell r="CT295">
            <v>85</v>
          </cell>
          <cell r="CU295">
            <v>70</v>
          </cell>
          <cell r="CV295">
            <v>40</v>
          </cell>
          <cell r="CW295"/>
          <cell r="CX295">
            <v>135</v>
          </cell>
          <cell r="CY295">
            <v>100</v>
          </cell>
          <cell r="CZ295">
            <v>60</v>
          </cell>
          <cell r="DA295">
            <v>70</v>
          </cell>
          <cell r="DB295">
            <v>75</v>
          </cell>
          <cell r="DC295">
            <v>90</v>
          </cell>
          <cell r="DD295">
            <v>90</v>
          </cell>
          <cell r="DE295">
            <v>45</v>
          </cell>
          <cell r="DF295">
            <v>35</v>
          </cell>
          <cell r="DG295" t="str">
            <v>ACTIVO</v>
          </cell>
          <cell r="DH295" t="str">
            <v>C</v>
          </cell>
          <cell r="DI295"/>
          <cell r="DJ295">
            <v>74.791666666666671</v>
          </cell>
          <cell r="DK295">
            <v>12.465277777777779</v>
          </cell>
          <cell r="DL295">
            <v>93.121434678148574</v>
          </cell>
          <cell r="DM295">
            <v>280</v>
          </cell>
          <cell r="DN295">
            <v>569934.4</v>
          </cell>
          <cell r="DO295">
            <v>3.7437325905292478</v>
          </cell>
          <cell r="DP295" t="str">
            <v>OK</v>
          </cell>
          <cell r="DQ295">
            <v>24.930555555555557</v>
          </cell>
        </row>
        <row r="296">
          <cell r="B296">
            <v>107263</v>
          </cell>
          <cell r="C296" t="str">
            <v>RELLENO SABOR VAINILLA PURATOS</v>
          </cell>
          <cell r="D296">
            <v>3100.5</v>
          </cell>
          <cell r="E296">
            <v>1372.5</v>
          </cell>
          <cell r="F296">
            <v>1895.5</v>
          </cell>
          <cell r="G296">
            <v>837</v>
          </cell>
          <cell r="H296">
            <v>2200.5</v>
          </cell>
          <cell r="I296">
            <v>2556</v>
          </cell>
          <cell r="J296">
            <v>1836</v>
          </cell>
          <cell r="K296">
            <v>1471.5</v>
          </cell>
          <cell r="L296">
            <v>3109.5</v>
          </cell>
          <cell r="M296">
            <v>1305</v>
          </cell>
          <cell r="N296">
            <v>2209.5</v>
          </cell>
          <cell r="O296">
            <v>1111.5</v>
          </cell>
          <cell r="P296">
            <v>1890</v>
          </cell>
          <cell r="Q296">
            <v>2130.5</v>
          </cell>
          <cell r="R296">
            <v>2227.5</v>
          </cell>
          <cell r="S296">
            <v>2060.5</v>
          </cell>
          <cell r="T296">
            <v>2754</v>
          </cell>
          <cell r="U296">
            <v>2011.5</v>
          </cell>
          <cell r="V296">
            <v>3300.5</v>
          </cell>
          <cell r="W296">
            <v>1561.5</v>
          </cell>
          <cell r="X296">
            <v>2646</v>
          </cell>
          <cell r="Y296">
            <v>6300</v>
          </cell>
          <cell r="Z296">
            <v>837</v>
          </cell>
          <cell r="AA296">
            <v>288</v>
          </cell>
          <cell r="AB296">
            <v>2205</v>
          </cell>
          <cell r="AC296">
            <v>94.5</v>
          </cell>
          <cell r="AD296">
            <v>1399.5</v>
          </cell>
          <cell r="AE296">
            <v>63</v>
          </cell>
          <cell r="AF296">
            <v>2275.5</v>
          </cell>
          <cell r="AG296">
            <v>2386.5</v>
          </cell>
          <cell r="AH296">
            <v>2429</v>
          </cell>
          <cell r="AI296">
            <v>3416.5</v>
          </cell>
          <cell r="AJ296">
            <v>1710</v>
          </cell>
          <cell r="AK296">
            <v>949.5</v>
          </cell>
          <cell r="AL296">
            <v>901</v>
          </cell>
          <cell r="AM296">
            <v>639</v>
          </cell>
          <cell r="AN296">
            <v>765</v>
          </cell>
          <cell r="AO296">
            <v>391.5</v>
          </cell>
          <cell r="AP296">
            <v>171</v>
          </cell>
          <cell r="AQ296">
            <v>1989</v>
          </cell>
          <cell r="AR296">
            <v>994.5</v>
          </cell>
          <cell r="AS296">
            <v>1759.5</v>
          </cell>
          <cell r="AT296">
            <v>1818</v>
          </cell>
          <cell r="AU296">
            <v>3105</v>
          </cell>
          <cell r="AV296">
            <v>2583.9</v>
          </cell>
          <cell r="AW296">
            <v>1642.5</v>
          </cell>
          <cell r="AX296">
            <v>2169</v>
          </cell>
          <cell r="AY296">
            <v>1795.5</v>
          </cell>
          <cell r="AZ296">
            <v>2002</v>
          </cell>
          <cell r="BA296">
            <v>2362.5</v>
          </cell>
          <cell r="BB296">
            <v>1660.5</v>
          </cell>
          <cell r="BC296">
            <v>2178</v>
          </cell>
          <cell r="BD296">
            <v>2209.5</v>
          </cell>
          <cell r="BE296">
            <v>1980</v>
          </cell>
          <cell r="BF296">
            <v>1395</v>
          </cell>
          <cell r="BG296">
            <v>1818</v>
          </cell>
          <cell r="BH296">
            <v>3285</v>
          </cell>
          <cell r="BI296">
            <v>1813.5</v>
          </cell>
          <cell r="BJ296">
            <v>2711.5</v>
          </cell>
          <cell r="BK296">
            <v>1363.5</v>
          </cell>
          <cell r="BL296">
            <v>2358</v>
          </cell>
          <cell r="BM296">
            <v>2182.5</v>
          </cell>
          <cell r="BN296">
            <v>1237.5</v>
          </cell>
          <cell r="BO296">
            <v>2385</v>
          </cell>
          <cell r="BP296">
            <v>501.5</v>
          </cell>
          <cell r="BQ296">
            <v>1710</v>
          </cell>
          <cell r="BR296">
            <v>1701</v>
          </cell>
          <cell r="BS296">
            <v>2488.5</v>
          </cell>
          <cell r="BT296">
            <v>2209.5</v>
          </cell>
          <cell r="BU296">
            <v>1658</v>
          </cell>
          <cell r="BV296">
            <v>1147.5</v>
          </cell>
          <cell r="BW296">
            <v>922.5</v>
          </cell>
          <cell r="BX296">
            <v>1741.5</v>
          </cell>
          <cell r="BY296">
            <v>1999</v>
          </cell>
          <cell r="BZ296">
            <v>2043</v>
          </cell>
          <cell r="CA296">
            <v>1255.5</v>
          </cell>
          <cell r="CB296">
            <v>1410.5</v>
          </cell>
          <cell r="CC296">
            <v>1728</v>
          </cell>
          <cell r="CD296">
            <v>742.5</v>
          </cell>
          <cell r="CE296">
            <v>895.5</v>
          </cell>
          <cell r="CF296">
            <v>486</v>
          </cell>
          <cell r="CG296">
            <v>1615.5</v>
          </cell>
          <cell r="CH296">
            <v>2209.5</v>
          </cell>
          <cell r="CI296">
            <v>2038.5</v>
          </cell>
          <cell r="CJ296">
            <v>1552.5</v>
          </cell>
          <cell r="CK296">
            <v>742.5</v>
          </cell>
          <cell r="CL296">
            <v>2430</v>
          </cell>
          <cell r="CM296">
            <v>1980</v>
          </cell>
          <cell r="CN296">
            <v>1512</v>
          </cell>
          <cell r="CO296">
            <v>1476</v>
          </cell>
          <cell r="CP296">
            <v>1417.5</v>
          </cell>
          <cell r="CQ296">
            <v>1440</v>
          </cell>
          <cell r="CR296">
            <v>976.5</v>
          </cell>
          <cell r="CS296">
            <v>265.5</v>
          </cell>
          <cell r="CT296">
            <v>2073.5</v>
          </cell>
          <cell r="CU296">
            <v>945</v>
          </cell>
          <cell r="CV296">
            <v>2286</v>
          </cell>
          <cell r="CW296">
            <v>405</v>
          </cell>
          <cell r="CX296">
            <v>1422</v>
          </cell>
          <cell r="CY296">
            <v>976.5</v>
          </cell>
          <cell r="CZ296">
            <v>1048.5</v>
          </cell>
          <cell r="DA296">
            <v>1386</v>
          </cell>
          <cell r="DB296">
            <v>1197</v>
          </cell>
          <cell r="DC296">
            <v>891</v>
          </cell>
          <cell r="DD296">
            <v>981</v>
          </cell>
          <cell r="DE296">
            <v>1215</v>
          </cell>
          <cell r="DF296"/>
          <cell r="DG296" t="str">
            <v>ACTIVO</v>
          </cell>
          <cell r="DH296" t="str">
            <v>A</v>
          </cell>
          <cell r="DI296"/>
          <cell r="DJ296">
            <v>1350.14</v>
          </cell>
          <cell r="DK296">
            <v>225.02333333333334</v>
          </cell>
          <cell r="DL296">
            <v>750.39646335827729</v>
          </cell>
          <cell r="DM296">
            <v>882</v>
          </cell>
          <cell r="DN296">
            <v>1226862</v>
          </cell>
          <cell r="DO296">
            <v>0.653265587272431</v>
          </cell>
          <cell r="DP296" t="str">
            <v>OK</v>
          </cell>
          <cell r="DQ296">
            <v>900.09333333333336</v>
          </cell>
        </row>
        <row r="297">
          <cell r="B297">
            <v>107280</v>
          </cell>
          <cell r="C297" t="str">
            <v>NUEVO BRILLO PARA CONGELADO PURATOS</v>
          </cell>
          <cell r="D297">
            <v>112.5</v>
          </cell>
          <cell r="E297">
            <v>99</v>
          </cell>
          <cell r="F297">
            <v>81</v>
          </cell>
          <cell r="G297">
            <v>153</v>
          </cell>
          <cell r="H297">
            <v>117</v>
          </cell>
          <cell r="I297">
            <v>31.5</v>
          </cell>
          <cell r="J297">
            <v>72</v>
          </cell>
          <cell r="K297">
            <v>126</v>
          </cell>
          <cell r="L297">
            <v>126</v>
          </cell>
          <cell r="M297">
            <v>144</v>
          </cell>
          <cell r="N297">
            <v>144</v>
          </cell>
          <cell r="O297">
            <v>27</v>
          </cell>
          <cell r="P297">
            <v>76.5</v>
          </cell>
          <cell r="Q297">
            <v>67.5</v>
          </cell>
          <cell r="R297">
            <v>123</v>
          </cell>
          <cell r="S297">
            <v>72</v>
          </cell>
          <cell r="T297">
            <v>159</v>
          </cell>
          <cell r="U297">
            <v>310.5</v>
          </cell>
          <cell r="V297">
            <v>148.5</v>
          </cell>
          <cell r="W297">
            <v>135</v>
          </cell>
          <cell r="X297">
            <v>319.5</v>
          </cell>
          <cell r="Y297">
            <v>130.5</v>
          </cell>
          <cell r="Z297"/>
          <cell r="AA297">
            <v>94.5</v>
          </cell>
          <cell r="AB297">
            <v>162.5</v>
          </cell>
          <cell r="AC297">
            <v>76</v>
          </cell>
          <cell r="AD297">
            <v>67.5</v>
          </cell>
          <cell r="AE297">
            <v>45</v>
          </cell>
          <cell r="AF297">
            <v>139.5</v>
          </cell>
          <cell r="AG297">
            <v>315</v>
          </cell>
          <cell r="AH297">
            <v>283.5</v>
          </cell>
          <cell r="AI297">
            <v>402.5</v>
          </cell>
          <cell r="AJ297">
            <v>220.5</v>
          </cell>
          <cell r="AK297">
            <v>216</v>
          </cell>
          <cell r="AL297">
            <v>180</v>
          </cell>
          <cell r="AM297">
            <v>112.5</v>
          </cell>
          <cell r="AN297">
            <v>225</v>
          </cell>
          <cell r="AO297">
            <v>342.5</v>
          </cell>
          <cell r="AP297">
            <v>535</v>
          </cell>
          <cell r="AQ297">
            <v>400.5</v>
          </cell>
          <cell r="AR297">
            <v>427.5</v>
          </cell>
          <cell r="AS297">
            <v>72</v>
          </cell>
          <cell r="AT297">
            <v>369</v>
          </cell>
          <cell r="AU297">
            <v>472.5</v>
          </cell>
          <cell r="AV297">
            <v>409.5</v>
          </cell>
          <cell r="AW297">
            <v>414</v>
          </cell>
          <cell r="AX297">
            <v>333</v>
          </cell>
          <cell r="AY297">
            <v>706.5</v>
          </cell>
          <cell r="AZ297">
            <v>576</v>
          </cell>
          <cell r="BA297">
            <v>189</v>
          </cell>
          <cell r="BB297">
            <v>216</v>
          </cell>
          <cell r="BC297">
            <v>288</v>
          </cell>
          <cell r="BD297">
            <v>648</v>
          </cell>
          <cell r="BE297">
            <v>310.5</v>
          </cell>
          <cell r="BF297">
            <v>634.5</v>
          </cell>
          <cell r="BG297">
            <v>508.5</v>
          </cell>
          <cell r="BH297">
            <v>459</v>
          </cell>
          <cell r="BI297">
            <v>306</v>
          </cell>
          <cell r="BJ297">
            <v>567</v>
          </cell>
          <cell r="BK297">
            <v>481.5</v>
          </cell>
          <cell r="BL297">
            <v>486</v>
          </cell>
          <cell r="BM297">
            <v>256.5</v>
          </cell>
          <cell r="BN297">
            <v>333</v>
          </cell>
          <cell r="BO297">
            <v>553.5</v>
          </cell>
          <cell r="BP297">
            <v>234</v>
          </cell>
          <cell r="BQ297">
            <v>387</v>
          </cell>
          <cell r="BR297">
            <v>297</v>
          </cell>
          <cell r="BS297">
            <v>301.5</v>
          </cell>
          <cell r="BT297">
            <v>522</v>
          </cell>
          <cell r="BU297">
            <v>481.5</v>
          </cell>
          <cell r="BV297">
            <v>468</v>
          </cell>
          <cell r="BW297">
            <v>319.5</v>
          </cell>
          <cell r="BX297">
            <v>405</v>
          </cell>
          <cell r="BY297">
            <v>63</v>
          </cell>
          <cell r="BZ297">
            <v>103.5</v>
          </cell>
          <cell r="CA297">
            <v>621</v>
          </cell>
          <cell r="CB297">
            <v>256.5</v>
          </cell>
          <cell r="CC297">
            <v>270</v>
          </cell>
          <cell r="CD297">
            <v>387</v>
          </cell>
          <cell r="CE297">
            <v>472.5</v>
          </cell>
          <cell r="CF297">
            <v>58.5</v>
          </cell>
          <cell r="CG297">
            <v>409.5</v>
          </cell>
          <cell r="CH297">
            <v>256.5</v>
          </cell>
          <cell r="CI297">
            <v>406</v>
          </cell>
          <cell r="CJ297">
            <v>234</v>
          </cell>
          <cell r="CK297">
            <v>396</v>
          </cell>
          <cell r="CL297">
            <v>468</v>
          </cell>
          <cell r="CM297">
            <v>396</v>
          </cell>
          <cell r="CN297">
            <v>198</v>
          </cell>
          <cell r="CO297">
            <v>670.5</v>
          </cell>
          <cell r="CP297">
            <v>526.5</v>
          </cell>
          <cell r="CQ297">
            <v>661.5</v>
          </cell>
          <cell r="CR297">
            <v>67.5</v>
          </cell>
          <cell r="CS297">
            <v>333</v>
          </cell>
          <cell r="CT297">
            <v>589.5</v>
          </cell>
          <cell r="CU297">
            <v>765</v>
          </cell>
          <cell r="CV297">
            <v>684</v>
          </cell>
          <cell r="CW297">
            <v>778.5</v>
          </cell>
          <cell r="CX297">
            <v>306</v>
          </cell>
          <cell r="CY297">
            <v>464</v>
          </cell>
          <cell r="CZ297">
            <v>220.5</v>
          </cell>
          <cell r="DA297">
            <v>396</v>
          </cell>
          <cell r="DB297">
            <v>643.5</v>
          </cell>
          <cell r="DC297">
            <v>382.5</v>
          </cell>
          <cell r="DD297">
            <v>364.5</v>
          </cell>
          <cell r="DE297">
            <v>72</v>
          </cell>
          <cell r="DF297">
            <v>81</v>
          </cell>
          <cell r="DG297" t="str">
            <v>ACTIVO</v>
          </cell>
          <cell r="DH297" t="str">
            <v>A</v>
          </cell>
          <cell r="DI297"/>
          <cell r="DJ297">
            <v>427.02</v>
          </cell>
          <cell r="DK297">
            <v>71.17</v>
          </cell>
          <cell r="DL297">
            <v>159.49834330390664</v>
          </cell>
          <cell r="DM297">
            <v>729</v>
          </cell>
          <cell r="DN297">
            <v>2004750</v>
          </cell>
          <cell r="DO297">
            <v>1.7071799915694816</v>
          </cell>
          <cell r="DP297" t="str">
            <v>OK</v>
          </cell>
          <cell r="DQ297">
            <v>284.68</v>
          </cell>
        </row>
        <row r="298">
          <cell r="B298">
            <v>107294</v>
          </cell>
          <cell r="C298" t="str">
            <v>DULCE DE RELLENO DIWATTS</v>
          </cell>
          <cell r="D298">
            <v>2436</v>
          </cell>
          <cell r="E298">
            <v>2208</v>
          </cell>
          <cell r="F298">
            <v>3594</v>
          </cell>
          <cell r="G298">
            <v>1648</v>
          </cell>
          <cell r="H298"/>
          <cell r="I298">
            <v>4056</v>
          </cell>
          <cell r="J298">
            <v>1836</v>
          </cell>
          <cell r="K298">
            <v>3582</v>
          </cell>
          <cell r="L298">
            <v>3552</v>
          </cell>
          <cell r="M298">
            <v>4224</v>
          </cell>
          <cell r="N298">
            <v>2550</v>
          </cell>
          <cell r="O298">
            <v>1098</v>
          </cell>
          <cell r="P298">
            <v>3612</v>
          </cell>
          <cell r="Q298">
            <v>2436</v>
          </cell>
          <cell r="R298">
            <v>3096</v>
          </cell>
          <cell r="S298">
            <v>1362</v>
          </cell>
          <cell r="T298">
            <v>3852</v>
          </cell>
          <cell r="U298">
            <v>2100</v>
          </cell>
          <cell r="V298">
            <v>1644</v>
          </cell>
          <cell r="W298">
            <v>1638</v>
          </cell>
          <cell r="X298">
            <v>1494</v>
          </cell>
          <cell r="Y298">
            <v>1440</v>
          </cell>
          <cell r="Z298">
            <v>1830</v>
          </cell>
          <cell r="AA298">
            <v>1650</v>
          </cell>
          <cell r="AB298">
            <v>1578</v>
          </cell>
          <cell r="AC298">
            <v>2059</v>
          </cell>
          <cell r="AD298">
            <v>948</v>
          </cell>
          <cell r="AE298">
            <v>1830</v>
          </cell>
          <cell r="AF298">
            <v>3090</v>
          </cell>
          <cell r="AG298">
            <v>1974</v>
          </cell>
          <cell r="AH298">
            <v>1428</v>
          </cell>
          <cell r="AI298">
            <v>1446</v>
          </cell>
          <cell r="AJ298">
            <v>2316</v>
          </cell>
          <cell r="AK298">
            <v>1032</v>
          </cell>
          <cell r="AL298">
            <v>2022</v>
          </cell>
          <cell r="AM298">
            <v>1788</v>
          </cell>
          <cell r="AN298">
            <v>2214</v>
          </cell>
          <cell r="AO298">
            <v>2772</v>
          </cell>
          <cell r="AP298">
            <v>2484</v>
          </cell>
          <cell r="AQ298">
            <v>2562</v>
          </cell>
          <cell r="AR298">
            <v>2520</v>
          </cell>
          <cell r="AS298">
            <v>2190</v>
          </cell>
          <cell r="AT298">
            <v>1476</v>
          </cell>
          <cell r="AU298">
            <v>4884</v>
          </cell>
          <cell r="AV298">
            <v>4314</v>
          </cell>
          <cell r="AW298">
            <v>3720</v>
          </cell>
          <cell r="AX298">
            <v>2544</v>
          </cell>
          <cell r="AY298">
            <v>2010</v>
          </cell>
          <cell r="AZ298">
            <v>3582</v>
          </cell>
          <cell r="BA298">
            <v>5592</v>
          </cell>
          <cell r="BB298">
            <v>1350</v>
          </cell>
          <cell r="BC298">
            <v>4284</v>
          </cell>
          <cell r="BD298">
            <v>4273.5</v>
          </cell>
          <cell r="BE298">
            <v>1404</v>
          </cell>
          <cell r="BF298">
            <v>840</v>
          </cell>
          <cell r="BG298">
            <v>324</v>
          </cell>
          <cell r="BH298">
            <v>1908</v>
          </cell>
          <cell r="BI298">
            <v>288</v>
          </cell>
          <cell r="BJ298">
            <v>1014</v>
          </cell>
          <cell r="BK298">
            <v>36</v>
          </cell>
          <cell r="BL298"/>
          <cell r="BM298">
            <v>1212</v>
          </cell>
          <cell r="BN298">
            <v>5610</v>
          </cell>
          <cell r="BO298">
            <v>942</v>
          </cell>
          <cell r="BP298">
            <v>810</v>
          </cell>
          <cell r="BQ298">
            <v>4310</v>
          </cell>
          <cell r="BR298">
            <v>1248</v>
          </cell>
          <cell r="BS298">
            <v>1068</v>
          </cell>
          <cell r="BT298">
            <v>852</v>
          </cell>
          <cell r="BU298">
            <v>1530</v>
          </cell>
          <cell r="BV298">
            <v>2082</v>
          </cell>
          <cell r="BW298">
            <v>1488</v>
          </cell>
          <cell r="BX298">
            <v>1686</v>
          </cell>
          <cell r="BY298">
            <v>1686</v>
          </cell>
          <cell r="BZ298">
            <v>1764</v>
          </cell>
          <cell r="CA298">
            <v>1422</v>
          </cell>
          <cell r="CB298">
            <v>1356</v>
          </cell>
          <cell r="CC298">
            <v>1896</v>
          </cell>
          <cell r="CD298">
            <v>2802</v>
          </cell>
          <cell r="CE298">
            <v>84</v>
          </cell>
          <cell r="CF298">
            <v>870</v>
          </cell>
          <cell r="CG298">
            <v>1956</v>
          </cell>
          <cell r="CH298">
            <v>1638</v>
          </cell>
          <cell r="CI298">
            <v>1914</v>
          </cell>
          <cell r="CJ298">
            <v>2550</v>
          </cell>
          <cell r="CK298">
            <v>2088</v>
          </cell>
          <cell r="CL298">
            <v>3312</v>
          </cell>
          <cell r="CM298">
            <v>1830</v>
          </cell>
          <cell r="CN298">
            <v>1530</v>
          </cell>
          <cell r="CO298">
            <v>1578</v>
          </cell>
          <cell r="CP298">
            <v>1896</v>
          </cell>
          <cell r="CQ298">
            <v>1770</v>
          </cell>
          <cell r="CR298">
            <v>2460</v>
          </cell>
          <cell r="CS298">
            <v>1212</v>
          </cell>
          <cell r="CT298">
            <v>1590</v>
          </cell>
          <cell r="CU298">
            <v>1422</v>
          </cell>
          <cell r="CV298">
            <v>396</v>
          </cell>
          <cell r="CW298">
            <v>96</v>
          </cell>
          <cell r="CX298">
            <v>126</v>
          </cell>
          <cell r="CY298">
            <v>2610</v>
          </cell>
          <cell r="CZ298">
            <v>1146</v>
          </cell>
          <cell r="DA298">
            <v>318</v>
          </cell>
          <cell r="DB298">
            <v>138</v>
          </cell>
          <cell r="DC298">
            <v>138</v>
          </cell>
          <cell r="DD298">
            <v>762</v>
          </cell>
          <cell r="DE298">
            <v>186</v>
          </cell>
          <cell r="DF298">
            <v>18</v>
          </cell>
          <cell r="DG298" t="str">
            <v>ACTIVO</v>
          </cell>
          <cell r="DH298" t="str">
            <v>A</v>
          </cell>
          <cell r="DI298"/>
          <cell r="DJ298">
            <v>1413.84</v>
          </cell>
          <cell r="DK298">
            <v>235.64</v>
          </cell>
          <cell r="DL298">
            <v>1325.9563253566814</v>
          </cell>
          <cell r="DM298">
            <v>3936</v>
          </cell>
          <cell r="DN298">
            <v>6533760</v>
          </cell>
          <cell r="DO298">
            <v>2.7839076557460536</v>
          </cell>
          <cell r="DP298" t="str">
            <v>OK</v>
          </cell>
          <cell r="DQ298">
            <v>471.28</v>
          </cell>
        </row>
        <row r="299">
          <cell r="B299">
            <v>107359</v>
          </cell>
          <cell r="C299" t="str">
            <v>MERMELADA CIRUELA MEL</v>
          </cell>
          <cell r="D299"/>
          <cell r="E299"/>
          <cell r="F299"/>
          <cell r="G299">
            <v>40</v>
          </cell>
          <cell r="H299">
            <v>15</v>
          </cell>
          <cell r="I299">
            <v>45</v>
          </cell>
          <cell r="J299">
            <v>60</v>
          </cell>
          <cell r="K299">
            <v>160</v>
          </cell>
          <cell r="L299">
            <v>190</v>
          </cell>
          <cell r="M299">
            <v>160</v>
          </cell>
          <cell r="N299">
            <v>80</v>
          </cell>
          <cell r="O299">
            <v>35</v>
          </cell>
          <cell r="P299">
            <v>235</v>
          </cell>
          <cell r="Q299">
            <v>235</v>
          </cell>
          <cell r="R299">
            <v>195</v>
          </cell>
          <cell r="S299">
            <v>120</v>
          </cell>
          <cell r="T299">
            <v>200</v>
          </cell>
          <cell r="U299">
            <v>165</v>
          </cell>
          <cell r="V299">
            <v>230</v>
          </cell>
          <cell r="W299">
            <v>140</v>
          </cell>
          <cell r="X299">
            <v>130</v>
          </cell>
          <cell r="Y299">
            <v>205</v>
          </cell>
          <cell r="Z299">
            <v>100</v>
          </cell>
          <cell r="AA299">
            <v>150</v>
          </cell>
          <cell r="AB299">
            <v>210</v>
          </cell>
          <cell r="AC299">
            <v>110</v>
          </cell>
          <cell r="AD299">
            <v>65</v>
          </cell>
          <cell r="AE299">
            <v>70</v>
          </cell>
          <cell r="AF299">
            <v>160</v>
          </cell>
          <cell r="AG299">
            <v>85</v>
          </cell>
          <cell r="AH299">
            <v>105</v>
          </cell>
          <cell r="AI299">
            <v>105</v>
          </cell>
          <cell r="AJ299">
            <v>155</v>
          </cell>
          <cell r="AK299">
            <v>85</v>
          </cell>
          <cell r="AL299">
            <v>130</v>
          </cell>
          <cell r="AM299">
            <v>85</v>
          </cell>
          <cell r="AN299">
            <v>160</v>
          </cell>
          <cell r="AO299">
            <v>120</v>
          </cell>
          <cell r="AP299">
            <v>160</v>
          </cell>
          <cell r="AQ299">
            <v>85</v>
          </cell>
          <cell r="AR299">
            <v>110</v>
          </cell>
          <cell r="AS299">
            <v>115</v>
          </cell>
          <cell r="AT299">
            <v>125</v>
          </cell>
          <cell r="AU299">
            <v>95</v>
          </cell>
          <cell r="AV299">
            <v>140</v>
          </cell>
          <cell r="AW299">
            <v>110</v>
          </cell>
          <cell r="AX299">
            <v>170</v>
          </cell>
          <cell r="AY299">
            <v>130</v>
          </cell>
          <cell r="AZ299">
            <v>145</v>
          </cell>
          <cell r="BA299">
            <v>140</v>
          </cell>
          <cell r="BB299">
            <v>235</v>
          </cell>
          <cell r="BC299">
            <v>160</v>
          </cell>
          <cell r="BD299">
            <v>135</v>
          </cell>
          <cell r="BE299">
            <v>165</v>
          </cell>
          <cell r="BF299">
            <v>135</v>
          </cell>
          <cell r="BG299">
            <v>160</v>
          </cell>
          <cell r="BH299">
            <v>190</v>
          </cell>
          <cell r="BI299">
            <v>165</v>
          </cell>
          <cell r="BJ299">
            <v>140</v>
          </cell>
          <cell r="BK299">
            <v>145</v>
          </cell>
          <cell r="BL299">
            <v>140</v>
          </cell>
          <cell r="BM299">
            <v>190</v>
          </cell>
          <cell r="BN299">
            <v>185</v>
          </cell>
          <cell r="BO299">
            <v>120</v>
          </cell>
          <cell r="BP299">
            <v>10</v>
          </cell>
          <cell r="BQ299">
            <v>165</v>
          </cell>
          <cell r="BR299">
            <v>145</v>
          </cell>
          <cell r="BS299">
            <v>230</v>
          </cell>
          <cell r="BT299">
            <v>85</v>
          </cell>
          <cell r="BU299">
            <v>95</v>
          </cell>
          <cell r="BV299">
            <v>125</v>
          </cell>
          <cell r="BW299">
            <v>100</v>
          </cell>
          <cell r="BX299">
            <v>135</v>
          </cell>
          <cell r="BY299">
            <v>85</v>
          </cell>
          <cell r="BZ299">
            <v>135</v>
          </cell>
          <cell r="CA299">
            <v>155</v>
          </cell>
          <cell r="CB299">
            <v>55</v>
          </cell>
          <cell r="CC299">
            <v>95</v>
          </cell>
          <cell r="CD299">
            <v>125</v>
          </cell>
          <cell r="CE299">
            <v>35</v>
          </cell>
          <cell r="CF299">
            <v>20</v>
          </cell>
          <cell r="CG299">
            <v>125</v>
          </cell>
          <cell r="CH299">
            <v>75</v>
          </cell>
          <cell r="CI299">
            <v>90</v>
          </cell>
          <cell r="CJ299">
            <v>70</v>
          </cell>
          <cell r="CK299">
            <v>105</v>
          </cell>
          <cell r="CL299">
            <v>75</v>
          </cell>
          <cell r="CM299">
            <v>75</v>
          </cell>
          <cell r="CN299">
            <v>90</v>
          </cell>
          <cell r="CO299">
            <v>85</v>
          </cell>
          <cell r="CP299">
            <v>105</v>
          </cell>
          <cell r="CQ299">
            <v>85</v>
          </cell>
          <cell r="CR299">
            <v>95</v>
          </cell>
          <cell r="CS299">
            <v>135</v>
          </cell>
          <cell r="CT299">
            <v>105</v>
          </cell>
          <cell r="CU299">
            <v>85</v>
          </cell>
          <cell r="CV299">
            <v>105</v>
          </cell>
          <cell r="CW299">
            <v>90</v>
          </cell>
          <cell r="CX299">
            <v>125</v>
          </cell>
          <cell r="CY299">
            <v>105</v>
          </cell>
          <cell r="CZ299">
            <v>75</v>
          </cell>
          <cell r="DA299">
            <v>115</v>
          </cell>
          <cell r="DB299">
            <v>120</v>
          </cell>
          <cell r="DC299">
            <v>115</v>
          </cell>
          <cell r="DD299">
            <v>120</v>
          </cell>
          <cell r="DE299">
            <v>90</v>
          </cell>
          <cell r="DF299">
            <v>15</v>
          </cell>
          <cell r="DG299" t="str">
            <v>ACTIVO</v>
          </cell>
          <cell r="DH299" t="str">
            <v>B</v>
          </cell>
          <cell r="DI299"/>
          <cell r="DJ299">
            <v>95.6</v>
          </cell>
          <cell r="DK299">
            <v>15.933333333333332</v>
          </cell>
          <cell r="DL299">
            <v>42.808896231001931</v>
          </cell>
          <cell r="DM299">
            <v>390</v>
          </cell>
          <cell r="DN299">
            <v>824479.5</v>
          </cell>
          <cell r="DO299">
            <v>4.0794979079497908</v>
          </cell>
          <cell r="DP299" t="str">
            <v>OK</v>
          </cell>
          <cell r="DQ299">
            <v>31.866666666666664</v>
          </cell>
        </row>
        <row r="300">
          <cell r="B300">
            <v>107120</v>
          </cell>
          <cell r="C300" t="str">
            <v>BRILLO FRIO RTU PURATOS</v>
          </cell>
          <cell r="D300">
            <v>661.5</v>
          </cell>
          <cell r="E300">
            <v>895.5</v>
          </cell>
          <cell r="F300">
            <v>639</v>
          </cell>
          <cell r="G300">
            <v>602.5</v>
          </cell>
          <cell r="H300">
            <v>760.5</v>
          </cell>
          <cell r="I300">
            <v>657</v>
          </cell>
          <cell r="J300">
            <v>621</v>
          </cell>
          <cell r="K300">
            <v>477</v>
          </cell>
          <cell r="L300">
            <v>759.5</v>
          </cell>
          <cell r="M300">
            <v>612</v>
          </cell>
          <cell r="N300">
            <v>508.5</v>
          </cell>
          <cell r="O300">
            <v>391.5</v>
          </cell>
          <cell r="P300">
            <v>477</v>
          </cell>
          <cell r="Q300">
            <v>744.5</v>
          </cell>
          <cell r="R300">
            <v>355.5</v>
          </cell>
          <cell r="S300">
            <v>594</v>
          </cell>
          <cell r="T300">
            <v>354.5</v>
          </cell>
          <cell r="U300">
            <v>472.5</v>
          </cell>
          <cell r="V300">
            <v>571.5</v>
          </cell>
          <cell r="W300">
            <v>342</v>
          </cell>
          <cell r="X300">
            <v>225</v>
          </cell>
          <cell r="Y300">
            <v>193.5</v>
          </cell>
          <cell r="Z300">
            <v>571.5</v>
          </cell>
          <cell r="AA300">
            <v>405</v>
          </cell>
          <cell r="AB300">
            <v>243</v>
          </cell>
          <cell r="AC300">
            <v>562.5</v>
          </cell>
          <cell r="AD300">
            <v>130.5</v>
          </cell>
          <cell r="AE300">
            <v>94.5</v>
          </cell>
          <cell r="AF300">
            <v>301.5</v>
          </cell>
          <cell r="AG300">
            <v>292.5</v>
          </cell>
          <cell r="AH300">
            <v>139.5</v>
          </cell>
          <cell r="AI300">
            <v>365.5</v>
          </cell>
          <cell r="AJ300">
            <v>454.5</v>
          </cell>
          <cell r="AK300">
            <v>135</v>
          </cell>
          <cell r="AL300">
            <v>308</v>
          </cell>
          <cell r="AM300">
            <v>297.5</v>
          </cell>
          <cell r="AN300">
            <v>216.5</v>
          </cell>
          <cell r="AO300">
            <v>643.5</v>
          </cell>
          <cell r="AP300">
            <v>715.5</v>
          </cell>
          <cell r="AQ300">
            <v>459</v>
          </cell>
          <cell r="AR300">
            <v>288</v>
          </cell>
          <cell r="AS300">
            <v>342</v>
          </cell>
          <cell r="AT300">
            <v>274.5</v>
          </cell>
          <cell r="AU300">
            <v>157.5</v>
          </cell>
          <cell r="AV300">
            <v>355.5</v>
          </cell>
          <cell r="AW300">
            <v>616.5</v>
          </cell>
          <cell r="AX300">
            <v>328.5</v>
          </cell>
          <cell r="AY300">
            <v>283.5</v>
          </cell>
          <cell r="AZ300">
            <v>436.5</v>
          </cell>
          <cell r="BA300">
            <v>409.5</v>
          </cell>
          <cell r="BB300">
            <v>630</v>
          </cell>
          <cell r="BC300">
            <v>540</v>
          </cell>
          <cell r="BD300">
            <v>411</v>
          </cell>
          <cell r="BE300">
            <v>418.5</v>
          </cell>
          <cell r="BF300">
            <v>396</v>
          </cell>
          <cell r="BG300">
            <v>306</v>
          </cell>
          <cell r="BH300">
            <v>328.5</v>
          </cell>
          <cell r="BI300">
            <v>432</v>
          </cell>
          <cell r="BJ300">
            <v>436.5</v>
          </cell>
          <cell r="BK300">
            <v>270</v>
          </cell>
          <cell r="BL300">
            <v>324</v>
          </cell>
          <cell r="BM300">
            <v>715.5</v>
          </cell>
          <cell r="BN300">
            <v>229.5</v>
          </cell>
          <cell r="BO300">
            <v>238.5</v>
          </cell>
          <cell r="BP300">
            <v>121.5</v>
          </cell>
          <cell r="BQ300">
            <v>405</v>
          </cell>
          <cell r="BR300">
            <v>211.5</v>
          </cell>
          <cell r="BS300">
            <v>274.5</v>
          </cell>
          <cell r="BT300">
            <v>225</v>
          </cell>
          <cell r="BU300">
            <v>310.5</v>
          </cell>
          <cell r="BV300">
            <v>171</v>
          </cell>
          <cell r="BW300">
            <v>319.5</v>
          </cell>
          <cell r="BX300">
            <v>153</v>
          </cell>
          <cell r="BY300">
            <v>360</v>
          </cell>
          <cell r="BZ300">
            <v>414</v>
          </cell>
          <cell r="CA300">
            <v>207</v>
          </cell>
          <cell r="CB300">
            <v>184.5</v>
          </cell>
          <cell r="CC300">
            <v>274.5</v>
          </cell>
          <cell r="CD300">
            <v>238.5</v>
          </cell>
          <cell r="CE300">
            <v>90</v>
          </cell>
          <cell r="CF300">
            <v>49.5</v>
          </cell>
          <cell r="CG300">
            <v>346.5</v>
          </cell>
          <cell r="CH300">
            <v>211.5</v>
          </cell>
          <cell r="CI300">
            <v>265.5</v>
          </cell>
          <cell r="CJ300">
            <v>324</v>
          </cell>
          <cell r="CK300">
            <v>184.5</v>
          </cell>
          <cell r="CL300">
            <v>279</v>
          </cell>
          <cell r="CM300">
            <v>153</v>
          </cell>
          <cell r="CN300">
            <v>441</v>
          </cell>
          <cell r="CO300">
            <v>234</v>
          </cell>
          <cell r="CP300">
            <v>364.5</v>
          </cell>
          <cell r="CQ300">
            <v>207</v>
          </cell>
          <cell r="CR300">
            <v>585</v>
          </cell>
          <cell r="CS300">
            <v>351</v>
          </cell>
          <cell r="CT300">
            <v>306</v>
          </cell>
          <cell r="CU300">
            <v>238.5</v>
          </cell>
          <cell r="CV300">
            <v>202.5</v>
          </cell>
          <cell r="CW300">
            <v>166.5</v>
          </cell>
          <cell r="CX300">
            <v>220.5</v>
          </cell>
          <cell r="CY300">
            <v>382.5</v>
          </cell>
          <cell r="CZ300">
            <v>400.5</v>
          </cell>
          <cell r="DA300">
            <v>288</v>
          </cell>
          <cell r="DB300">
            <v>247.5</v>
          </cell>
          <cell r="DC300">
            <v>328.5</v>
          </cell>
          <cell r="DD300">
            <v>544.5</v>
          </cell>
          <cell r="DE300">
            <v>220.5</v>
          </cell>
          <cell r="DF300">
            <v>36</v>
          </cell>
          <cell r="DG300" t="str">
            <v>ACTIVO</v>
          </cell>
          <cell r="DH300" t="str">
            <v>B</v>
          </cell>
          <cell r="DI300"/>
          <cell r="DJ300">
            <v>292.86</v>
          </cell>
          <cell r="DK300">
            <v>48.81</v>
          </cell>
          <cell r="DL300">
            <v>149.19590840780904</v>
          </cell>
          <cell r="DM300">
            <v>189</v>
          </cell>
          <cell r="DN300">
            <v>345781.17</v>
          </cell>
          <cell r="DO300">
            <v>0.64535955746773199</v>
          </cell>
          <cell r="DP300" t="str">
            <v>OK</v>
          </cell>
          <cell r="DQ300">
            <v>195.24</v>
          </cell>
        </row>
        <row r="301">
          <cell r="B301">
            <v>107130</v>
          </cell>
          <cell r="C301" t="str">
            <v>MERMELADA FRUTILLA GRADO 1 MEL</v>
          </cell>
          <cell r="D301"/>
          <cell r="E301"/>
          <cell r="F301"/>
          <cell r="G301"/>
          <cell r="H301">
            <v>45</v>
          </cell>
          <cell r="I301">
            <v>30</v>
          </cell>
          <cell r="J301">
            <v>60</v>
          </cell>
          <cell r="K301">
            <v>100</v>
          </cell>
          <cell r="L301">
            <v>237.2</v>
          </cell>
          <cell r="M301">
            <v>290</v>
          </cell>
          <cell r="N301">
            <v>60</v>
          </cell>
          <cell r="O301">
            <v>25</v>
          </cell>
          <cell r="P301">
            <v>165</v>
          </cell>
          <cell r="Q301">
            <v>155</v>
          </cell>
          <cell r="R301">
            <v>140</v>
          </cell>
          <cell r="S301">
            <v>65</v>
          </cell>
          <cell r="T301">
            <v>135</v>
          </cell>
          <cell r="U301">
            <v>70</v>
          </cell>
          <cell r="V301">
            <v>140</v>
          </cell>
          <cell r="W301">
            <v>60</v>
          </cell>
          <cell r="X301">
            <v>85</v>
          </cell>
          <cell r="Y301"/>
          <cell r="Z301"/>
          <cell r="AA301">
            <v>5</v>
          </cell>
          <cell r="AB301"/>
          <cell r="AC301"/>
          <cell r="AD301"/>
          <cell r="AE301"/>
          <cell r="AF301"/>
          <cell r="AG301"/>
          <cell r="AH301"/>
          <cell r="AI301">
            <v>10</v>
          </cell>
          <cell r="AJ301"/>
          <cell r="AK301"/>
          <cell r="AL301"/>
          <cell r="AM301"/>
          <cell r="AN301">
            <v>15</v>
          </cell>
          <cell r="AO301"/>
          <cell r="AP301"/>
          <cell r="AQ301"/>
          <cell r="AR301">
            <v>5</v>
          </cell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>
            <v>5</v>
          </cell>
          <cell r="BG301">
            <v>5</v>
          </cell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>
            <v>15</v>
          </cell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 t="str">
            <v>SIN USO</v>
          </cell>
          <cell r="DH301" t="str">
            <v>C</v>
          </cell>
          <cell r="DI301"/>
          <cell r="DJ301">
            <v>0</v>
          </cell>
          <cell r="DK301">
            <v>0</v>
          </cell>
          <cell r="DL301">
            <v>4.9159604012508753</v>
          </cell>
          <cell r="DM301">
            <v>0</v>
          </cell>
          <cell r="DN301" t="str">
            <v>0</v>
          </cell>
          <cell r="DO301">
            <v>0</v>
          </cell>
          <cell r="DP301" t="str">
            <v>INACTIVO</v>
          </cell>
          <cell r="DQ301">
            <v>0</v>
          </cell>
        </row>
        <row r="302">
          <cell r="B302">
            <v>107156</v>
          </cell>
          <cell r="C302" t="str">
            <v>MERMELADA DE LUCUMA DIWATTS</v>
          </cell>
          <cell r="D302"/>
          <cell r="E302">
            <v>60</v>
          </cell>
          <cell r="F302">
            <v>115</v>
          </cell>
          <cell r="G302">
            <v>63</v>
          </cell>
          <cell r="H302"/>
          <cell r="I302">
            <v>45</v>
          </cell>
          <cell r="J302"/>
          <cell r="K302"/>
          <cell r="L302">
            <v>95</v>
          </cell>
          <cell r="M302"/>
          <cell r="N302"/>
          <cell r="O302"/>
          <cell r="P302">
            <v>74.5</v>
          </cell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 t="str">
            <v>SIN USO</v>
          </cell>
          <cell r="DH302" t="str">
            <v/>
          </cell>
          <cell r="DI302"/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 t="str">
            <v>0</v>
          </cell>
          <cell r="DO302">
            <v>0</v>
          </cell>
          <cell r="DP302" t="str">
            <v>INACTIVO</v>
          </cell>
          <cell r="DQ302">
            <v>0</v>
          </cell>
        </row>
        <row r="303">
          <cell r="B303">
            <v>170175</v>
          </cell>
          <cell r="C303" t="str">
            <v>MERMELADA DURAZNO PURATOS</v>
          </cell>
          <cell r="D303"/>
          <cell r="E303">
            <v>150</v>
          </cell>
          <cell r="F303">
            <v>15</v>
          </cell>
          <cell r="G303">
            <v>30</v>
          </cell>
          <cell r="H303"/>
          <cell r="I303"/>
          <cell r="J303"/>
          <cell r="K303">
            <v>30</v>
          </cell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 t="str">
            <v>SIN USO</v>
          </cell>
          <cell r="DH303" t="str">
            <v/>
          </cell>
          <cell r="DI303"/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 t="str">
            <v>0</v>
          </cell>
          <cell r="DO303">
            <v>0</v>
          </cell>
          <cell r="DP303" t="str">
            <v>INACTIVO</v>
          </cell>
          <cell r="DQ303">
            <v>0</v>
          </cell>
        </row>
        <row r="304">
          <cell r="B304">
            <v>107204</v>
          </cell>
          <cell r="C304" t="str">
            <v>RELLENO PIE MARACUYÁ BALDE 4,5 Kg</v>
          </cell>
          <cell r="D304"/>
          <cell r="E304"/>
          <cell r="F304">
            <v>135</v>
          </cell>
          <cell r="G304">
            <v>111</v>
          </cell>
          <cell r="H304">
            <v>90</v>
          </cell>
          <cell r="I304">
            <v>157.5</v>
          </cell>
          <cell r="J304"/>
          <cell r="K304">
            <v>99</v>
          </cell>
          <cell r="L304">
            <v>112.5</v>
          </cell>
          <cell r="M304">
            <v>94.5</v>
          </cell>
          <cell r="N304">
            <v>184.5</v>
          </cell>
          <cell r="O304"/>
          <cell r="P304">
            <v>112.5</v>
          </cell>
          <cell r="Q304">
            <v>94.5</v>
          </cell>
          <cell r="R304">
            <v>45</v>
          </cell>
          <cell r="S304">
            <v>94.5</v>
          </cell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>
            <v>220.5</v>
          </cell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 t="str">
            <v>SIN USO</v>
          </cell>
          <cell r="DH304" t="str">
            <v>C</v>
          </cell>
          <cell r="DI304"/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 t="str">
            <v>0</v>
          </cell>
          <cell r="DO304">
            <v>0</v>
          </cell>
          <cell r="DP304" t="str">
            <v>INACTIVO</v>
          </cell>
          <cell r="DQ304">
            <v>0</v>
          </cell>
        </row>
        <row r="305">
          <cell r="B305">
            <v>405399</v>
          </cell>
          <cell r="C305" t="str">
            <v>RELLENO AVELLANA CERRILLOS</v>
          </cell>
          <cell r="D305"/>
          <cell r="E305"/>
          <cell r="F305"/>
          <cell r="G305"/>
          <cell r="H305"/>
          <cell r="I305"/>
          <cell r="J305"/>
          <cell r="K305"/>
          <cell r="L305"/>
          <cell r="M305"/>
          <cell r="N305">
            <v>162</v>
          </cell>
          <cell r="O305"/>
          <cell r="P305"/>
          <cell r="Q305">
            <v>111</v>
          </cell>
          <cell r="R305">
            <v>129</v>
          </cell>
          <cell r="S305"/>
          <cell r="T305"/>
          <cell r="U305"/>
          <cell r="V305"/>
          <cell r="W305"/>
          <cell r="X305"/>
          <cell r="Y305">
            <v>360</v>
          </cell>
          <cell r="Z305"/>
          <cell r="AA305"/>
          <cell r="AB305"/>
          <cell r="AC305"/>
          <cell r="AD305"/>
          <cell r="AE305"/>
          <cell r="AF305"/>
          <cell r="AG305"/>
          <cell r="AH305">
            <v>288</v>
          </cell>
          <cell r="AI305"/>
          <cell r="AJ305"/>
          <cell r="AK305"/>
          <cell r="AL305"/>
          <cell r="AM305"/>
          <cell r="AN305"/>
          <cell r="AO305">
            <v>6</v>
          </cell>
          <cell r="AP305">
            <v>93</v>
          </cell>
          <cell r="AQ305"/>
          <cell r="AR305">
            <v>132</v>
          </cell>
          <cell r="AS305">
            <v>60</v>
          </cell>
          <cell r="AT305"/>
          <cell r="AU305"/>
          <cell r="AV305"/>
          <cell r="AW305">
            <v>80</v>
          </cell>
          <cell r="AX305">
            <v>56</v>
          </cell>
          <cell r="AY305">
            <v>50</v>
          </cell>
          <cell r="AZ305">
            <v>72</v>
          </cell>
          <cell r="BA305"/>
          <cell r="BB305">
            <v>60</v>
          </cell>
          <cell r="BC305"/>
          <cell r="BD305">
            <v>78</v>
          </cell>
          <cell r="BE305">
            <v>18</v>
          </cell>
          <cell r="BF305">
            <v>60</v>
          </cell>
          <cell r="BG305">
            <v>34</v>
          </cell>
          <cell r="BH305"/>
          <cell r="BI305">
            <v>57</v>
          </cell>
          <cell r="BJ305">
            <v>51</v>
          </cell>
          <cell r="BK305">
            <v>42</v>
          </cell>
          <cell r="BL305">
            <v>54</v>
          </cell>
          <cell r="BM305"/>
          <cell r="BN305"/>
          <cell r="BO305">
            <v>3</v>
          </cell>
          <cell r="BP305"/>
          <cell r="BQ305"/>
          <cell r="BR305"/>
          <cell r="BS305">
            <v>4</v>
          </cell>
          <cell r="BT305"/>
          <cell r="BU305"/>
          <cell r="BV305"/>
          <cell r="BW305">
            <v>3</v>
          </cell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 t="str">
            <v>SIN USO</v>
          </cell>
          <cell r="DH305" t="str">
            <v>B</v>
          </cell>
          <cell r="DI305"/>
          <cell r="DJ305">
            <v>0</v>
          </cell>
          <cell r="DK305">
            <v>0</v>
          </cell>
          <cell r="DL305">
            <v>61.074115786048175</v>
          </cell>
          <cell r="DM305">
            <v>0</v>
          </cell>
          <cell r="DN305" t="str">
            <v>0</v>
          </cell>
          <cell r="DO305">
            <v>0</v>
          </cell>
          <cell r="DP305" t="str">
            <v>INACTIVO</v>
          </cell>
          <cell r="DQ305">
            <v>0</v>
          </cell>
        </row>
        <row r="306">
          <cell r="B306">
            <v>107295</v>
          </cell>
          <cell r="C306" t="str">
            <v>PASTA MEL DE MARACUYÁ BALDE 5 KG</v>
          </cell>
          <cell r="D306"/>
          <cell r="E306"/>
          <cell r="F306"/>
          <cell r="G306"/>
          <cell r="H306"/>
          <cell r="I306">
            <v>10</v>
          </cell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>
            <v>225</v>
          </cell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 t="str">
            <v>SIN USO</v>
          </cell>
          <cell r="DH306" t="str">
            <v/>
          </cell>
          <cell r="DI306"/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 t="str">
            <v>0</v>
          </cell>
          <cell r="DO306">
            <v>0</v>
          </cell>
          <cell r="DP306" t="str">
            <v>INACTIVO</v>
          </cell>
          <cell r="DQ306">
            <v>0</v>
          </cell>
        </row>
        <row r="307">
          <cell r="B307">
            <v>107320</v>
          </cell>
          <cell r="C307" t="str">
            <v>COLDFIL PIE DE LIMÓN</v>
          </cell>
          <cell r="D307">
            <v>27</v>
          </cell>
          <cell r="E307">
            <v>22.5</v>
          </cell>
          <cell r="F307">
            <v>22.5</v>
          </cell>
          <cell r="G307"/>
          <cell r="H307">
            <v>63</v>
          </cell>
          <cell r="I307">
            <v>38</v>
          </cell>
          <cell r="J307">
            <v>10</v>
          </cell>
          <cell r="K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 t="str">
            <v>SIN USO</v>
          </cell>
          <cell r="DH307" t="str">
            <v/>
          </cell>
          <cell r="DI307"/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 t="str">
            <v>0</v>
          </cell>
          <cell r="DO307">
            <v>0</v>
          </cell>
          <cell r="DP307" t="str">
            <v>INACTIVO</v>
          </cell>
          <cell r="DQ307">
            <v>0</v>
          </cell>
        </row>
        <row r="308">
          <cell r="B308">
            <v>107358</v>
          </cell>
          <cell r="C308" t="str">
            <v>MERMELADA FRUTOS DEL BOSQUE MEL</v>
          </cell>
          <cell r="D308"/>
          <cell r="E308"/>
          <cell r="F308"/>
          <cell r="G308">
            <v>25</v>
          </cell>
          <cell r="H308">
            <v>5</v>
          </cell>
          <cell r="I308"/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 t="str">
            <v>SIN USO</v>
          </cell>
          <cell r="DH308" t="str">
            <v/>
          </cell>
          <cell r="DI308"/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 t="str">
            <v>0</v>
          </cell>
          <cell r="DO308">
            <v>0</v>
          </cell>
          <cell r="DP308" t="str">
            <v>INACTIVO</v>
          </cell>
          <cell r="DQ308">
            <v>0</v>
          </cell>
        </row>
        <row r="309">
          <cell r="B309"/>
          <cell r="C309"/>
          <cell r="D309">
            <v>12201.5</v>
          </cell>
          <cell r="E309">
            <v>9894</v>
          </cell>
          <cell r="F309">
            <v>12007</v>
          </cell>
          <cell r="G309">
            <v>9014.5</v>
          </cell>
          <cell r="H309">
            <v>12024</v>
          </cell>
          <cell r="I309">
            <v>13154</v>
          </cell>
          <cell r="J309">
            <v>11888</v>
          </cell>
          <cell r="K309">
            <v>11159.5</v>
          </cell>
          <cell r="L309">
            <v>15312.7</v>
          </cell>
          <cell r="M309">
            <v>12632.5</v>
          </cell>
          <cell r="N309">
            <v>13237.5</v>
          </cell>
          <cell r="O309">
            <v>5911</v>
          </cell>
          <cell r="P309">
            <v>12232.5</v>
          </cell>
          <cell r="Q309">
            <v>12953</v>
          </cell>
          <cell r="R309">
            <v>12182</v>
          </cell>
          <cell r="S309">
            <v>10769</v>
          </cell>
          <cell r="T309">
            <v>13534</v>
          </cell>
          <cell r="U309">
            <v>12905.5</v>
          </cell>
          <cell r="V309">
            <v>13799.5</v>
          </cell>
          <cell r="W309">
            <v>9841.5</v>
          </cell>
          <cell r="X309">
            <v>10863</v>
          </cell>
          <cell r="Y309">
            <v>16829</v>
          </cell>
          <cell r="Z309">
            <v>9008.5</v>
          </cell>
          <cell r="AA309">
            <v>8759.5</v>
          </cell>
          <cell r="AB309">
            <v>10293.5</v>
          </cell>
          <cell r="AC309">
            <v>7077</v>
          </cell>
          <cell r="AD309">
            <v>4025.5</v>
          </cell>
          <cell r="AE309">
            <v>4245</v>
          </cell>
          <cell r="AF309">
            <v>11981.4</v>
          </cell>
          <cell r="AG309">
            <v>9638.6</v>
          </cell>
          <cell r="AH309">
            <v>10292.6</v>
          </cell>
          <cell r="AI309">
            <v>15417.45</v>
          </cell>
          <cell r="AJ309">
            <v>13003</v>
          </cell>
          <cell r="AK309">
            <v>9037.2999999999993</v>
          </cell>
          <cell r="AL309">
            <v>10393.5</v>
          </cell>
          <cell r="AM309">
            <v>8809.5</v>
          </cell>
          <cell r="AN309">
            <v>9798</v>
          </cell>
          <cell r="AO309">
            <v>11920</v>
          </cell>
          <cell r="AP309">
            <v>11387</v>
          </cell>
          <cell r="AQ309">
            <v>13662</v>
          </cell>
          <cell r="AR309">
            <v>13714.4</v>
          </cell>
          <cell r="AS309">
            <v>13552.5</v>
          </cell>
          <cell r="AT309">
            <v>13641.5</v>
          </cell>
          <cell r="AU309">
            <v>18208.5</v>
          </cell>
          <cell r="AV309">
            <v>18724.25</v>
          </cell>
          <cell r="AW309">
            <v>15867</v>
          </cell>
          <cell r="AX309">
            <v>15018</v>
          </cell>
          <cell r="AY309">
            <v>12446</v>
          </cell>
          <cell r="AZ309">
            <v>17106</v>
          </cell>
          <cell r="BA309">
            <v>18237.5</v>
          </cell>
          <cell r="BB309">
            <v>9615</v>
          </cell>
          <cell r="BC309">
            <v>15677.3</v>
          </cell>
          <cell r="BD309">
            <v>14910.5</v>
          </cell>
          <cell r="BE309">
            <v>10296.5</v>
          </cell>
          <cell r="BF309">
            <v>10354</v>
          </cell>
          <cell r="BG309">
            <v>8542.5</v>
          </cell>
          <cell r="BH309">
            <v>15784.5</v>
          </cell>
          <cell r="BI309">
            <v>11223.5</v>
          </cell>
          <cell r="BJ309">
            <v>11334.5</v>
          </cell>
          <cell r="BK309">
            <v>9553.15</v>
          </cell>
          <cell r="BL309">
            <v>10393.5</v>
          </cell>
          <cell r="BM309">
            <v>12225</v>
          </cell>
          <cell r="BN309">
            <v>13286.5</v>
          </cell>
          <cell r="BO309">
            <v>10305</v>
          </cell>
          <cell r="BP309">
            <v>3619.5</v>
          </cell>
          <cell r="BQ309">
            <v>13782</v>
          </cell>
          <cell r="BR309">
            <v>9350.5</v>
          </cell>
          <cell r="BS309">
            <v>12757</v>
          </cell>
          <cell r="BT309">
            <v>9076.5</v>
          </cell>
          <cell r="BU309">
            <v>10908</v>
          </cell>
          <cell r="BV309">
            <v>9693.5</v>
          </cell>
          <cell r="BW309">
            <v>9114.5</v>
          </cell>
          <cell r="BX309">
            <v>8417</v>
          </cell>
          <cell r="BY309">
            <v>8064.5</v>
          </cell>
          <cell r="BZ309">
            <v>9716.5</v>
          </cell>
          <cell r="CA309">
            <v>9254.5</v>
          </cell>
          <cell r="CB309">
            <v>7126</v>
          </cell>
          <cell r="CC309">
            <v>11458</v>
          </cell>
          <cell r="CD309">
            <v>8357</v>
          </cell>
          <cell r="CE309">
            <v>4595.5</v>
          </cell>
          <cell r="CF309">
            <v>4368</v>
          </cell>
          <cell r="CG309">
            <v>10620.5</v>
          </cell>
          <cell r="CH309">
            <v>9796.5</v>
          </cell>
          <cell r="CI309">
            <v>10556.7</v>
          </cell>
          <cell r="CJ309">
            <v>10245</v>
          </cell>
          <cell r="CK309">
            <v>9479.5</v>
          </cell>
          <cell r="CL309">
            <v>12881.5</v>
          </cell>
          <cell r="CM309">
            <v>10036</v>
          </cell>
          <cell r="CN309">
            <v>9616.2999999999993</v>
          </cell>
          <cell r="CO309">
            <v>9217.5</v>
          </cell>
          <cell r="CP309">
            <v>10910</v>
          </cell>
          <cell r="CQ309">
            <v>10430</v>
          </cell>
          <cell r="CR309">
            <v>11332</v>
          </cell>
          <cell r="CS309">
            <v>8271.5</v>
          </cell>
          <cell r="CT309">
            <v>14866</v>
          </cell>
          <cell r="CU309">
            <v>14401.7</v>
          </cell>
          <cell r="CV309">
            <v>14165.5</v>
          </cell>
          <cell r="CW309">
            <v>12725</v>
          </cell>
          <cell r="CX309">
            <v>7887</v>
          </cell>
          <cell r="CY309">
            <v>12270</v>
          </cell>
          <cell r="CZ309">
            <v>8971</v>
          </cell>
          <cell r="DA309">
            <v>12043.5</v>
          </cell>
          <cell r="DB309">
            <v>8751</v>
          </cell>
          <cell r="DC309">
            <v>9422.5</v>
          </cell>
          <cell r="DD309">
            <v>9774.5</v>
          </cell>
          <cell r="DE309">
            <v>6914</v>
          </cell>
          <cell r="DF309">
            <v>744.5</v>
          </cell>
          <cell r="DG309" t="str">
            <v>ACTIVO</v>
          </cell>
          <cell r="DH309" t="str">
            <v/>
          </cell>
          <cell r="DI309"/>
          <cell r="DJ309">
            <v>10521.548000000001</v>
          </cell>
          <cell r="DK309">
            <v>1753.5913333333335</v>
          </cell>
          <cell r="DL309">
            <v>3354.1261267714194</v>
          </cell>
          <cell r="DM309">
            <v>0</v>
          </cell>
          <cell r="DN309" t="str">
            <v>0</v>
          </cell>
          <cell r="DO309">
            <v>0</v>
          </cell>
          <cell r="DP309" t="str">
            <v>INACTIVO</v>
          </cell>
          <cell r="DQ309">
            <v>0</v>
          </cell>
        </row>
        <row r="310">
          <cell r="B310">
            <v>100303</v>
          </cell>
          <cell r="C310" t="str">
            <v>JARABE DE REMOJO 35° TOTEM 1000 Lt</v>
          </cell>
          <cell r="D310">
            <v>5000</v>
          </cell>
          <cell r="E310">
            <v>5000</v>
          </cell>
          <cell r="F310">
            <v>7000</v>
          </cell>
          <cell r="G310">
            <v>7000</v>
          </cell>
          <cell r="H310">
            <v>6000</v>
          </cell>
          <cell r="I310">
            <v>7000</v>
          </cell>
          <cell r="J310">
            <v>8000</v>
          </cell>
          <cell r="K310">
            <v>10000</v>
          </cell>
          <cell r="L310">
            <v>7000</v>
          </cell>
          <cell r="M310">
            <v>8000</v>
          </cell>
          <cell r="N310">
            <v>6000</v>
          </cell>
          <cell r="O310">
            <v>4000</v>
          </cell>
          <cell r="P310">
            <v>9000</v>
          </cell>
          <cell r="Q310">
            <v>6000</v>
          </cell>
          <cell r="R310">
            <v>8000</v>
          </cell>
          <cell r="S310">
            <v>8000</v>
          </cell>
          <cell r="T310">
            <v>9000</v>
          </cell>
          <cell r="U310">
            <v>7000</v>
          </cell>
          <cell r="V310">
            <v>8000</v>
          </cell>
          <cell r="W310">
            <v>9000</v>
          </cell>
          <cell r="X310">
            <v>9000</v>
          </cell>
          <cell r="Y310">
            <v>6000</v>
          </cell>
          <cell r="Z310">
            <v>8000</v>
          </cell>
          <cell r="AA310">
            <v>8000</v>
          </cell>
          <cell r="AB310">
            <v>6000</v>
          </cell>
          <cell r="AC310">
            <v>6000</v>
          </cell>
          <cell r="AD310">
            <v>2000</v>
          </cell>
          <cell r="AE310">
            <v>2000</v>
          </cell>
          <cell r="AF310">
            <v>3000</v>
          </cell>
          <cell r="AG310">
            <v>6000</v>
          </cell>
          <cell r="AH310">
            <v>4000</v>
          </cell>
          <cell r="AI310">
            <v>6000</v>
          </cell>
          <cell r="AJ310">
            <v>10000</v>
          </cell>
          <cell r="AK310">
            <v>5000</v>
          </cell>
          <cell r="AL310">
            <v>5000</v>
          </cell>
          <cell r="AM310">
            <v>6000</v>
          </cell>
          <cell r="AN310">
            <v>6000</v>
          </cell>
          <cell r="AO310">
            <v>8000</v>
          </cell>
          <cell r="AP310">
            <v>6000</v>
          </cell>
          <cell r="AQ310">
            <v>11000</v>
          </cell>
          <cell r="AR310">
            <v>6000</v>
          </cell>
          <cell r="AS310">
            <v>8000</v>
          </cell>
          <cell r="AT310">
            <v>7000</v>
          </cell>
          <cell r="AU310">
            <v>8000</v>
          </cell>
          <cell r="AV310">
            <v>7000</v>
          </cell>
          <cell r="AW310">
            <v>7000</v>
          </cell>
          <cell r="AX310">
            <v>8055</v>
          </cell>
          <cell r="AY310">
            <v>7000</v>
          </cell>
          <cell r="AZ310">
            <v>11000</v>
          </cell>
          <cell r="BA310">
            <v>8000</v>
          </cell>
          <cell r="BB310">
            <v>11000</v>
          </cell>
          <cell r="BC310">
            <v>7000</v>
          </cell>
          <cell r="BD310">
            <v>6000</v>
          </cell>
          <cell r="BE310">
            <v>5000</v>
          </cell>
          <cell r="BF310">
            <v>8000</v>
          </cell>
          <cell r="BG310">
            <v>5000</v>
          </cell>
          <cell r="BH310">
            <v>9000</v>
          </cell>
          <cell r="BI310">
            <v>5000</v>
          </cell>
          <cell r="BJ310">
            <v>10000</v>
          </cell>
          <cell r="BK310">
            <v>5000</v>
          </cell>
          <cell r="BL310">
            <v>8000</v>
          </cell>
          <cell r="BM310">
            <v>8000</v>
          </cell>
          <cell r="BN310">
            <v>5000</v>
          </cell>
          <cell r="BO310">
            <v>4000</v>
          </cell>
          <cell r="BP310">
            <v>4000</v>
          </cell>
          <cell r="BQ310">
            <v>6050</v>
          </cell>
          <cell r="BR310">
            <v>4000</v>
          </cell>
          <cell r="BS310">
            <v>8000</v>
          </cell>
          <cell r="BT310">
            <v>3000</v>
          </cell>
          <cell r="BU310">
            <v>6000</v>
          </cell>
          <cell r="BV310">
            <v>5000</v>
          </cell>
          <cell r="BW310">
            <v>3000</v>
          </cell>
          <cell r="BX310">
            <v>5000</v>
          </cell>
          <cell r="BY310">
            <v>3000</v>
          </cell>
          <cell r="BZ310">
            <v>3000</v>
          </cell>
          <cell r="CA310">
            <v>4000</v>
          </cell>
          <cell r="CB310">
            <v>3000</v>
          </cell>
          <cell r="CC310">
            <v>4000</v>
          </cell>
          <cell r="CD310">
            <v>4000</v>
          </cell>
          <cell r="CE310">
            <v>2000</v>
          </cell>
          <cell r="CF310">
            <v>1000</v>
          </cell>
          <cell r="CG310">
            <v>5000</v>
          </cell>
          <cell r="CH310">
            <v>5000</v>
          </cell>
          <cell r="CI310">
            <v>4000</v>
          </cell>
          <cell r="CJ310">
            <v>5000</v>
          </cell>
          <cell r="CK310">
            <v>2000</v>
          </cell>
          <cell r="CL310">
            <v>4000</v>
          </cell>
          <cell r="CM310">
            <v>4000</v>
          </cell>
          <cell r="CN310">
            <v>3000</v>
          </cell>
          <cell r="CO310">
            <v>4000</v>
          </cell>
          <cell r="CP310">
            <v>5000</v>
          </cell>
          <cell r="CQ310">
            <v>4000</v>
          </cell>
          <cell r="CR310">
            <v>7000</v>
          </cell>
          <cell r="CS310">
            <v>3000</v>
          </cell>
          <cell r="CT310">
            <v>4000</v>
          </cell>
          <cell r="CU310">
            <v>4015</v>
          </cell>
          <cell r="CV310">
            <v>5000</v>
          </cell>
          <cell r="CW310">
            <v>3000</v>
          </cell>
          <cell r="CX310">
            <v>1000</v>
          </cell>
          <cell r="CY310">
            <v>1000</v>
          </cell>
          <cell r="CZ310">
            <v>1000</v>
          </cell>
          <cell r="DA310">
            <v>6000</v>
          </cell>
          <cell r="DB310">
            <v>1000</v>
          </cell>
          <cell r="DC310">
            <v>4000</v>
          </cell>
          <cell r="DD310">
            <v>5000</v>
          </cell>
          <cell r="DE310">
            <v>4000</v>
          </cell>
          <cell r="DF310"/>
          <cell r="DG310" t="str">
            <v>ACTIVO</v>
          </cell>
          <cell r="DH310" t="str">
            <v>A</v>
          </cell>
          <cell r="DI310"/>
          <cell r="DJ310">
            <v>3640.6</v>
          </cell>
          <cell r="DK310">
            <v>606.76666666666665</v>
          </cell>
          <cell r="DL310">
            <v>2321.410864858547</v>
          </cell>
          <cell r="DM310">
            <v>1000</v>
          </cell>
          <cell r="DN310">
            <v>689000</v>
          </cell>
          <cell r="DO310">
            <v>0.27467999780256003</v>
          </cell>
          <cell r="DP310" t="str">
            <v>OK</v>
          </cell>
          <cell r="DQ310">
            <v>1213.5333333333333</v>
          </cell>
        </row>
        <row r="311">
          <cell r="B311">
            <v>501147</v>
          </cell>
          <cell r="C311" t="str">
            <v>JARABE DE REMOJO 35° BIDON</v>
          </cell>
          <cell r="D311"/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>
            <v>1020</v>
          </cell>
          <cell r="DB311">
            <v>2810</v>
          </cell>
          <cell r="DC311">
            <v>2860</v>
          </cell>
          <cell r="DD311">
            <v>835</v>
          </cell>
          <cell r="DE311">
            <v>600</v>
          </cell>
          <cell r="DF311"/>
          <cell r="DG311" t="str">
            <v>ACTIVO</v>
          </cell>
          <cell r="DH311" t="str">
            <v/>
          </cell>
          <cell r="DI311"/>
          <cell r="DJ311">
            <v>1881.25</v>
          </cell>
          <cell r="DK311">
            <v>313.54166666666669</v>
          </cell>
          <cell r="DL311">
            <v>0</v>
          </cell>
          <cell r="DM311">
            <v>5425</v>
          </cell>
          <cell r="DN311">
            <v>3737825</v>
          </cell>
          <cell r="DO311">
            <v>2.8837209302325579</v>
          </cell>
          <cell r="DP311" t="str">
            <v>OK</v>
          </cell>
          <cell r="DQ311">
            <v>627.08333333333337</v>
          </cell>
        </row>
        <row r="312">
          <cell r="B312">
            <v>107259</v>
          </cell>
          <cell r="C312" t="str">
            <v>JARABE 3 LECHES SCHOLLE 10LT DIWATTS</v>
          </cell>
          <cell r="D312">
            <v>340</v>
          </cell>
          <cell r="E312">
            <v>500</v>
          </cell>
          <cell r="F312">
            <v>270</v>
          </cell>
          <cell r="G312">
            <v>750</v>
          </cell>
          <cell r="H312">
            <v>180</v>
          </cell>
          <cell r="I312">
            <v>170</v>
          </cell>
          <cell r="J312">
            <v>230</v>
          </cell>
          <cell r="K312">
            <v>200</v>
          </cell>
          <cell r="L312">
            <v>250</v>
          </cell>
          <cell r="M312">
            <v>230</v>
          </cell>
          <cell r="N312">
            <v>230</v>
          </cell>
          <cell r="O312">
            <v>10</v>
          </cell>
          <cell r="P312">
            <v>110</v>
          </cell>
          <cell r="Q312">
            <v>270</v>
          </cell>
          <cell r="R312">
            <v>180</v>
          </cell>
          <cell r="S312">
            <v>180</v>
          </cell>
          <cell r="T312">
            <v>150</v>
          </cell>
          <cell r="U312">
            <v>160</v>
          </cell>
          <cell r="V312">
            <v>210</v>
          </cell>
          <cell r="W312">
            <v>150</v>
          </cell>
          <cell r="X312">
            <v>110</v>
          </cell>
          <cell r="Y312">
            <v>10</v>
          </cell>
          <cell r="Z312">
            <v>140</v>
          </cell>
          <cell r="AA312">
            <v>210</v>
          </cell>
          <cell r="AB312">
            <v>190</v>
          </cell>
          <cell r="AC312">
            <v>150</v>
          </cell>
          <cell r="AD312">
            <v>60</v>
          </cell>
          <cell r="AE312">
            <v>50</v>
          </cell>
          <cell r="AF312">
            <v>191</v>
          </cell>
          <cell r="AG312">
            <v>230</v>
          </cell>
          <cell r="AH312">
            <v>198</v>
          </cell>
          <cell r="AI312">
            <v>230</v>
          </cell>
          <cell r="AJ312">
            <v>180</v>
          </cell>
          <cell r="AK312">
            <v>170</v>
          </cell>
          <cell r="AL312">
            <v>210</v>
          </cell>
          <cell r="AM312">
            <v>210</v>
          </cell>
          <cell r="AN312">
            <v>260</v>
          </cell>
          <cell r="AO312">
            <v>230</v>
          </cell>
          <cell r="AP312">
            <v>150</v>
          </cell>
          <cell r="AQ312">
            <v>210</v>
          </cell>
          <cell r="AR312">
            <v>260</v>
          </cell>
          <cell r="AS312">
            <v>200</v>
          </cell>
          <cell r="AT312">
            <v>200</v>
          </cell>
          <cell r="AU312">
            <v>160</v>
          </cell>
          <cell r="AV312">
            <v>180</v>
          </cell>
          <cell r="AW312">
            <v>200</v>
          </cell>
          <cell r="AX312">
            <v>210</v>
          </cell>
          <cell r="AY312">
            <v>170</v>
          </cell>
          <cell r="AZ312">
            <v>190</v>
          </cell>
          <cell r="BA312">
            <v>190</v>
          </cell>
          <cell r="BB312">
            <v>180</v>
          </cell>
          <cell r="BC312">
            <v>220</v>
          </cell>
          <cell r="BD312">
            <v>220</v>
          </cell>
          <cell r="BE312">
            <v>180</v>
          </cell>
          <cell r="BF312">
            <v>160</v>
          </cell>
          <cell r="BG312">
            <v>220</v>
          </cell>
          <cell r="BH312">
            <v>190</v>
          </cell>
          <cell r="BI312">
            <v>200</v>
          </cell>
          <cell r="BJ312">
            <v>180</v>
          </cell>
          <cell r="BK312">
            <v>180</v>
          </cell>
          <cell r="BL312">
            <v>170</v>
          </cell>
          <cell r="BM312">
            <v>180</v>
          </cell>
          <cell r="BN312">
            <v>160</v>
          </cell>
          <cell r="BO312">
            <v>150</v>
          </cell>
          <cell r="BP312">
            <v>20</v>
          </cell>
          <cell r="BQ312">
            <v>210</v>
          </cell>
          <cell r="BR312">
            <v>150</v>
          </cell>
          <cell r="BS312">
            <v>200</v>
          </cell>
          <cell r="BT312">
            <v>160</v>
          </cell>
          <cell r="BU312">
            <v>180</v>
          </cell>
          <cell r="BV312">
            <v>190</v>
          </cell>
          <cell r="BW312">
            <v>200</v>
          </cell>
          <cell r="BX312">
            <v>140</v>
          </cell>
          <cell r="BY312">
            <v>180</v>
          </cell>
          <cell r="BZ312">
            <v>210</v>
          </cell>
          <cell r="CA312">
            <v>180</v>
          </cell>
          <cell r="CB312">
            <v>140</v>
          </cell>
          <cell r="CC312">
            <v>310</v>
          </cell>
          <cell r="CD312">
            <v>420</v>
          </cell>
          <cell r="CE312">
            <v>70</v>
          </cell>
          <cell r="CF312">
            <v>50</v>
          </cell>
          <cell r="CG312">
            <v>150</v>
          </cell>
          <cell r="CH312">
            <v>160</v>
          </cell>
          <cell r="CI312">
            <v>160</v>
          </cell>
          <cell r="CJ312">
            <v>150</v>
          </cell>
          <cell r="CK312">
            <v>170</v>
          </cell>
          <cell r="CL312">
            <v>150</v>
          </cell>
          <cell r="CM312">
            <v>140</v>
          </cell>
          <cell r="CN312">
            <v>190</v>
          </cell>
          <cell r="CO312">
            <v>140</v>
          </cell>
          <cell r="CP312">
            <v>150</v>
          </cell>
          <cell r="CQ312">
            <v>150</v>
          </cell>
          <cell r="CR312">
            <v>190</v>
          </cell>
          <cell r="CS312">
            <v>160</v>
          </cell>
          <cell r="CT312">
            <v>390</v>
          </cell>
          <cell r="CU312">
            <v>200</v>
          </cell>
          <cell r="CV312">
            <v>180</v>
          </cell>
          <cell r="CW312">
            <v>180</v>
          </cell>
          <cell r="CX312">
            <v>150</v>
          </cell>
          <cell r="CY312">
            <v>200</v>
          </cell>
          <cell r="CZ312">
            <v>190</v>
          </cell>
          <cell r="DA312">
            <v>220</v>
          </cell>
          <cell r="DB312">
            <v>190</v>
          </cell>
          <cell r="DC312">
            <v>210</v>
          </cell>
          <cell r="DD312">
            <v>180</v>
          </cell>
          <cell r="DE312">
            <v>160</v>
          </cell>
          <cell r="DF312">
            <v>40</v>
          </cell>
          <cell r="DG312" t="str">
            <v>ACTIVO</v>
          </cell>
          <cell r="DH312" t="str">
            <v>B</v>
          </cell>
          <cell r="DI312"/>
          <cell r="DJ312">
            <v>176</v>
          </cell>
          <cell r="DK312">
            <v>29.333333333333332</v>
          </cell>
          <cell r="DL312">
            <v>56.523188403397079</v>
          </cell>
          <cell r="DM312">
            <v>260</v>
          </cell>
          <cell r="DN312">
            <v>569400</v>
          </cell>
          <cell r="DO312">
            <v>1.4772727272727273</v>
          </cell>
          <cell r="DP312" t="str">
            <v>OK</v>
          </cell>
          <cell r="DQ312">
            <v>58.666666666666664</v>
          </cell>
        </row>
        <row r="313">
          <cell r="B313">
            <v>107278</v>
          </cell>
          <cell r="C313" t="str">
            <v>JARABE DE REMOJO RON-NJA 40 BIDÓN 5 Lt</v>
          </cell>
          <cell r="D313">
            <v>2430</v>
          </cell>
          <cell r="E313">
            <v>2815</v>
          </cell>
          <cell r="F313">
            <v>2575</v>
          </cell>
          <cell r="G313">
            <v>2830</v>
          </cell>
          <cell r="H313">
            <v>3660</v>
          </cell>
          <cell r="I313">
            <v>2930</v>
          </cell>
          <cell r="J313">
            <v>3175</v>
          </cell>
          <cell r="K313">
            <v>3435</v>
          </cell>
          <cell r="L313">
            <v>3109</v>
          </cell>
          <cell r="M313">
            <v>2690</v>
          </cell>
          <cell r="N313">
            <v>2380</v>
          </cell>
          <cell r="O313">
            <v>2800</v>
          </cell>
          <cell r="P313">
            <v>2335</v>
          </cell>
          <cell r="Q313">
            <v>2755</v>
          </cell>
          <cell r="R313">
            <v>2790</v>
          </cell>
          <cell r="S313">
            <v>2620</v>
          </cell>
          <cell r="T313">
            <v>2355</v>
          </cell>
          <cell r="U313">
            <v>2750</v>
          </cell>
          <cell r="V313">
            <v>2765</v>
          </cell>
          <cell r="W313">
            <v>2950</v>
          </cell>
          <cell r="X313">
            <v>2310</v>
          </cell>
          <cell r="Y313">
            <v>3820</v>
          </cell>
          <cell r="Z313">
            <v>2045</v>
          </cell>
          <cell r="AA313">
            <v>2215</v>
          </cell>
          <cell r="AB313">
            <v>2050</v>
          </cell>
          <cell r="AC313">
            <v>1410</v>
          </cell>
          <cell r="AD313">
            <v>280</v>
          </cell>
          <cell r="AE313">
            <v>335</v>
          </cell>
          <cell r="AF313">
            <v>2040</v>
          </cell>
          <cell r="AG313">
            <v>1319</v>
          </cell>
          <cell r="AH313">
            <v>981</v>
          </cell>
          <cell r="AI313">
            <v>1860</v>
          </cell>
          <cell r="AJ313">
            <v>2280</v>
          </cell>
          <cell r="AK313">
            <v>955</v>
          </cell>
          <cell r="AL313">
            <v>1405</v>
          </cell>
          <cell r="AM313">
            <v>1500</v>
          </cell>
          <cell r="AN313">
            <v>1120</v>
          </cell>
          <cell r="AO313">
            <v>2810</v>
          </cell>
          <cell r="AP313">
            <v>1585</v>
          </cell>
          <cell r="AQ313">
            <v>2155</v>
          </cell>
          <cell r="AR313">
            <v>1820</v>
          </cell>
          <cell r="AS313">
            <v>2280</v>
          </cell>
          <cell r="AT313">
            <v>1410</v>
          </cell>
          <cell r="AU313">
            <v>1725</v>
          </cell>
          <cell r="AV313">
            <v>3000</v>
          </cell>
          <cell r="AW313">
            <v>2030</v>
          </cell>
          <cell r="AX313">
            <v>1835</v>
          </cell>
          <cell r="AY313">
            <v>1165</v>
          </cell>
          <cell r="AZ313">
            <v>2422</v>
          </cell>
          <cell r="BA313">
            <v>4863</v>
          </cell>
          <cell r="BB313">
            <v>1045</v>
          </cell>
          <cell r="BC313">
            <v>2375</v>
          </cell>
          <cell r="BD313">
            <v>1946</v>
          </cell>
          <cell r="BE313">
            <v>1575</v>
          </cell>
          <cell r="BF313">
            <v>1980</v>
          </cell>
          <cell r="BG313">
            <v>915</v>
          </cell>
          <cell r="BH313">
            <v>2320</v>
          </cell>
          <cell r="BI313">
            <v>1685</v>
          </cell>
          <cell r="BJ313">
            <v>1180</v>
          </cell>
          <cell r="BK313">
            <v>1070</v>
          </cell>
          <cell r="BL313">
            <v>1420</v>
          </cell>
          <cell r="BM313">
            <v>2140</v>
          </cell>
          <cell r="BN313">
            <v>1420</v>
          </cell>
          <cell r="BO313">
            <v>1415</v>
          </cell>
          <cell r="BP313">
            <v>330</v>
          </cell>
          <cell r="BQ313">
            <v>1650</v>
          </cell>
          <cell r="BR313">
            <v>1540</v>
          </cell>
          <cell r="BS313">
            <v>2575</v>
          </cell>
          <cell r="BT313">
            <v>955</v>
          </cell>
          <cell r="BU313">
            <v>830</v>
          </cell>
          <cell r="BV313">
            <v>1060</v>
          </cell>
          <cell r="BW313">
            <v>1400</v>
          </cell>
          <cell r="BX313">
            <v>750</v>
          </cell>
          <cell r="BY313">
            <v>1560</v>
          </cell>
          <cell r="BZ313">
            <v>1675</v>
          </cell>
          <cell r="CA313">
            <v>805</v>
          </cell>
          <cell r="CB313">
            <v>1025</v>
          </cell>
          <cell r="CC313">
            <v>1810</v>
          </cell>
          <cell r="CD313">
            <v>1040</v>
          </cell>
          <cell r="CE313">
            <v>260</v>
          </cell>
          <cell r="CF313">
            <v>665</v>
          </cell>
          <cell r="CG313">
            <v>1335</v>
          </cell>
          <cell r="CH313">
            <v>1595</v>
          </cell>
          <cell r="CI313">
            <v>1510</v>
          </cell>
          <cell r="CJ313">
            <v>1750</v>
          </cell>
          <cell r="CK313">
            <v>1065</v>
          </cell>
          <cell r="CL313">
            <v>1465</v>
          </cell>
          <cell r="CM313">
            <v>1430</v>
          </cell>
          <cell r="CN313">
            <v>1600</v>
          </cell>
          <cell r="CO313">
            <v>670</v>
          </cell>
          <cell r="CP313">
            <v>1120</v>
          </cell>
          <cell r="CQ313">
            <v>2315</v>
          </cell>
          <cell r="CR313">
            <v>2450</v>
          </cell>
          <cell r="CS313">
            <v>310</v>
          </cell>
          <cell r="CT313">
            <v>380</v>
          </cell>
          <cell r="CU313">
            <v>445</v>
          </cell>
          <cell r="CV313">
            <v>295</v>
          </cell>
          <cell r="CW313">
            <v>155</v>
          </cell>
          <cell r="CX313">
            <v>35</v>
          </cell>
          <cell r="CY313">
            <v>4375</v>
          </cell>
          <cell r="CZ313">
            <v>3020</v>
          </cell>
          <cell r="DA313">
            <v>1105</v>
          </cell>
          <cell r="DB313">
            <v>1565</v>
          </cell>
          <cell r="DC313">
            <v>890</v>
          </cell>
          <cell r="DD313">
            <v>1075</v>
          </cell>
          <cell r="DE313">
            <v>1130</v>
          </cell>
          <cell r="DF313"/>
          <cell r="DG313" t="str">
            <v>ACTIVO</v>
          </cell>
          <cell r="DH313" t="str">
            <v>A</v>
          </cell>
          <cell r="DI313"/>
          <cell r="DJ313">
            <v>1304.8</v>
          </cell>
          <cell r="DK313">
            <v>217.46666666666667</v>
          </cell>
          <cell r="DL313">
            <v>763.33048755868185</v>
          </cell>
          <cell r="DM313">
            <v>925</v>
          </cell>
          <cell r="DN313">
            <v>666740</v>
          </cell>
          <cell r="DO313">
            <v>0.70892090741876157</v>
          </cell>
          <cell r="DP313" t="str">
            <v>OK</v>
          </cell>
          <cell r="DQ313">
            <v>434.93333333333334</v>
          </cell>
        </row>
        <row r="314">
          <cell r="B314">
            <v>107262</v>
          </cell>
          <cell r="C314" t="str">
            <v>REMOJO 3 LECHES RICHI</v>
          </cell>
          <cell r="D314">
            <v>3697</v>
          </cell>
          <cell r="E314">
            <v>1178</v>
          </cell>
          <cell r="F314">
            <v>1988</v>
          </cell>
          <cell r="G314">
            <v>304</v>
          </cell>
          <cell r="H314">
            <v>1973</v>
          </cell>
          <cell r="I314">
            <v>2617</v>
          </cell>
          <cell r="J314">
            <v>1777</v>
          </cell>
          <cell r="K314">
            <v>1120</v>
          </cell>
          <cell r="L314">
            <v>2790</v>
          </cell>
          <cell r="M314">
            <v>939</v>
          </cell>
          <cell r="N314">
            <v>2308</v>
          </cell>
          <cell r="O314">
            <v>1178</v>
          </cell>
          <cell r="P314">
            <v>1676</v>
          </cell>
          <cell r="Q314">
            <v>2077</v>
          </cell>
          <cell r="R314">
            <v>1798</v>
          </cell>
          <cell r="S314">
            <v>2271</v>
          </cell>
          <cell r="T314">
            <v>2188</v>
          </cell>
          <cell r="U314">
            <v>1440</v>
          </cell>
          <cell r="V314">
            <v>3075</v>
          </cell>
          <cell r="W314">
            <v>60</v>
          </cell>
          <cell r="X314">
            <v>1854</v>
          </cell>
          <cell r="Y314">
            <v>6029</v>
          </cell>
          <cell r="Z314">
            <v>1158</v>
          </cell>
          <cell r="AA314">
            <v>81</v>
          </cell>
          <cell r="AB314">
            <v>3316</v>
          </cell>
          <cell r="AC314">
            <v>34</v>
          </cell>
          <cell r="AD314">
            <v>2289</v>
          </cell>
          <cell r="AE314"/>
          <cell r="AF314">
            <v>2388</v>
          </cell>
          <cell r="AG314">
            <v>1644</v>
          </cell>
          <cell r="AH314">
            <v>3731</v>
          </cell>
          <cell r="AI314">
            <v>2305</v>
          </cell>
          <cell r="AJ314">
            <v>1858</v>
          </cell>
          <cell r="AK314">
            <v>771</v>
          </cell>
          <cell r="AL314">
            <v>73</v>
          </cell>
          <cell r="AM314">
            <v>88</v>
          </cell>
          <cell r="AN314">
            <v>736</v>
          </cell>
          <cell r="AO314">
            <v>83</v>
          </cell>
          <cell r="AP314">
            <v>197</v>
          </cell>
          <cell r="AQ314">
            <v>1426</v>
          </cell>
          <cell r="AR314">
            <v>1458</v>
          </cell>
          <cell r="AS314">
            <v>2340</v>
          </cell>
          <cell r="AT314">
            <v>1894</v>
          </cell>
          <cell r="AU314">
            <v>2914</v>
          </cell>
          <cell r="AV314">
            <v>2329</v>
          </cell>
          <cell r="AW314">
            <v>977</v>
          </cell>
          <cell r="AX314">
            <v>2090</v>
          </cell>
          <cell r="AY314">
            <v>2313</v>
          </cell>
          <cell r="AZ314">
            <v>1820</v>
          </cell>
          <cell r="BA314">
            <v>1583</v>
          </cell>
          <cell r="BB314">
            <v>2100</v>
          </cell>
          <cell r="BC314">
            <v>2398</v>
          </cell>
          <cell r="BD314">
            <v>2376</v>
          </cell>
          <cell r="BE314">
            <v>2047</v>
          </cell>
          <cell r="BF314">
            <v>1265</v>
          </cell>
          <cell r="BG314">
            <v>1815</v>
          </cell>
          <cell r="BH314">
            <v>3042</v>
          </cell>
          <cell r="BI314">
            <v>1611</v>
          </cell>
          <cell r="BJ314">
            <v>3151</v>
          </cell>
          <cell r="BK314">
            <v>1325</v>
          </cell>
          <cell r="BL314">
            <v>2283</v>
          </cell>
          <cell r="BM314">
            <v>3170</v>
          </cell>
          <cell r="BN314">
            <v>685</v>
          </cell>
          <cell r="BO314">
            <v>2288</v>
          </cell>
          <cell r="BP314">
            <v>644</v>
          </cell>
          <cell r="BQ314">
            <v>2014</v>
          </cell>
          <cell r="BR314">
            <v>1478</v>
          </cell>
          <cell r="BS314">
            <v>2548</v>
          </cell>
          <cell r="BT314">
            <v>2548</v>
          </cell>
          <cell r="BU314">
            <v>1482</v>
          </cell>
          <cell r="BV314">
            <v>1164</v>
          </cell>
          <cell r="BW314">
            <v>46</v>
          </cell>
          <cell r="BX314">
            <v>2351</v>
          </cell>
          <cell r="BY314">
            <v>1647</v>
          </cell>
          <cell r="BZ314">
            <v>2181</v>
          </cell>
          <cell r="CA314">
            <v>1068</v>
          </cell>
          <cell r="CB314">
            <v>1826</v>
          </cell>
          <cell r="CC314">
            <v>823</v>
          </cell>
          <cell r="CD314">
            <v>757</v>
          </cell>
          <cell r="CE314">
            <v>1424</v>
          </cell>
          <cell r="CF314">
            <v>54</v>
          </cell>
          <cell r="CG314">
            <v>2212</v>
          </cell>
          <cell r="CH314">
            <v>2369</v>
          </cell>
          <cell r="CI314">
            <v>1720</v>
          </cell>
          <cell r="CJ314">
            <v>1704</v>
          </cell>
          <cell r="CK314">
            <v>54</v>
          </cell>
          <cell r="CL314">
            <v>3126</v>
          </cell>
          <cell r="CM314">
            <v>2364</v>
          </cell>
          <cell r="CN314">
            <v>766</v>
          </cell>
          <cell r="CO314">
            <v>2072</v>
          </cell>
          <cell r="CP314">
            <v>1518</v>
          </cell>
          <cell r="CQ314">
            <v>1363</v>
          </cell>
          <cell r="CR314">
            <v>1599</v>
          </cell>
          <cell r="CS314">
            <v>41</v>
          </cell>
          <cell r="CT314">
            <v>2904</v>
          </cell>
          <cell r="CU314">
            <v>946</v>
          </cell>
          <cell r="CV314">
            <v>3640</v>
          </cell>
          <cell r="CW314">
            <v>424</v>
          </cell>
          <cell r="CX314">
            <v>2202</v>
          </cell>
          <cell r="CY314">
            <v>1407</v>
          </cell>
          <cell r="CZ314">
            <v>1584</v>
          </cell>
          <cell r="DA314">
            <v>1513</v>
          </cell>
          <cell r="DB314">
            <v>1660</v>
          </cell>
          <cell r="DC314">
            <v>1233</v>
          </cell>
          <cell r="DD314">
            <v>1396</v>
          </cell>
          <cell r="DE314">
            <v>2119</v>
          </cell>
          <cell r="DF314"/>
          <cell r="DG314" t="str">
            <v>ACTIVO</v>
          </cell>
          <cell r="DH314" t="str">
            <v>A</v>
          </cell>
          <cell r="DI314"/>
          <cell r="DJ314">
            <v>1594.84</v>
          </cell>
          <cell r="DK314">
            <v>265.80666666666667</v>
          </cell>
          <cell r="DL314">
            <v>867.39232882912563</v>
          </cell>
          <cell r="DM314">
            <v>1471</v>
          </cell>
          <cell r="DN314">
            <v>2924200.9</v>
          </cell>
          <cell r="DO314">
            <v>0.92234957738707335</v>
          </cell>
          <cell r="DP314" t="str">
            <v>OK</v>
          </cell>
          <cell r="DQ314">
            <v>797.42000000000007</v>
          </cell>
        </row>
        <row r="315">
          <cell r="B315">
            <v>201103</v>
          </cell>
          <cell r="C315" t="str">
            <v>PROTEKTOR PURATOS</v>
          </cell>
          <cell r="D315"/>
          <cell r="E315"/>
          <cell r="F315"/>
          <cell r="G315"/>
          <cell r="H315">
            <v>10</v>
          </cell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  <cell r="T315">
            <v>10</v>
          </cell>
          <cell r="U315"/>
          <cell r="V315">
            <v>30</v>
          </cell>
          <cell r="W315"/>
          <cell r="X315">
            <v>10</v>
          </cell>
          <cell r="Y315"/>
          <cell r="Z315">
            <v>15</v>
          </cell>
          <cell r="AA315">
            <v>5</v>
          </cell>
          <cell r="AB315"/>
          <cell r="AC315">
            <v>35</v>
          </cell>
          <cell r="AD315"/>
          <cell r="AE315"/>
          <cell r="AF315">
            <v>10</v>
          </cell>
          <cell r="AG315">
            <v>10</v>
          </cell>
          <cell r="AH315">
            <v>5</v>
          </cell>
          <cell r="AI315">
            <v>10</v>
          </cell>
          <cell r="AJ315"/>
          <cell r="AK315">
            <v>5</v>
          </cell>
          <cell r="AL315">
            <v>5</v>
          </cell>
          <cell r="AM315"/>
          <cell r="AN315">
            <v>5</v>
          </cell>
          <cell r="AO315">
            <v>20</v>
          </cell>
          <cell r="AP315">
            <v>20</v>
          </cell>
          <cell r="AQ315"/>
          <cell r="AR315"/>
          <cell r="AS315">
            <v>5</v>
          </cell>
          <cell r="AT315"/>
          <cell r="AU315"/>
          <cell r="AV315">
            <v>10</v>
          </cell>
          <cell r="AW315">
            <v>5</v>
          </cell>
          <cell r="AX315">
            <v>5</v>
          </cell>
          <cell r="AY315">
            <v>5</v>
          </cell>
          <cell r="AZ315">
            <v>5</v>
          </cell>
          <cell r="BA315">
            <v>10</v>
          </cell>
          <cell r="BB315"/>
          <cell r="BC315">
            <v>5</v>
          </cell>
          <cell r="BD315">
            <v>10</v>
          </cell>
          <cell r="BE315">
            <v>5</v>
          </cell>
          <cell r="BF315">
            <v>5</v>
          </cell>
          <cell r="BG315">
            <v>5</v>
          </cell>
          <cell r="BH315">
            <v>10</v>
          </cell>
          <cell r="BI315">
            <v>10</v>
          </cell>
          <cell r="BJ315">
            <v>10</v>
          </cell>
          <cell r="BK315"/>
          <cell r="BL315">
            <v>5</v>
          </cell>
          <cell r="BM315">
            <v>5</v>
          </cell>
          <cell r="BN315">
            <v>5</v>
          </cell>
          <cell r="BO315">
            <v>5</v>
          </cell>
          <cell r="BP315"/>
          <cell r="BQ315">
            <v>5</v>
          </cell>
          <cell r="BR315">
            <v>10</v>
          </cell>
          <cell r="BS315">
            <v>5</v>
          </cell>
          <cell r="BT315"/>
          <cell r="BU315">
            <v>5</v>
          </cell>
          <cell r="BV315">
            <v>10</v>
          </cell>
          <cell r="BW315"/>
          <cell r="BX315">
            <v>5</v>
          </cell>
          <cell r="BY315">
            <v>10</v>
          </cell>
          <cell r="BZ315">
            <v>15</v>
          </cell>
          <cell r="CA315">
            <v>15</v>
          </cell>
          <cell r="CB315">
            <v>10</v>
          </cell>
          <cell r="CC315">
            <v>10</v>
          </cell>
          <cell r="CD315">
            <v>15</v>
          </cell>
          <cell r="CE315"/>
          <cell r="CF315"/>
          <cell r="CG315">
            <v>4</v>
          </cell>
          <cell r="CH315">
            <v>10</v>
          </cell>
          <cell r="CI315">
            <v>10</v>
          </cell>
          <cell r="CJ315">
            <v>10</v>
          </cell>
          <cell r="CK315">
            <v>10</v>
          </cell>
          <cell r="CL315">
            <v>5</v>
          </cell>
          <cell r="CM315">
            <v>10</v>
          </cell>
          <cell r="CN315">
            <v>5</v>
          </cell>
          <cell r="CO315">
            <v>10</v>
          </cell>
          <cell r="CP315">
            <v>5</v>
          </cell>
          <cell r="CQ315">
            <v>5</v>
          </cell>
          <cell r="CR315">
            <v>10</v>
          </cell>
          <cell r="CS315">
            <v>5</v>
          </cell>
          <cell r="CT315">
            <v>5</v>
          </cell>
          <cell r="CU315">
            <v>5</v>
          </cell>
          <cell r="CV315">
            <v>10</v>
          </cell>
          <cell r="CW315">
            <v>5</v>
          </cell>
          <cell r="CX315">
            <v>5</v>
          </cell>
          <cell r="CY315">
            <v>10</v>
          </cell>
          <cell r="CZ315">
            <v>5</v>
          </cell>
          <cell r="DA315">
            <v>5</v>
          </cell>
          <cell r="DB315">
            <v>5</v>
          </cell>
          <cell r="DC315">
            <v>10</v>
          </cell>
          <cell r="DD315"/>
          <cell r="DE315">
            <v>5</v>
          </cell>
          <cell r="DF315"/>
          <cell r="DG315" t="str">
            <v>ACTIVO</v>
          </cell>
          <cell r="DH315" t="str">
            <v>C</v>
          </cell>
          <cell r="DI315"/>
          <cell r="DJ315">
            <v>7.1304347826086953</v>
          </cell>
          <cell r="DK315">
            <v>1.1884057971014492</v>
          </cell>
          <cell r="DL315">
            <v>4.1679485207707243</v>
          </cell>
          <cell r="DM315">
            <v>65</v>
          </cell>
          <cell r="DN315">
            <v>368745</v>
          </cell>
          <cell r="DO315">
            <v>9.1158536585365866</v>
          </cell>
          <cell r="DP315" t="str">
            <v>OK</v>
          </cell>
          <cell r="DQ315">
            <v>4.7536231884057969</v>
          </cell>
        </row>
        <row r="316">
          <cell r="B316">
            <v>107260</v>
          </cell>
          <cell r="C316" t="str">
            <v>JARABE DE REMOJO OCTOBINS</v>
          </cell>
          <cell r="D316"/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>
            <v>975</v>
          </cell>
          <cell r="AS316">
            <v>1950</v>
          </cell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 t="str">
            <v>SIN USO</v>
          </cell>
          <cell r="DH316" t="str">
            <v>C</v>
          </cell>
          <cell r="DI316"/>
          <cell r="DJ316">
            <v>0</v>
          </cell>
          <cell r="DK316">
            <v>0</v>
          </cell>
          <cell r="DL316">
            <v>689.42911165688383</v>
          </cell>
          <cell r="DM316">
            <v>0</v>
          </cell>
          <cell r="DN316" t="str">
            <v>0</v>
          </cell>
          <cell r="DO316">
            <v>0</v>
          </cell>
          <cell r="DP316" t="str">
            <v>INACTIVO</v>
          </cell>
          <cell r="DQ316">
            <v>0</v>
          </cell>
        </row>
        <row r="317">
          <cell r="B317"/>
          <cell r="C317"/>
          <cell r="D317">
            <v>11467</v>
          </cell>
          <cell r="E317">
            <v>9493</v>
          </cell>
          <cell r="F317">
            <v>11833</v>
          </cell>
          <cell r="G317">
            <v>10884</v>
          </cell>
          <cell r="H317">
            <v>11823</v>
          </cell>
          <cell r="I317">
            <v>12717</v>
          </cell>
          <cell r="J317">
            <v>13182</v>
          </cell>
          <cell r="K317">
            <v>14755</v>
          </cell>
          <cell r="L317">
            <v>13149</v>
          </cell>
          <cell r="M317">
            <v>11859</v>
          </cell>
          <cell r="N317">
            <v>10918</v>
          </cell>
          <cell r="O317">
            <v>7988</v>
          </cell>
          <cell r="P317">
            <v>13121</v>
          </cell>
          <cell r="Q317">
            <v>11102</v>
          </cell>
          <cell r="R317">
            <v>12768</v>
          </cell>
          <cell r="S317">
            <v>13071</v>
          </cell>
          <cell r="T317">
            <v>13703</v>
          </cell>
          <cell r="U317">
            <v>11350</v>
          </cell>
          <cell r="V317">
            <v>14080</v>
          </cell>
          <cell r="W317">
            <v>12160</v>
          </cell>
          <cell r="X317">
            <v>13284</v>
          </cell>
          <cell r="Y317">
            <v>15859</v>
          </cell>
          <cell r="Z317">
            <v>11358</v>
          </cell>
          <cell r="AA317">
            <v>10511</v>
          </cell>
          <cell r="AB317">
            <v>11556</v>
          </cell>
          <cell r="AC317">
            <v>7629</v>
          </cell>
          <cell r="AD317">
            <v>4629</v>
          </cell>
          <cell r="AE317">
            <v>2385</v>
          </cell>
          <cell r="AF317">
            <v>7629</v>
          </cell>
          <cell r="AG317">
            <v>9203</v>
          </cell>
          <cell r="AH317">
            <v>8915</v>
          </cell>
          <cell r="AI317">
            <v>10405</v>
          </cell>
          <cell r="AJ317">
            <v>14318</v>
          </cell>
          <cell r="AK317">
            <v>6901</v>
          </cell>
          <cell r="AL317">
            <v>6693</v>
          </cell>
          <cell r="AM317">
            <v>7798</v>
          </cell>
          <cell r="AN317">
            <v>8121</v>
          </cell>
          <cell r="AO317">
            <v>11143</v>
          </cell>
          <cell r="AP317">
            <v>7952</v>
          </cell>
          <cell r="AQ317">
            <v>14791</v>
          </cell>
          <cell r="AR317">
            <v>10513</v>
          </cell>
          <cell r="AS317">
            <v>14775</v>
          </cell>
          <cell r="AT317">
            <v>10504</v>
          </cell>
          <cell r="AU317">
            <v>12799</v>
          </cell>
          <cell r="AV317">
            <v>12519</v>
          </cell>
          <cell r="AW317">
            <v>10212</v>
          </cell>
          <cell r="AX317">
            <v>12195</v>
          </cell>
          <cell r="AY317">
            <v>10653</v>
          </cell>
          <cell r="AZ317">
            <v>15437</v>
          </cell>
          <cell r="BA317">
            <v>14646</v>
          </cell>
          <cell r="BB317">
            <v>14325</v>
          </cell>
          <cell r="BC317">
            <v>11998</v>
          </cell>
          <cell r="BD317">
            <v>10552</v>
          </cell>
          <cell r="BE317">
            <v>8807</v>
          </cell>
          <cell r="BF317">
            <v>11410</v>
          </cell>
          <cell r="BG317">
            <v>7955</v>
          </cell>
          <cell r="BH317">
            <v>14562</v>
          </cell>
          <cell r="BI317">
            <v>8506</v>
          </cell>
          <cell r="BJ317">
            <v>14521</v>
          </cell>
          <cell r="BK317">
            <v>7575</v>
          </cell>
          <cell r="BL317">
            <v>11878</v>
          </cell>
          <cell r="BM317">
            <v>13495</v>
          </cell>
          <cell r="BN317">
            <v>7270</v>
          </cell>
          <cell r="BO317">
            <v>7858</v>
          </cell>
          <cell r="BP317">
            <v>4994</v>
          </cell>
          <cell r="BQ317">
            <v>9929</v>
          </cell>
          <cell r="BR317">
            <v>7178</v>
          </cell>
          <cell r="BS317">
            <v>13328</v>
          </cell>
          <cell r="BT317">
            <v>6663</v>
          </cell>
          <cell r="BU317">
            <v>8497</v>
          </cell>
          <cell r="BV317">
            <v>7424</v>
          </cell>
          <cell r="BW317">
            <v>4646</v>
          </cell>
          <cell r="BX317">
            <v>8246</v>
          </cell>
          <cell r="BY317">
            <v>6397</v>
          </cell>
          <cell r="BZ317">
            <v>7081</v>
          </cell>
          <cell r="CA317">
            <v>6068</v>
          </cell>
          <cell r="CB317">
            <v>6001</v>
          </cell>
          <cell r="CC317">
            <v>6953</v>
          </cell>
          <cell r="CD317">
            <v>6232</v>
          </cell>
          <cell r="CE317">
            <v>3754</v>
          </cell>
          <cell r="CF317">
            <v>1769</v>
          </cell>
          <cell r="CG317">
            <v>8701</v>
          </cell>
          <cell r="CH317">
            <v>9134</v>
          </cell>
          <cell r="CI317">
            <v>7400</v>
          </cell>
          <cell r="CJ317">
            <v>8614</v>
          </cell>
          <cell r="CK317">
            <v>3299</v>
          </cell>
          <cell r="CL317">
            <v>8746</v>
          </cell>
          <cell r="CM317">
            <v>7944</v>
          </cell>
          <cell r="CN317">
            <v>5561</v>
          </cell>
          <cell r="CO317">
            <v>6892</v>
          </cell>
          <cell r="CP317">
            <v>7793</v>
          </cell>
          <cell r="CQ317">
            <v>7833</v>
          </cell>
          <cell r="CR317">
            <v>11249</v>
          </cell>
          <cell r="CS317">
            <v>3516</v>
          </cell>
          <cell r="CT317">
            <v>7679</v>
          </cell>
          <cell r="CU317">
            <v>5611</v>
          </cell>
          <cell r="CV317">
            <v>9125</v>
          </cell>
          <cell r="CW317">
            <v>3764</v>
          </cell>
          <cell r="CX317">
            <v>3392</v>
          </cell>
          <cell r="CY317">
            <v>6992</v>
          </cell>
          <cell r="CZ317">
            <v>5799</v>
          </cell>
          <cell r="DA317">
            <v>9863</v>
          </cell>
          <cell r="DB317">
            <v>7230</v>
          </cell>
          <cell r="DC317">
            <v>9203</v>
          </cell>
          <cell r="DD317">
            <v>8486</v>
          </cell>
          <cell r="DE317">
            <v>8014</v>
          </cell>
          <cell r="DF317">
            <v>40</v>
          </cell>
          <cell r="DG317" t="str">
            <v>ACTIVO</v>
          </cell>
          <cell r="DH317" t="str">
            <v/>
          </cell>
          <cell r="DI317"/>
          <cell r="DJ317">
            <v>7023.8</v>
          </cell>
          <cell r="DK317">
            <v>1170.6333333333334</v>
          </cell>
          <cell r="DL317">
            <v>3229.800740550023</v>
          </cell>
          <cell r="DM317">
            <v>0</v>
          </cell>
          <cell r="DN317" t="str">
            <v>0</v>
          </cell>
          <cell r="DO317">
            <v>0</v>
          </cell>
          <cell r="DP317" t="str">
            <v>INACTIVO</v>
          </cell>
          <cell r="DQ317">
            <v>0</v>
          </cell>
        </row>
        <row r="318">
          <cell r="B318">
            <v>405311</v>
          </cell>
          <cell r="C318" t="str">
            <v>TRIANGULO BLANCO RAYADO ROJO</v>
          </cell>
          <cell r="D318">
            <v>2280</v>
          </cell>
          <cell r="E318">
            <v>2888</v>
          </cell>
          <cell r="F318"/>
          <cell r="G318">
            <v>2394</v>
          </cell>
          <cell r="H318"/>
          <cell r="I318">
            <v>1824</v>
          </cell>
          <cell r="J318">
            <v>5738</v>
          </cell>
          <cell r="K318">
            <v>2888</v>
          </cell>
          <cell r="L318">
            <v>3040</v>
          </cell>
          <cell r="M318"/>
          <cell r="N318"/>
          <cell r="O318">
            <v>3192</v>
          </cell>
          <cell r="P318"/>
          <cell r="Q318">
            <v>2432</v>
          </cell>
          <cell r="R318">
            <v>2280</v>
          </cell>
          <cell r="S318">
            <v>3040</v>
          </cell>
          <cell r="T318"/>
          <cell r="U318">
            <v>4408</v>
          </cell>
          <cell r="V318"/>
          <cell r="W318"/>
          <cell r="X318">
            <v>4864</v>
          </cell>
          <cell r="Y318"/>
          <cell r="Z318">
            <v>4864</v>
          </cell>
          <cell r="AA318"/>
          <cell r="AB318">
            <v>4560</v>
          </cell>
          <cell r="AC318">
            <v>304</v>
          </cell>
          <cell r="AD318"/>
          <cell r="AE318"/>
          <cell r="AF318"/>
          <cell r="AG318"/>
          <cell r="AH318"/>
          <cell r="AI318">
            <v>5552</v>
          </cell>
          <cell r="AJ318">
            <v>5216</v>
          </cell>
          <cell r="AK318"/>
          <cell r="AL318"/>
          <cell r="AM318">
            <v>5608</v>
          </cell>
          <cell r="AN318">
            <v>2672</v>
          </cell>
          <cell r="AO318"/>
          <cell r="AP318">
            <v>10010</v>
          </cell>
          <cell r="AQ318"/>
          <cell r="AR318"/>
          <cell r="AS318">
            <v>4864</v>
          </cell>
          <cell r="AT318"/>
          <cell r="AU318"/>
          <cell r="AV318"/>
          <cell r="AW318">
            <v>5168</v>
          </cell>
          <cell r="AX318"/>
          <cell r="AY318"/>
          <cell r="AZ318">
            <v>2584</v>
          </cell>
          <cell r="BA318">
            <v>2432</v>
          </cell>
          <cell r="BB318">
            <v>2736</v>
          </cell>
          <cell r="BC318">
            <v>5472</v>
          </cell>
          <cell r="BD318"/>
          <cell r="BE318">
            <v>5744</v>
          </cell>
          <cell r="BF318"/>
          <cell r="BG318"/>
          <cell r="BH318"/>
          <cell r="BI318">
            <v>2432</v>
          </cell>
          <cell r="BJ318">
            <v>2432</v>
          </cell>
          <cell r="BK318">
            <v>1976</v>
          </cell>
          <cell r="BL318">
            <v>1672</v>
          </cell>
          <cell r="BM318">
            <v>2432</v>
          </cell>
          <cell r="BN318">
            <v>608</v>
          </cell>
          <cell r="BO318">
            <v>1976</v>
          </cell>
          <cell r="BP318"/>
          <cell r="BQ318">
            <v>2128</v>
          </cell>
          <cell r="BR318">
            <v>760</v>
          </cell>
          <cell r="BS318">
            <v>3648</v>
          </cell>
          <cell r="BT318">
            <v>4256</v>
          </cell>
          <cell r="BU318"/>
          <cell r="BV318"/>
          <cell r="BW318"/>
          <cell r="BX318"/>
          <cell r="BY318">
            <v>2584</v>
          </cell>
          <cell r="BZ318">
            <v>2432</v>
          </cell>
          <cell r="CA318">
            <v>2128</v>
          </cell>
          <cell r="CB318">
            <v>2128</v>
          </cell>
          <cell r="CC318"/>
          <cell r="CD318">
            <v>4864</v>
          </cell>
          <cell r="CE318"/>
          <cell r="CF318"/>
          <cell r="CG318"/>
          <cell r="CH318">
            <v>4864</v>
          </cell>
          <cell r="CI318">
            <v>378</v>
          </cell>
          <cell r="CJ318"/>
          <cell r="CK318"/>
          <cell r="CL318">
            <v>4864</v>
          </cell>
          <cell r="CM318"/>
          <cell r="CN318">
            <v>4864</v>
          </cell>
          <cell r="CO318">
            <v>720</v>
          </cell>
          <cell r="CP318"/>
          <cell r="CQ318">
            <v>152</v>
          </cell>
          <cell r="CR318">
            <v>4864</v>
          </cell>
          <cell r="CS318">
            <v>540</v>
          </cell>
          <cell r="CT318">
            <v>4032</v>
          </cell>
          <cell r="CU318"/>
          <cell r="CV318"/>
          <cell r="CW318">
            <v>1368</v>
          </cell>
          <cell r="CX318"/>
          <cell r="CY318">
            <v>1672</v>
          </cell>
          <cell r="CZ318">
            <v>1064</v>
          </cell>
          <cell r="DA318">
            <v>3402</v>
          </cell>
          <cell r="DB318">
            <v>1216</v>
          </cell>
          <cell r="DC318">
            <v>1684</v>
          </cell>
          <cell r="DD318">
            <v>4568</v>
          </cell>
          <cell r="DE318"/>
          <cell r="DF318"/>
          <cell r="DG318" t="str">
            <v>ACTIVO</v>
          </cell>
          <cell r="DH318" t="str">
            <v>C</v>
          </cell>
          <cell r="DI318"/>
          <cell r="DJ318">
            <v>2515.75</v>
          </cell>
          <cell r="DK318">
            <v>419.29166666666669</v>
          </cell>
          <cell r="DL318">
            <v>2000.711909010676</v>
          </cell>
          <cell r="DM318">
            <v>5624</v>
          </cell>
          <cell r="DN318">
            <v>584896</v>
          </cell>
          <cell r="DO318">
            <v>2.2355162476398687</v>
          </cell>
          <cell r="DP318" t="str">
            <v>OK</v>
          </cell>
          <cell r="DQ318">
            <v>2515.75</v>
          </cell>
        </row>
        <row r="319">
          <cell r="B319">
            <v>405133</v>
          </cell>
          <cell r="C319" t="str">
            <v>RALLADO NEGRO 3mm ZUKKER</v>
          </cell>
          <cell r="D319">
            <v>330</v>
          </cell>
          <cell r="E319">
            <v>180</v>
          </cell>
          <cell r="F319">
            <v>120</v>
          </cell>
          <cell r="G319">
            <v>255</v>
          </cell>
          <cell r="H319">
            <v>150</v>
          </cell>
          <cell r="I319">
            <v>210</v>
          </cell>
          <cell r="J319">
            <v>195</v>
          </cell>
          <cell r="K319">
            <v>180</v>
          </cell>
          <cell r="L319">
            <v>210</v>
          </cell>
          <cell r="M319">
            <v>195</v>
          </cell>
          <cell r="N319">
            <v>180</v>
          </cell>
          <cell r="O319">
            <v>105</v>
          </cell>
          <cell r="P319">
            <v>135</v>
          </cell>
          <cell r="Q319">
            <v>240</v>
          </cell>
          <cell r="R319">
            <v>150</v>
          </cell>
          <cell r="S319">
            <v>270</v>
          </cell>
          <cell r="T319">
            <v>355</v>
          </cell>
          <cell r="U319">
            <v>345</v>
          </cell>
          <cell r="V319">
            <v>135</v>
          </cell>
          <cell r="W319">
            <v>180</v>
          </cell>
          <cell r="X319">
            <v>225</v>
          </cell>
          <cell r="Y319">
            <v>165</v>
          </cell>
          <cell r="Z319">
            <v>225</v>
          </cell>
          <cell r="AA319">
            <v>225</v>
          </cell>
          <cell r="AB319">
            <v>105</v>
          </cell>
          <cell r="AC319">
            <v>73.5</v>
          </cell>
          <cell r="AD319">
            <v>30</v>
          </cell>
          <cell r="AE319">
            <v>45</v>
          </cell>
          <cell r="AF319">
            <v>280</v>
          </cell>
          <cell r="AG319">
            <v>375</v>
          </cell>
          <cell r="AH319">
            <v>81.5</v>
          </cell>
          <cell r="AI319">
            <v>300</v>
          </cell>
          <cell r="AJ319">
            <v>620</v>
          </cell>
          <cell r="AK319">
            <v>195</v>
          </cell>
          <cell r="AL319">
            <v>315</v>
          </cell>
          <cell r="AM319">
            <v>270</v>
          </cell>
          <cell r="AN319">
            <v>375</v>
          </cell>
          <cell r="AO319">
            <v>300</v>
          </cell>
          <cell r="AP319">
            <v>169</v>
          </cell>
          <cell r="AQ319">
            <v>408</v>
          </cell>
          <cell r="AR319">
            <v>380</v>
          </cell>
          <cell r="AS319">
            <v>460</v>
          </cell>
          <cell r="AT319">
            <v>325</v>
          </cell>
          <cell r="AU319">
            <v>270</v>
          </cell>
          <cell r="AV319">
            <v>270</v>
          </cell>
          <cell r="AW319">
            <v>240</v>
          </cell>
          <cell r="AX319">
            <v>440</v>
          </cell>
          <cell r="AY319">
            <v>432</v>
          </cell>
          <cell r="AZ319">
            <v>270</v>
          </cell>
          <cell r="BA319">
            <v>265</v>
          </cell>
          <cell r="BB319">
            <v>300</v>
          </cell>
          <cell r="BC319">
            <v>327</v>
          </cell>
          <cell r="BD319">
            <v>165</v>
          </cell>
          <cell r="BE319">
            <v>225</v>
          </cell>
          <cell r="BF319">
            <v>210</v>
          </cell>
          <cell r="BG319">
            <v>300</v>
          </cell>
          <cell r="BH319">
            <v>285</v>
          </cell>
          <cell r="BI319">
            <v>270</v>
          </cell>
          <cell r="BJ319">
            <v>360</v>
          </cell>
          <cell r="BK319">
            <v>360</v>
          </cell>
          <cell r="BL319">
            <v>420</v>
          </cell>
          <cell r="BM319">
            <v>140</v>
          </cell>
          <cell r="BN319">
            <v>375</v>
          </cell>
          <cell r="BO319">
            <v>215</v>
          </cell>
          <cell r="BP319">
            <v>15</v>
          </cell>
          <cell r="BQ319">
            <v>300</v>
          </cell>
          <cell r="BR319">
            <v>170</v>
          </cell>
          <cell r="BS319">
            <v>255</v>
          </cell>
          <cell r="BT319">
            <v>210</v>
          </cell>
          <cell r="BU319">
            <v>312</v>
          </cell>
          <cell r="BV319">
            <v>195</v>
          </cell>
          <cell r="BW319">
            <v>305</v>
          </cell>
          <cell r="BX319">
            <v>135</v>
          </cell>
          <cell r="BY319">
            <v>150</v>
          </cell>
          <cell r="BZ319">
            <v>165</v>
          </cell>
          <cell r="CA319">
            <v>120</v>
          </cell>
          <cell r="CB319">
            <v>180</v>
          </cell>
          <cell r="CC319">
            <v>285</v>
          </cell>
          <cell r="CD319">
            <v>225</v>
          </cell>
          <cell r="CE319">
            <v>105</v>
          </cell>
          <cell r="CF319">
            <v>120</v>
          </cell>
          <cell r="CG319">
            <v>315</v>
          </cell>
          <cell r="CH319">
            <v>180</v>
          </cell>
          <cell r="CI319">
            <v>301</v>
          </cell>
          <cell r="CJ319">
            <v>75</v>
          </cell>
          <cell r="CK319">
            <v>165</v>
          </cell>
          <cell r="CL319">
            <v>150</v>
          </cell>
          <cell r="CM319">
            <v>90</v>
          </cell>
          <cell r="CN319">
            <v>385</v>
          </cell>
          <cell r="CO319">
            <v>210</v>
          </cell>
          <cell r="CP319">
            <v>210</v>
          </cell>
          <cell r="CQ319">
            <v>120</v>
          </cell>
          <cell r="CR319">
            <v>245</v>
          </cell>
          <cell r="CS319">
            <v>150</v>
          </cell>
          <cell r="CT319">
            <v>120</v>
          </cell>
          <cell r="CU319">
            <v>375</v>
          </cell>
          <cell r="CV319">
            <v>285</v>
          </cell>
          <cell r="CW319">
            <v>225</v>
          </cell>
          <cell r="CX319">
            <v>105</v>
          </cell>
          <cell r="CY319">
            <v>275</v>
          </cell>
          <cell r="CZ319">
            <v>130</v>
          </cell>
          <cell r="DA319">
            <v>230</v>
          </cell>
          <cell r="DB319">
            <v>145</v>
          </cell>
          <cell r="DC319">
            <v>270</v>
          </cell>
          <cell r="DD319">
            <v>240</v>
          </cell>
          <cell r="DE319">
            <v>330</v>
          </cell>
          <cell r="DF319">
            <v>15</v>
          </cell>
          <cell r="DG319" t="str">
            <v>ACTIVO</v>
          </cell>
          <cell r="DH319" t="str">
            <v>A</v>
          </cell>
          <cell r="DI319"/>
          <cell r="DJ319">
            <v>204.64</v>
          </cell>
          <cell r="DK319">
            <v>34.106666666666662</v>
          </cell>
          <cell r="DL319">
            <v>112.66524712623016</v>
          </cell>
          <cell r="DM319">
            <v>50</v>
          </cell>
          <cell r="DN319">
            <v>294350</v>
          </cell>
          <cell r="DO319">
            <v>0.24433150899139955</v>
          </cell>
          <cell r="DP319" t="str">
            <v>COMPRAR</v>
          </cell>
          <cell r="DQ319">
            <v>204.64</v>
          </cell>
        </row>
        <row r="320">
          <cell r="B320">
            <v>405134</v>
          </cell>
          <cell r="C320" t="str">
            <v>TRIANGULO NEGRO 45mm ZUKKER</v>
          </cell>
          <cell r="D320">
            <v>24000</v>
          </cell>
          <cell r="E320">
            <v>34000</v>
          </cell>
          <cell r="F320">
            <v>26400</v>
          </cell>
          <cell r="G320">
            <v>32000</v>
          </cell>
          <cell r="H320">
            <v>53200</v>
          </cell>
          <cell r="I320">
            <v>37200</v>
          </cell>
          <cell r="J320">
            <v>63600</v>
          </cell>
          <cell r="K320">
            <v>39600</v>
          </cell>
          <cell r="L320">
            <v>37600</v>
          </cell>
          <cell r="M320">
            <v>40400</v>
          </cell>
          <cell r="N320">
            <v>38400</v>
          </cell>
          <cell r="O320">
            <v>9600</v>
          </cell>
          <cell r="P320">
            <v>40000</v>
          </cell>
          <cell r="Q320">
            <v>26800</v>
          </cell>
          <cell r="R320">
            <v>44000</v>
          </cell>
          <cell r="S320">
            <v>22400</v>
          </cell>
          <cell r="T320">
            <v>37200</v>
          </cell>
          <cell r="U320">
            <v>24000</v>
          </cell>
          <cell r="V320">
            <v>24000</v>
          </cell>
          <cell r="W320">
            <v>31200</v>
          </cell>
          <cell r="X320">
            <v>30400</v>
          </cell>
          <cell r="Y320">
            <v>42400</v>
          </cell>
          <cell r="Z320">
            <v>19600</v>
          </cell>
          <cell r="AA320">
            <v>39600</v>
          </cell>
          <cell r="AB320">
            <v>24800</v>
          </cell>
          <cell r="AC320">
            <v>17600</v>
          </cell>
          <cell r="AD320">
            <v>9200</v>
          </cell>
          <cell r="AE320">
            <v>3600</v>
          </cell>
          <cell r="AF320">
            <v>30800</v>
          </cell>
          <cell r="AG320">
            <v>15600</v>
          </cell>
          <cell r="AH320">
            <v>10400</v>
          </cell>
          <cell r="AI320">
            <v>6400</v>
          </cell>
          <cell r="AJ320">
            <v>19200</v>
          </cell>
          <cell r="AK320">
            <v>3600</v>
          </cell>
          <cell r="AL320">
            <v>8800</v>
          </cell>
          <cell r="AM320">
            <v>8800</v>
          </cell>
          <cell r="AN320">
            <v>10800</v>
          </cell>
          <cell r="AO320">
            <v>24400</v>
          </cell>
          <cell r="AP320">
            <v>11600</v>
          </cell>
          <cell r="AQ320">
            <v>8000</v>
          </cell>
          <cell r="AR320">
            <v>10800</v>
          </cell>
          <cell r="AS320">
            <v>15600.2</v>
          </cell>
          <cell r="AT320">
            <v>30400</v>
          </cell>
          <cell r="AU320">
            <v>15199.8</v>
          </cell>
          <cell r="AV320">
            <v>27200</v>
          </cell>
          <cell r="AW320">
            <v>16400</v>
          </cell>
          <cell r="AX320">
            <v>19200</v>
          </cell>
          <cell r="AY320">
            <v>10000</v>
          </cell>
          <cell r="AZ320">
            <v>29600</v>
          </cell>
          <cell r="BA320">
            <v>41600</v>
          </cell>
          <cell r="BB320">
            <v>6800</v>
          </cell>
          <cell r="BC320">
            <v>14000</v>
          </cell>
          <cell r="BD320">
            <v>25200</v>
          </cell>
          <cell r="BE320">
            <v>4800</v>
          </cell>
          <cell r="BF320">
            <v>32800</v>
          </cell>
          <cell r="BG320">
            <v>4800</v>
          </cell>
          <cell r="BH320">
            <v>38000</v>
          </cell>
          <cell r="BI320">
            <v>4800</v>
          </cell>
          <cell r="BJ320">
            <v>6400</v>
          </cell>
          <cell r="BK320">
            <v>5200</v>
          </cell>
          <cell r="BL320">
            <v>5200</v>
          </cell>
          <cell r="BM320">
            <v>8800</v>
          </cell>
          <cell r="BN320">
            <v>5200</v>
          </cell>
          <cell r="BO320">
            <v>18000</v>
          </cell>
          <cell r="BP320">
            <v>3600</v>
          </cell>
          <cell r="BQ320">
            <v>15600</v>
          </cell>
          <cell r="BR320">
            <v>21600</v>
          </cell>
          <cell r="BS320">
            <v>41600</v>
          </cell>
          <cell r="BT320">
            <v>6000</v>
          </cell>
          <cell r="BU320">
            <v>3600</v>
          </cell>
          <cell r="BV320">
            <v>15200</v>
          </cell>
          <cell r="BW320">
            <v>7600</v>
          </cell>
          <cell r="BX320">
            <v>4400</v>
          </cell>
          <cell r="BY320">
            <v>5600</v>
          </cell>
          <cell r="BZ320">
            <v>15200</v>
          </cell>
          <cell r="CA320">
            <v>8400</v>
          </cell>
          <cell r="CB320">
            <v>9600</v>
          </cell>
          <cell r="CC320">
            <v>11600</v>
          </cell>
          <cell r="CD320">
            <v>4400</v>
          </cell>
          <cell r="CE320">
            <v>1200</v>
          </cell>
          <cell r="CF320">
            <v>15200</v>
          </cell>
          <cell r="CG320">
            <v>6800</v>
          </cell>
          <cell r="CH320">
            <v>14400</v>
          </cell>
          <cell r="CI320">
            <v>19400</v>
          </cell>
          <cell r="CJ320">
            <v>17600</v>
          </cell>
          <cell r="CK320">
            <v>4000</v>
          </cell>
          <cell r="CL320">
            <v>19600</v>
          </cell>
          <cell r="CM320">
            <v>18800</v>
          </cell>
          <cell r="CN320">
            <v>9600</v>
          </cell>
          <cell r="CO320">
            <v>2400</v>
          </cell>
          <cell r="CP320">
            <v>4000</v>
          </cell>
          <cell r="CQ320">
            <v>36800</v>
          </cell>
          <cell r="CR320">
            <v>15200</v>
          </cell>
          <cell r="CS320">
            <v>3200</v>
          </cell>
          <cell r="CT320">
            <v>5200</v>
          </cell>
          <cell r="CU320">
            <v>5600</v>
          </cell>
          <cell r="CV320">
            <v>9200</v>
          </cell>
          <cell r="CW320">
            <v>3200</v>
          </cell>
          <cell r="CX320">
            <v>3600</v>
          </cell>
          <cell r="CY320">
            <v>16800</v>
          </cell>
          <cell r="CZ320">
            <v>9600</v>
          </cell>
          <cell r="DA320">
            <v>18800</v>
          </cell>
          <cell r="DB320">
            <v>12000</v>
          </cell>
          <cell r="DC320">
            <v>16800</v>
          </cell>
          <cell r="DD320">
            <v>2800</v>
          </cell>
          <cell r="DE320">
            <v>16400</v>
          </cell>
          <cell r="DF320"/>
          <cell r="DG320" t="str">
            <v>ACTIVO</v>
          </cell>
          <cell r="DH320" t="str">
            <v>B</v>
          </cell>
          <cell r="DI320"/>
          <cell r="DJ320">
            <v>11624</v>
          </cell>
          <cell r="DK320">
            <v>1937.3333333333333</v>
          </cell>
          <cell r="DL320">
            <v>10412.842503374719</v>
          </cell>
          <cell r="DM320">
            <v>25200</v>
          </cell>
          <cell r="DN320">
            <v>907200</v>
          </cell>
          <cell r="DO320">
            <v>2.1679284239504475</v>
          </cell>
          <cell r="DP320" t="str">
            <v>OK</v>
          </cell>
          <cell r="DQ320">
            <v>11624</v>
          </cell>
        </row>
        <row r="321">
          <cell r="B321">
            <v>405730</v>
          </cell>
          <cell r="C321" t="str">
            <v>PLACA TORTA VIENA ZUKKER</v>
          </cell>
          <cell r="D321"/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>
            <v>3040</v>
          </cell>
          <cell r="CS321">
            <v>3040</v>
          </cell>
          <cell r="CT321">
            <v>3230</v>
          </cell>
          <cell r="CU321">
            <v>4750</v>
          </cell>
          <cell r="CV321">
            <v>2280</v>
          </cell>
          <cell r="CW321">
            <v>2660</v>
          </cell>
          <cell r="CX321"/>
          <cell r="CY321"/>
          <cell r="CZ321"/>
          <cell r="DA321">
            <v>3630</v>
          </cell>
          <cell r="DB321">
            <v>1900</v>
          </cell>
          <cell r="DC321">
            <v>2090</v>
          </cell>
          <cell r="DD321">
            <v>2090</v>
          </cell>
          <cell r="DE321">
            <v>2090</v>
          </cell>
          <cell r="DF321">
            <v>1900</v>
          </cell>
          <cell r="DG321" t="str">
            <v>ACTIVO</v>
          </cell>
          <cell r="DH321" t="str">
            <v/>
          </cell>
          <cell r="DI321"/>
          <cell r="DJ321">
            <v>2871</v>
          </cell>
          <cell r="DK321">
            <v>478.5</v>
          </cell>
          <cell r="DL321">
            <v>0</v>
          </cell>
          <cell r="DM321">
            <v>2850</v>
          </cell>
          <cell r="DN321">
            <v>441750</v>
          </cell>
          <cell r="DO321">
            <v>0.99268547544409613</v>
          </cell>
          <cell r="DP321" t="str">
            <v>OK</v>
          </cell>
          <cell r="DQ321">
            <v>2871</v>
          </cell>
        </row>
        <row r="322">
          <cell r="B322">
            <v>405728</v>
          </cell>
          <cell r="C322" t="str">
            <v>CINTA BICOLOR NARANJA ZUKKER</v>
          </cell>
          <cell r="D322"/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>
            <v>12</v>
          </cell>
          <cell r="CS322">
            <v>15</v>
          </cell>
          <cell r="CT322">
            <v>21</v>
          </cell>
          <cell r="CU322">
            <v>45</v>
          </cell>
          <cell r="CV322">
            <v>51</v>
          </cell>
          <cell r="CW322">
            <v>15</v>
          </cell>
          <cell r="CX322">
            <v>60</v>
          </cell>
          <cell r="CY322">
            <v>15</v>
          </cell>
          <cell r="CZ322">
            <v>40</v>
          </cell>
          <cell r="DA322">
            <v>30</v>
          </cell>
          <cell r="DB322">
            <v>25</v>
          </cell>
          <cell r="DC322">
            <v>20</v>
          </cell>
          <cell r="DD322">
            <v>55</v>
          </cell>
          <cell r="DE322">
            <v>25</v>
          </cell>
          <cell r="DF322">
            <v>20</v>
          </cell>
          <cell r="DG322" t="str">
            <v>ACTIVO</v>
          </cell>
          <cell r="DH322" t="str">
            <v/>
          </cell>
          <cell r="DI322"/>
          <cell r="DJ322">
            <v>31.076923076923077</v>
          </cell>
          <cell r="DK322">
            <v>5.1794871794871797</v>
          </cell>
          <cell r="DL322">
            <v>0</v>
          </cell>
          <cell r="DM322">
            <v>8</v>
          </cell>
          <cell r="DN322">
            <v>107976</v>
          </cell>
          <cell r="DO322">
            <v>0.25742574257425743</v>
          </cell>
          <cell r="DP322" t="str">
            <v>OK</v>
          </cell>
          <cell r="DQ322">
            <v>31.07692307692308</v>
          </cell>
        </row>
        <row r="323">
          <cell r="B323">
            <v>107356</v>
          </cell>
          <cell r="C323" t="str">
            <v>CHOCOLATE SEMI AMARGO 54% MEL</v>
          </cell>
          <cell r="D323"/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>
            <v>200</v>
          </cell>
          <cell r="DB323"/>
          <cell r="DC323"/>
          <cell r="DD323"/>
          <cell r="DE323"/>
          <cell r="DF323"/>
          <cell r="DG323" t="str">
            <v>ACTIVO</v>
          </cell>
          <cell r="DH323" t="str">
            <v/>
          </cell>
          <cell r="DI323"/>
          <cell r="DJ323">
            <v>200</v>
          </cell>
          <cell r="DK323">
            <v>33.333333333333336</v>
          </cell>
          <cell r="DL323">
            <v>0</v>
          </cell>
          <cell r="DM323">
            <v>0</v>
          </cell>
          <cell r="DN323" t="str">
            <v>0</v>
          </cell>
          <cell r="DO323">
            <v>0</v>
          </cell>
          <cell r="DP323" t="str">
            <v>COMPRAR</v>
          </cell>
          <cell r="DQ323">
            <v>66.666666666666671</v>
          </cell>
        </row>
        <row r="324">
          <cell r="B324">
            <v>107108</v>
          </cell>
          <cell r="C324" t="str">
            <v>DECORCREM NEGRO PURATOS</v>
          </cell>
          <cell r="D324">
            <v>778.5</v>
          </cell>
          <cell r="E324">
            <v>1012.5</v>
          </cell>
          <cell r="F324">
            <v>1084.5</v>
          </cell>
          <cell r="G324">
            <v>735</v>
          </cell>
          <cell r="H324">
            <v>1593</v>
          </cell>
          <cell r="I324">
            <v>985.5</v>
          </cell>
          <cell r="J324">
            <v>1360</v>
          </cell>
          <cell r="K324">
            <v>571.5</v>
          </cell>
          <cell r="L324">
            <v>1471.5</v>
          </cell>
          <cell r="M324">
            <v>1048.5</v>
          </cell>
          <cell r="N324">
            <v>972</v>
          </cell>
          <cell r="O324">
            <v>328.5</v>
          </cell>
          <cell r="P324">
            <v>1188</v>
          </cell>
          <cell r="Q324">
            <v>1184.5</v>
          </cell>
          <cell r="R324">
            <v>1044</v>
          </cell>
          <cell r="S324">
            <v>1143</v>
          </cell>
          <cell r="T324">
            <v>715</v>
          </cell>
          <cell r="U324">
            <v>1879</v>
          </cell>
          <cell r="V324">
            <v>1642.5</v>
          </cell>
          <cell r="W324">
            <v>76.5</v>
          </cell>
          <cell r="X324">
            <v>1219.5</v>
          </cell>
          <cell r="Y324">
            <v>1316</v>
          </cell>
          <cell r="Z324">
            <v>1288</v>
          </cell>
          <cell r="AA324">
            <v>589.5</v>
          </cell>
          <cell r="AB324">
            <v>1462.5</v>
          </cell>
          <cell r="AC324">
            <v>648</v>
          </cell>
          <cell r="AD324">
            <v>31.5</v>
          </cell>
          <cell r="AE324">
            <v>567</v>
          </cell>
          <cell r="AF324">
            <v>769.5</v>
          </cell>
          <cell r="AG324">
            <v>157.5</v>
          </cell>
          <cell r="AH324">
            <v>108</v>
          </cell>
          <cell r="AI324">
            <v>720</v>
          </cell>
          <cell r="AJ324">
            <v>292.5</v>
          </cell>
          <cell r="AK324">
            <v>1039.5</v>
          </cell>
          <cell r="AL324">
            <v>1491.5</v>
          </cell>
          <cell r="AM324">
            <v>1003.5</v>
          </cell>
          <cell r="AN324">
            <v>310.5</v>
          </cell>
          <cell r="AO324">
            <v>873</v>
          </cell>
          <cell r="AP324">
            <v>693</v>
          </cell>
          <cell r="AQ324">
            <v>1318.5</v>
          </cell>
          <cell r="AR324">
            <v>900</v>
          </cell>
          <cell r="AS324">
            <v>1264.5</v>
          </cell>
          <cell r="AT324">
            <v>981</v>
          </cell>
          <cell r="AU324">
            <v>1426.5</v>
          </cell>
          <cell r="AV324">
            <v>436.5</v>
          </cell>
          <cell r="AW324">
            <v>909</v>
          </cell>
          <cell r="AX324">
            <v>580.5</v>
          </cell>
          <cell r="AY324">
            <v>1521</v>
          </cell>
          <cell r="AZ324">
            <v>715.5</v>
          </cell>
          <cell r="BA324">
            <v>1917</v>
          </cell>
          <cell r="BB324">
            <v>396</v>
          </cell>
          <cell r="BC324">
            <v>1063</v>
          </cell>
          <cell r="BD324">
            <v>958.5</v>
          </cell>
          <cell r="BE324">
            <v>1071</v>
          </cell>
          <cell r="BF324">
            <v>576</v>
          </cell>
          <cell r="BG324">
            <v>337.5</v>
          </cell>
          <cell r="BH324">
            <v>796.5</v>
          </cell>
          <cell r="BI324">
            <v>823.5</v>
          </cell>
          <cell r="BJ324">
            <v>751.5</v>
          </cell>
          <cell r="BK324">
            <v>445.5</v>
          </cell>
          <cell r="BL324">
            <v>661.5</v>
          </cell>
          <cell r="BM324">
            <v>652.5</v>
          </cell>
          <cell r="BN324">
            <v>662.5</v>
          </cell>
          <cell r="BO324">
            <v>496</v>
          </cell>
          <cell r="BP324">
            <v>162</v>
          </cell>
          <cell r="BQ324">
            <v>792</v>
          </cell>
          <cell r="BR324">
            <v>139.5</v>
          </cell>
          <cell r="BS324">
            <v>1287</v>
          </cell>
          <cell r="BT324">
            <v>135</v>
          </cell>
          <cell r="BU324">
            <v>288</v>
          </cell>
          <cell r="BV324">
            <v>733.5</v>
          </cell>
          <cell r="BW324">
            <v>216</v>
          </cell>
          <cell r="BX324">
            <v>202.5</v>
          </cell>
          <cell r="BY324">
            <v>202.5</v>
          </cell>
          <cell r="BZ324">
            <v>320.5</v>
          </cell>
          <cell r="CA324">
            <v>234</v>
          </cell>
          <cell r="CB324">
            <v>220.5</v>
          </cell>
          <cell r="CC324">
            <v>1346.5</v>
          </cell>
          <cell r="CD324">
            <v>415</v>
          </cell>
          <cell r="CE324">
            <v>55</v>
          </cell>
          <cell r="CF324">
            <v>72</v>
          </cell>
          <cell r="CG324">
            <v>639</v>
          </cell>
          <cell r="CH324">
            <v>292.5</v>
          </cell>
          <cell r="CI324">
            <v>274.5</v>
          </cell>
          <cell r="CJ324">
            <v>180</v>
          </cell>
          <cell r="CK324">
            <v>225</v>
          </cell>
          <cell r="CL324">
            <v>189</v>
          </cell>
          <cell r="CM324">
            <v>175.5</v>
          </cell>
          <cell r="CN324">
            <v>477</v>
          </cell>
          <cell r="CO324">
            <v>229.5</v>
          </cell>
          <cell r="CP324">
            <v>229.5</v>
          </cell>
          <cell r="CQ324">
            <v>188</v>
          </cell>
          <cell r="CR324">
            <v>634.5</v>
          </cell>
          <cell r="CS324">
            <v>684</v>
          </cell>
          <cell r="CT324">
            <v>783</v>
          </cell>
          <cell r="CU324">
            <v>715.5</v>
          </cell>
          <cell r="CV324">
            <v>463.5</v>
          </cell>
          <cell r="CW324">
            <v>535.5</v>
          </cell>
          <cell r="CX324">
            <v>463.5</v>
          </cell>
          <cell r="CY324">
            <v>369</v>
          </cell>
          <cell r="CZ324">
            <v>639</v>
          </cell>
          <cell r="DA324">
            <v>787.5</v>
          </cell>
          <cell r="DB324">
            <v>882</v>
          </cell>
          <cell r="DC324">
            <v>1153</v>
          </cell>
          <cell r="DD324">
            <v>409.5</v>
          </cell>
          <cell r="DE324">
            <v>387</v>
          </cell>
          <cell r="DF324">
            <v>247.5</v>
          </cell>
          <cell r="DG324" t="str">
            <v>ACTIVO</v>
          </cell>
          <cell r="DH324" t="str">
            <v>A</v>
          </cell>
          <cell r="DI324"/>
          <cell r="DJ324">
            <v>467.64</v>
          </cell>
          <cell r="DK324">
            <v>77.94</v>
          </cell>
          <cell r="DL324">
            <v>435.62920853572592</v>
          </cell>
          <cell r="DM324">
            <v>1165</v>
          </cell>
          <cell r="DN324">
            <v>4892988.3499999996</v>
          </cell>
          <cell r="DO324">
            <v>2.4912325720639807</v>
          </cell>
          <cell r="DP324" t="str">
            <v>OK</v>
          </cell>
          <cell r="DQ324">
            <v>311.76</v>
          </cell>
        </row>
        <row r="325">
          <cell r="B325">
            <v>107127</v>
          </cell>
          <cell r="C325" t="str">
            <v>DECORCREM BLANCO 4k PURATOS</v>
          </cell>
          <cell r="D325">
            <v>204</v>
          </cell>
          <cell r="E325">
            <v>96</v>
          </cell>
          <cell r="F325">
            <v>284</v>
          </cell>
          <cell r="G325">
            <v>180</v>
          </cell>
          <cell r="H325">
            <v>68</v>
          </cell>
          <cell r="I325">
            <v>148</v>
          </cell>
          <cell r="J325">
            <v>32</v>
          </cell>
          <cell r="K325">
            <v>124</v>
          </cell>
          <cell r="L325">
            <v>104</v>
          </cell>
          <cell r="M325"/>
          <cell r="N325">
            <v>99</v>
          </cell>
          <cell r="O325"/>
          <cell r="P325">
            <v>104</v>
          </cell>
          <cell r="Q325">
            <v>96</v>
          </cell>
          <cell r="R325">
            <v>80</v>
          </cell>
          <cell r="S325"/>
          <cell r="T325"/>
          <cell r="U325"/>
          <cell r="V325">
            <v>73.5</v>
          </cell>
          <cell r="W325">
            <v>112</v>
          </cell>
          <cell r="X325">
            <v>18</v>
          </cell>
          <cell r="Y325">
            <v>24</v>
          </cell>
          <cell r="Z325">
            <v>28</v>
          </cell>
          <cell r="AA325">
            <v>18</v>
          </cell>
          <cell r="AB325"/>
          <cell r="AC325">
            <v>29</v>
          </cell>
          <cell r="AD325"/>
          <cell r="AE325">
            <v>12</v>
          </cell>
          <cell r="AF325">
            <v>21.5</v>
          </cell>
          <cell r="AG325">
            <v>4</v>
          </cell>
          <cell r="AH325">
            <v>8</v>
          </cell>
          <cell r="AI325">
            <v>9</v>
          </cell>
          <cell r="AJ325">
            <v>21</v>
          </cell>
          <cell r="AK325">
            <v>16</v>
          </cell>
          <cell r="AL325">
            <v>8</v>
          </cell>
          <cell r="AM325">
            <v>4.5</v>
          </cell>
          <cell r="AN325">
            <v>8</v>
          </cell>
          <cell r="AO325">
            <v>4</v>
          </cell>
          <cell r="AP325"/>
          <cell r="AQ325"/>
          <cell r="AR325"/>
          <cell r="AS325"/>
          <cell r="AT325"/>
          <cell r="AU325"/>
          <cell r="AV325"/>
          <cell r="AW325">
            <v>336</v>
          </cell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>
            <v>8</v>
          </cell>
          <cell r="BU325">
            <v>12</v>
          </cell>
          <cell r="BV325">
            <v>16</v>
          </cell>
          <cell r="BW325">
            <v>16</v>
          </cell>
          <cell r="BX325">
            <v>21</v>
          </cell>
          <cell r="BY325">
            <v>25</v>
          </cell>
          <cell r="BZ325">
            <v>12</v>
          </cell>
          <cell r="CA325">
            <v>16</v>
          </cell>
          <cell r="CB325">
            <v>24</v>
          </cell>
          <cell r="CC325">
            <v>16</v>
          </cell>
          <cell r="CD325">
            <v>16</v>
          </cell>
          <cell r="CE325"/>
          <cell r="CF325">
            <v>12</v>
          </cell>
          <cell r="CG325">
            <v>33</v>
          </cell>
          <cell r="CH325">
            <v>20</v>
          </cell>
          <cell r="CI325">
            <v>20</v>
          </cell>
          <cell r="CJ325">
            <v>24</v>
          </cell>
          <cell r="CK325">
            <v>20</v>
          </cell>
          <cell r="CL325">
            <v>20</v>
          </cell>
          <cell r="CM325">
            <v>24.5</v>
          </cell>
          <cell r="CN325">
            <v>28</v>
          </cell>
          <cell r="CO325">
            <v>24</v>
          </cell>
          <cell r="CP325">
            <v>28</v>
          </cell>
          <cell r="CQ325">
            <v>16</v>
          </cell>
          <cell r="CR325">
            <v>261</v>
          </cell>
          <cell r="CS325">
            <v>16</v>
          </cell>
          <cell r="CT325">
            <v>16</v>
          </cell>
          <cell r="CU325">
            <v>24</v>
          </cell>
          <cell r="CV325"/>
          <cell r="CW325"/>
          <cell r="CX325">
            <v>120</v>
          </cell>
          <cell r="CY325">
            <v>44</v>
          </cell>
          <cell r="CZ325">
            <v>12</v>
          </cell>
          <cell r="DA325"/>
          <cell r="DB325"/>
          <cell r="DC325"/>
          <cell r="DD325">
            <v>8</v>
          </cell>
          <cell r="DE325">
            <v>4</v>
          </cell>
          <cell r="DF325"/>
          <cell r="DG325" t="str">
            <v>ACTIVO</v>
          </cell>
          <cell r="DH325" t="str">
            <v>C</v>
          </cell>
          <cell r="DI325"/>
          <cell r="DJ325">
            <v>38.524999999999999</v>
          </cell>
          <cell r="DK325">
            <v>6.4208333333333334</v>
          </cell>
          <cell r="DL325">
            <v>67.528496400312036</v>
          </cell>
          <cell r="DM325">
            <v>784</v>
          </cell>
          <cell r="DN325">
            <v>4928890.4000000004</v>
          </cell>
          <cell r="DO325">
            <v>20.350421804023362</v>
          </cell>
          <cell r="DP325" t="str">
            <v>OK</v>
          </cell>
          <cell r="DQ325">
            <v>25.683333333333334</v>
          </cell>
        </row>
        <row r="326">
          <cell r="B326">
            <v>107249</v>
          </cell>
          <cell r="C326" t="str">
            <v>COBERTURA CHOCOLATES MONEDAS PURATOS</v>
          </cell>
          <cell r="D326"/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>
            <v>24</v>
          </cell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 t="str">
            <v>SIN USO</v>
          </cell>
          <cell r="DH326" t="str">
            <v>C</v>
          </cell>
          <cell r="DI326"/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 t="str">
            <v>0</v>
          </cell>
          <cell r="DO326">
            <v>0</v>
          </cell>
          <cell r="DP326" t="str">
            <v>INACTIVO</v>
          </cell>
          <cell r="DQ326">
            <v>0</v>
          </cell>
        </row>
        <row r="327">
          <cell r="B327">
            <v>405731</v>
          </cell>
          <cell r="C327" t="str">
            <v>ROSA GANACHE ROSADO CLARO AMBROSIA</v>
          </cell>
          <cell r="D327"/>
          <cell r="E327"/>
          <cell r="F327"/>
          <cell r="G327"/>
          <cell r="H327"/>
          <cell r="I327"/>
          <cell r="J327"/>
          <cell r="K327"/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>
            <v>1200</v>
          </cell>
          <cell r="CU327">
            <v>4600</v>
          </cell>
          <cell r="CV327">
            <v>6400</v>
          </cell>
          <cell r="CW327">
            <v>3600</v>
          </cell>
          <cell r="CX327"/>
          <cell r="CY327"/>
          <cell r="CZ327"/>
          <cell r="DA327"/>
          <cell r="DB327"/>
          <cell r="DC327"/>
          <cell r="DD327"/>
          <cell r="DE327"/>
          <cell r="DF327"/>
          <cell r="DG327" t="str">
            <v>SIN USO</v>
          </cell>
          <cell r="DH327" t="str">
            <v/>
          </cell>
          <cell r="DI327"/>
          <cell r="DJ327">
            <v>3950</v>
          </cell>
          <cell r="DK327">
            <v>658.33333333333337</v>
          </cell>
          <cell r="DL327">
            <v>0</v>
          </cell>
          <cell r="DM327">
            <v>0</v>
          </cell>
          <cell r="DN327" t="str">
            <v>0</v>
          </cell>
          <cell r="DO327">
            <v>0</v>
          </cell>
          <cell r="DP327" t="str">
            <v>INACTIVO</v>
          </cell>
          <cell r="DQ327">
            <v>3950</v>
          </cell>
        </row>
        <row r="328">
          <cell r="B328">
            <v>405732</v>
          </cell>
          <cell r="C328" t="str">
            <v>MOSTACILLA CORAZÓN VALENTÍN AMBROSIA</v>
          </cell>
          <cell r="D328"/>
          <cell r="E328"/>
          <cell r="F328"/>
          <cell r="G328"/>
          <cell r="H328"/>
          <cell r="I328"/>
          <cell r="J328"/>
          <cell r="K328"/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>
            <v>10</v>
          </cell>
          <cell r="CU328">
            <v>45</v>
          </cell>
          <cell r="CV328">
            <v>70</v>
          </cell>
          <cell r="CW328">
            <v>105</v>
          </cell>
          <cell r="CX328"/>
          <cell r="CY328"/>
          <cell r="CZ328"/>
          <cell r="DA328"/>
          <cell r="DB328"/>
          <cell r="DC328"/>
          <cell r="DD328"/>
          <cell r="DE328"/>
          <cell r="DF328"/>
          <cell r="DG328" t="str">
            <v>SIN USO</v>
          </cell>
          <cell r="DH328" t="str">
            <v/>
          </cell>
          <cell r="DI328"/>
          <cell r="DJ328">
            <v>57.5</v>
          </cell>
          <cell r="DK328">
            <v>9.5833333333333339</v>
          </cell>
          <cell r="DL328">
            <v>0</v>
          </cell>
          <cell r="DM328">
            <v>55</v>
          </cell>
          <cell r="DN328">
            <v>935000</v>
          </cell>
          <cell r="DO328">
            <v>0.95652173913043481</v>
          </cell>
          <cell r="DP328" t="str">
            <v>INACTIVO</v>
          </cell>
          <cell r="DQ328">
            <v>57.5</v>
          </cell>
        </row>
        <row r="329">
          <cell r="B329">
            <v>405508</v>
          </cell>
          <cell r="C329" t="str">
            <v>ZANAHORIA GANACHE CHOCOLATE AMBROSIA</v>
          </cell>
          <cell r="D329"/>
          <cell r="E329"/>
          <cell r="F329"/>
          <cell r="G329"/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>
            <v>9120</v>
          </cell>
          <cell r="AS329">
            <v>260</v>
          </cell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>
            <v>2640</v>
          </cell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 t="str">
            <v>SIN USO</v>
          </cell>
          <cell r="DH329" t="str">
            <v>C</v>
          </cell>
          <cell r="DI329"/>
          <cell r="DJ329">
            <v>0</v>
          </cell>
          <cell r="DK329">
            <v>0</v>
          </cell>
          <cell r="DL329">
            <v>4585.3825721888606</v>
          </cell>
          <cell r="DM329">
            <v>0</v>
          </cell>
          <cell r="DN329" t="str">
            <v>0</v>
          </cell>
          <cell r="DO329">
            <v>0</v>
          </cell>
          <cell r="DP329" t="str">
            <v>INACTIVO</v>
          </cell>
          <cell r="DQ329">
            <v>0</v>
          </cell>
        </row>
        <row r="330">
          <cell r="B330">
            <v>405541</v>
          </cell>
          <cell r="C330" t="str">
            <v>CÍRCULO BLANCO #80 DDM JUMBO 2025</v>
          </cell>
          <cell r="D330"/>
          <cell r="E330"/>
          <cell r="F330"/>
          <cell r="G330"/>
          <cell r="H330"/>
          <cell r="I330"/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>
            <v>2792</v>
          </cell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 t="str">
            <v>SIN USO</v>
          </cell>
          <cell r="DH330" t="str">
            <v>C</v>
          </cell>
          <cell r="DI330"/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 t="str">
            <v>0</v>
          </cell>
          <cell r="DO330">
            <v>0</v>
          </cell>
          <cell r="DP330" t="str">
            <v>INACTIVO</v>
          </cell>
          <cell r="DQ330">
            <v>0</v>
          </cell>
        </row>
        <row r="331">
          <cell r="B331">
            <v>107349</v>
          </cell>
          <cell r="C331" t="str">
            <v>FLOR DE LOTO CHOCOLATE MORADA AMBROSIA</v>
          </cell>
          <cell r="D331"/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>
            <v>1500</v>
          </cell>
          <cell r="AU331"/>
          <cell r="AV331">
            <v>6500</v>
          </cell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>
            <v>432</v>
          </cell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 t="str">
            <v>SIN USO</v>
          </cell>
          <cell r="DH331" t="str">
            <v>C</v>
          </cell>
          <cell r="DI331"/>
          <cell r="DJ331">
            <v>0</v>
          </cell>
          <cell r="DK331">
            <v>0</v>
          </cell>
          <cell r="DL331">
            <v>3239.3736019998269</v>
          </cell>
          <cell r="DM331">
            <v>0</v>
          </cell>
          <cell r="DN331" t="str">
            <v>0</v>
          </cell>
          <cell r="DO331">
            <v>0</v>
          </cell>
          <cell r="DP331" t="str">
            <v>INACTIVO</v>
          </cell>
          <cell r="DQ331">
            <v>0</v>
          </cell>
        </row>
        <row r="332">
          <cell r="B332">
            <v>405531</v>
          </cell>
          <cell r="C332" t="str">
            <v>RALLADO 3mm BICOLOR BLANCO-ROSADO ZUKKER</v>
          </cell>
          <cell r="D332"/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>
            <v>55</v>
          </cell>
          <cell r="AU332"/>
          <cell r="AV332">
            <v>215</v>
          </cell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>
            <v>40</v>
          </cell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 t="str">
            <v>SIN USO</v>
          </cell>
          <cell r="DH332" t="str">
            <v>C</v>
          </cell>
          <cell r="DI332"/>
          <cell r="DJ332">
            <v>0</v>
          </cell>
          <cell r="DK332">
            <v>0</v>
          </cell>
          <cell r="DL332">
            <v>96.996563513009747</v>
          </cell>
          <cell r="DM332">
            <v>0</v>
          </cell>
          <cell r="DN332" t="str">
            <v>0</v>
          </cell>
          <cell r="DO332">
            <v>0</v>
          </cell>
          <cell r="DP332" t="str">
            <v>INACTIVO</v>
          </cell>
          <cell r="DQ332">
            <v>0</v>
          </cell>
        </row>
        <row r="333">
          <cell r="B333">
            <v>107221</v>
          </cell>
          <cell r="C333" t="str">
            <v>CONJUNTO DISEÑO DÍA DEL PADRE AMBROSIA</v>
          </cell>
          <cell r="D333"/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>
            <v>2800</v>
          </cell>
          <cell r="BA333">
            <v>600</v>
          </cell>
          <cell r="BB333">
            <v>928</v>
          </cell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 t="str">
            <v>SIN USO</v>
          </cell>
          <cell r="DH333" t="str">
            <v>C</v>
          </cell>
          <cell r="DI333"/>
          <cell r="DJ333">
            <v>0</v>
          </cell>
          <cell r="DK333">
            <v>0</v>
          </cell>
          <cell r="DL333">
            <v>1186.8703944969448</v>
          </cell>
          <cell r="DM333">
            <v>0</v>
          </cell>
          <cell r="DN333" t="str">
            <v>0</v>
          </cell>
          <cell r="DO333">
            <v>0</v>
          </cell>
          <cell r="DP333" t="str">
            <v>INACTIVO</v>
          </cell>
          <cell r="DQ333">
            <v>0</v>
          </cell>
        </row>
        <row r="334">
          <cell r="B334">
            <v>405332</v>
          </cell>
          <cell r="C334" t="str">
            <v>GRANILLO DE COLORES MANAR</v>
          </cell>
          <cell r="D334"/>
          <cell r="E334"/>
          <cell r="F334"/>
          <cell r="G334">
            <v>80</v>
          </cell>
          <cell r="H334">
            <v>20</v>
          </cell>
          <cell r="I334">
            <v>20</v>
          </cell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>
            <v>20.399999999999999</v>
          </cell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 t="str">
            <v>SIN USO</v>
          </cell>
          <cell r="DH334" t="str">
            <v/>
          </cell>
          <cell r="DI334"/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 t="str">
            <v>0</v>
          </cell>
          <cell r="DO334">
            <v>0</v>
          </cell>
          <cell r="DP334" t="str">
            <v>INACTIVO</v>
          </cell>
          <cell r="DQ334">
            <v>0</v>
          </cell>
        </row>
        <row r="335">
          <cell r="B335">
            <v>101002</v>
          </cell>
          <cell r="C335" t="str">
            <v>CACAO AMARGO PURATOS</v>
          </cell>
          <cell r="D335"/>
          <cell r="E335"/>
          <cell r="F335"/>
          <cell r="G335"/>
          <cell r="H335"/>
          <cell r="I335"/>
          <cell r="J335"/>
          <cell r="K335">
            <v>25</v>
          </cell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>
            <v>25</v>
          </cell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>
            <v>50</v>
          </cell>
          <cell r="AO335"/>
          <cell r="AP335"/>
          <cell r="AQ335"/>
          <cell r="AR335"/>
          <cell r="AS335"/>
          <cell r="AT335"/>
          <cell r="AU335">
            <v>25</v>
          </cell>
          <cell r="AV335"/>
          <cell r="AW335"/>
          <cell r="AX335"/>
          <cell r="AY335"/>
          <cell r="AZ335"/>
          <cell r="BA335"/>
          <cell r="BB335"/>
          <cell r="BC335"/>
          <cell r="BD335">
            <v>5</v>
          </cell>
          <cell r="BE335"/>
          <cell r="BF335"/>
          <cell r="BG335"/>
          <cell r="BH335">
            <v>25</v>
          </cell>
          <cell r="BI335"/>
          <cell r="BJ335"/>
          <cell r="BK335"/>
          <cell r="BL335"/>
          <cell r="BM335"/>
          <cell r="BN335"/>
          <cell r="BO335"/>
          <cell r="BP335"/>
          <cell r="BQ335"/>
          <cell r="BR335">
            <v>125</v>
          </cell>
          <cell r="BS335"/>
          <cell r="BT335"/>
          <cell r="BU335"/>
          <cell r="BV335"/>
          <cell r="BW335"/>
          <cell r="BX335"/>
          <cell r="BY335"/>
          <cell r="BZ335">
            <v>50</v>
          </cell>
          <cell r="CA335"/>
          <cell r="CB335"/>
          <cell r="CC335"/>
          <cell r="CD335"/>
          <cell r="CE335"/>
          <cell r="CF335"/>
          <cell r="CG335">
            <v>25</v>
          </cell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 t="str">
            <v>SIN USO</v>
          </cell>
          <cell r="DH335" t="str">
            <v>C</v>
          </cell>
          <cell r="DI335"/>
          <cell r="DJ335">
            <v>25</v>
          </cell>
          <cell r="DK335">
            <v>4.166666666666667</v>
          </cell>
          <cell r="DL335">
            <v>42.03173404306164</v>
          </cell>
          <cell r="DM335">
            <v>0</v>
          </cell>
          <cell r="DN335" t="str">
            <v>0</v>
          </cell>
          <cell r="DO335">
            <v>0</v>
          </cell>
          <cell r="DP335" t="str">
            <v>INACTIVO</v>
          </cell>
          <cell r="DQ335">
            <v>16.666666666666668</v>
          </cell>
        </row>
        <row r="336">
          <cell r="B336">
            <v>404309</v>
          </cell>
          <cell r="C336" t="str">
            <v>CINTA NEGRA GC ZUKKER</v>
          </cell>
          <cell r="D336">
            <v>44</v>
          </cell>
          <cell r="E336">
            <v>28</v>
          </cell>
          <cell r="F336">
            <v>48</v>
          </cell>
          <cell r="G336">
            <v>40</v>
          </cell>
          <cell r="H336">
            <v>104</v>
          </cell>
          <cell r="I336">
            <v>100</v>
          </cell>
          <cell r="J336">
            <v>47</v>
          </cell>
          <cell r="K336">
            <v>79</v>
          </cell>
          <cell r="L336">
            <v>82</v>
          </cell>
          <cell r="M336">
            <v>109</v>
          </cell>
          <cell r="N336">
            <v>60</v>
          </cell>
          <cell r="O336"/>
          <cell r="P336">
            <v>95</v>
          </cell>
          <cell r="Q336">
            <v>56</v>
          </cell>
          <cell r="R336">
            <v>72</v>
          </cell>
          <cell r="S336">
            <v>39</v>
          </cell>
          <cell r="T336">
            <v>82</v>
          </cell>
          <cell r="U336">
            <v>48</v>
          </cell>
          <cell r="V336">
            <v>55</v>
          </cell>
          <cell r="W336">
            <v>40</v>
          </cell>
          <cell r="X336">
            <v>51</v>
          </cell>
          <cell r="Y336">
            <v>136</v>
          </cell>
          <cell r="Z336">
            <v>32</v>
          </cell>
          <cell r="AA336">
            <v>88</v>
          </cell>
          <cell r="AB336">
            <v>64</v>
          </cell>
          <cell r="AC336">
            <v>31</v>
          </cell>
          <cell r="AD336">
            <v>8</v>
          </cell>
          <cell r="AE336">
            <v>20</v>
          </cell>
          <cell r="AF336">
            <v>38</v>
          </cell>
          <cell r="AG336">
            <v>24</v>
          </cell>
          <cell r="AH336">
            <v>55</v>
          </cell>
          <cell r="AI336">
            <v>4</v>
          </cell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>
            <v>440</v>
          </cell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 t="str">
            <v>SIN USO</v>
          </cell>
          <cell r="DH336" t="str">
            <v>C</v>
          </cell>
          <cell r="DI336"/>
          <cell r="DJ336">
            <v>0</v>
          </cell>
          <cell r="DK336">
            <v>0</v>
          </cell>
          <cell r="DL336">
            <v>168.99753449878099</v>
          </cell>
          <cell r="DM336">
            <v>0</v>
          </cell>
          <cell r="DN336" t="str">
            <v>0</v>
          </cell>
          <cell r="DO336">
            <v>0</v>
          </cell>
          <cell r="DP336" t="str">
            <v>INACTIVO</v>
          </cell>
          <cell r="DQ336">
            <v>0</v>
          </cell>
        </row>
        <row r="337">
          <cell r="B337">
            <v>107296</v>
          </cell>
          <cell r="C337" t="str">
            <v>CINTA COLOR NIÑO ZUKKER</v>
          </cell>
          <cell r="D337"/>
          <cell r="E337"/>
          <cell r="F337"/>
          <cell r="G337"/>
          <cell r="H337"/>
          <cell r="I337">
            <v>147</v>
          </cell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 t="str">
            <v>SIN USO</v>
          </cell>
          <cell r="DH337" t="str">
            <v/>
          </cell>
          <cell r="DI337"/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 t="str">
            <v>0</v>
          </cell>
          <cell r="DO337">
            <v>0</v>
          </cell>
          <cell r="DP337" t="str">
            <v>INACTIVO</v>
          </cell>
          <cell r="DQ337">
            <v>0</v>
          </cell>
        </row>
        <row r="338">
          <cell r="B338">
            <v>107406</v>
          </cell>
          <cell r="C338" t="str">
            <v>OJITOS HALLOWEEN AMBROSIA</v>
          </cell>
          <cell r="D338"/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/>
          <cell r="P338"/>
          <cell r="Q338">
            <v>500</v>
          </cell>
          <cell r="R338"/>
          <cell r="S338">
            <v>11500</v>
          </cell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 t="str">
            <v>SIN USO</v>
          </cell>
          <cell r="DH338" t="str">
            <v/>
          </cell>
          <cell r="DI338"/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 t="str">
            <v>0</v>
          </cell>
          <cell r="DO338">
            <v>0</v>
          </cell>
          <cell r="DP338" t="str">
            <v>INACTIVO</v>
          </cell>
          <cell r="DQ338">
            <v>0</v>
          </cell>
        </row>
        <row r="339">
          <cell r="B339">
            <v>107197</v>
          </cell>
          <cell r="C339" t="str">
            <v>COBERTURA CHOCOLATE BLANCO</v>
          </cell>
          <cell r="D339"/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>
            <v>12</v>
          </cell>
          <cell r="BJ339">
            <v>36</v>
          </cell>
          <cell r="BK339">
            <v>24</v>
          </cell>
          <cell r="BL339">
            <v>24</v>
          </cell>
          <cell r="BM339">
            <v>24</v>
          </cell>
          <cell r="BN339">
            <v>16</v>
          </cell>
          <cell r="BO339">
            <v>12</v>
          </cell>
          <cell r="BP339">
            <v>24</v>
          </cell>
          <cell r="BQ339">
            <v>36</v>
          </cell>
          <cell r="BR339">
            <v>12</v>
          </cell>
          <cell r="BS339">
            <v>12</v>
          </cell>
          <cell r="BT339"/>
          <cell r="BU339">
            <v>48</v>
          </cell>
          <cell r="BV339">
            <v>12</v>
          </cell>
          <cell r="BW339">
            <v>24</v>
          </cell>
          <cell r="BX339"/>
          <cell r="BY339">
            <v>24</v>
          </cell>
          <cell r="BZ339">
            <v>12</v>
          </cell>
          <cell r="CA339"/>
          <cell r="CB339"/>
          <cell r="CC339"/>
          <cell r="CD339">
            <v>24</v>
          </cell>
          <cell r="CE339"/>
          <cell r="CF339"/>
          <cell r="CG339"/>
          <cell r="CH339"/>
          <cell r="CI339"/>
          <cell r="CJ339">
            <v>108</v>
          </cell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 t="str">
            <v>SIN USO</v>
          </cell>
          <cell r="DH339" t="str">
            <v>C</v>
          </cell>
          <cell r="DI339"/>
          <cell r="DJ339">
            <v>108</v>
          </cell>
          <cell r="DK339">
            <v>18</v>
          </cell>
          <cell r="DL339">
            <v>10.403619279733716</v>
          </cell>
          <cell r="DM339">
            <v>0</v>
          </cell>
          <cell r="DN339" t="str">
            <v>0</v>
          </cell>
          <cell r="DO339">
            <v>0</v>
          </cell>
          <cell r="DP339" t="str">
            <v>INACTIVO</v>
          </cell>
          <cell r="DQ339">
            <v>72</v>
          </cell>
        </row>
        <row r="340">
          <cell r="B340">
            <v>107325</v>
          </cell>
          <cell r="C340" t="str">
            <v>CHOCOLATE ARCOÍRIS  AMBROSIA</v>
          </cell>
          <cell r="D340">
            <v>800</v>
          </cell>
          <cell r="E340">
            <v>800</v>
          </cell>
          <cell r="F340">
            <v>800</v>
          </cell>
          <cell r="G340">
            <v>800</v>
          </cell>
          <cell r="H340"/>
          <cell r="I340">
            <v>1000</v>
          </cell>
          <cell r="J340"/>
          <cell r="K340">
            <v>1000</v>
          </cell>
          <cell r="L340">
            <v>1200</v>
          </cell>
          <cell r="M340"/>
          <cell r="N340">
            <v>1000</v>
          </cell>
          <cell r="O340"/>
          <cell r="P340">
            <v>1000</v>
          </cell>
          <cell r="Q340">
            <v>1250</v>
          </cell>
          <cell r="R340">
            <v>1000</v>
          </cell>
          <cell r="S340"/>
          <cell r="T340"/>
          <cell r="U340"/>
          <cell r="V340">
            <v>750</v>
          </cell>
          <cell r="W340"/>
          <cell r="X340">
            <v>1500</v>
          </cell>
          <cell r="Y340"/>
          <cell r="Z340">
            <v>400</v>
          </cell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 t="str">
            <v>SIN USO</v>
          </cell>
          <cell r="DH340" t="str">
            <v/>
          </cell>
          <cell r="DI340"/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N340" t="str">
            <v>0</v>
          </cell>
          <cell r="DO340">
            <v>0</v>
          </cell>
          <cell r="DP340" t="str">
            <v>INACTIVO</v>
          </cell>
          <cell r="DQ340">
            <v>0</v>
          </cell>
        </row>
        <row r="341">
          <cell r="B341"/>
          <cell r="C341"/>
          <cell r="D341">
            <v>28436.5</v>
          </cell>
          <cell r="E341">
            <v>39004.5</v>
          </cell>
          <cell r="F341">
            <v>28736.5</v>
          </cell>
          <cell r="G341">
            <v>36484</v>
          </cell>
          <cell r="H341">
            <v>55135</v>
          </cell>
          <cell r="I341">
            <v>41634.5</v>
          </cell>
          <cell r="J341">
            <v>70972</v>
          </cell>
          <cell r="K341">
            <v>44467.5</v>
          </cell>
          <cell r="L341">
            <v>43707.5</v>
          </cell>
          <cell r="M341">
            <v>41752.5</v>
          </cell>
          <cell r="N341">
            <v>40711</v>
          </cell>
          <cell r="O341">
            <v>13225.5</v>
          </cell>
          <cell r="P341">
            <v>42522</v>
          </cell>
          <cell r="Q341">
            <v>32558.5</v>
          </cell>
          <cell r="R341">
            <v>48626</v>
          </cell>
          <cell r="S341">
            <v>38392</v>
          </cell>
          <cell r="T341">
            <v>38352</v>
          </cell>
          <cell r="U341">
            <v>30680</v>
          </cell>
          <cell r="V341">
            <v>26656</v>
          </cell>
          <cell r="W341">
            <v>31608.5</v>
          </cell>
          <cell r="X341">
            <v>38277.5</v>
          </cell>
          <cell r="Y341">
            <v>44041</v>
          </cell>
          <cell r="Z341">
            <v>26457.4</v>
          </cell>
          <cell r="AA341">
            <v>40545.5</v>
          </cell>
          <cell r="AB341">
            <v>30991.5</v>
          </cell>
          <cell r="AC341">
            <v>18685.5</v>
          </cell>
          <cell r="AD341">
            <v>9269.5</v>
          </cell>
          <cell r="AE341">
            <v>4244</v>
          </cell>
          <cell r="AF341">
            <v>31909</v>
          </cell>
          <cell r="AG341">
            <v>16160.5</v>
          </cell>
          <cell r="AH341">
            <v>10652.5</v>
          </cell>
          <cell r="AI341">
            <v>12985</v>
          </cell>
          <cell r="AJ341">
            <v>25349.5</v>
          </cell>
          <cell r="AK341">
            <v>4850.5</v>
          </cell>
          <cell r="AL341">
            <v>10614.5</v>
          </cell>
          <cell r="AM341">
            <v>15686</v>
          </cell>
          <cell r="AN341">
            <v>14215.5</v>
          </cell>
          <cell r="AO341">
            <v>25577</v>
          </cell>
          <cell r="AP341">
            <v>22472</v>
          </cell>
          <cell r="AQ341">
            <v>9726.5</v>
          </cell>
          <cell r="AR341">
            <v>21200</v>
          </cell>
          <cell r="AS341">
            <v>22448.7</v>
          </cell>
          <cell r="AT341">
            <v>33261</v>
          </cell>
          <cell r="AU341">
            <v>16921.3</v>
          </cell>
          <cell r="AV341">
            <v>34621.5</v>
          </cell>
          <cell r="AW341">
            <v>23053</v>
          </cell>
          <cell r="AX341">
            <v>20220.5</v>
          </cell>
          <cell r="AY341">
            <v>11953</v>
          </cell>
          <cell r="AZ341">
            <v>35969.5</v>
          </cell>
          <cell r="BA341">
            <v>46814</v>
          </cell>
          <cell r="BB341">
            <v>11160</v>
          </cell>
          <cell r="BC341">
            <v>20862</v>
          </cell>
          <cell r="BD341">
            <v>26328.5</v>
          </cell>
          <cell r="BE341">
            <v>11840</v>
          </cell>
          <cell r="BF341">
            <v>33586</v>
          </cell>
          <cell r="BG341">
            <v>5437.5</v>
          </cell>
          <cell r="BH341">
            <v>39570.5</v>
          </cell>
          <cell r="BI341">
            <v>8337.5</v>
          </cell>
          <cell r="BJ341">
            <v>9979.5</v>
          </cell>
          <cell r="BK341">
            <v>8005.5</v>
          </cell>
          <cell r="BL341">
            <v>7977.5</v>
          </cell>
          <cell r="BM341">
            <v>12048.5</v>
          </cell>
          <cell r="BN341">
            <v>6861.5</v>
          </cell>
          <cell r="BO341">
            <v>20699</v>
          </cell>
          <cell r="BP341">
            <v>3801</v>
          </cell>
          <cell r="BQ341">
            <v>21968</v>
          </cell>
          <cell r="BR341">
            <v>22806.5</v>
          </cell>
          <cell r="BS341">
            <v>46802</v>
          </cell>
          <cell r="BT341">
            <v>10609</v>
          </cell>
          <cell r="BU341">
            <v>4260</v>
          </cell>
          <cell r="BV341">
            <v>16156.5</v>
          </cell>
          <cell r="BW341">
            <v>8161</v>
          </cell>
          <cell r="BX341">
            <v>4758.5</v>
          </cell>
          <cell r="BY341">
            <v>8585.5</v>
          </cell>
          <cell r="BZ341">
            <v>18191.5</v>
          </cell>
          <cell r="CA341">
            <v>10898</v>
          </cell>
          <cell r="CB341">
            <v>12152.5</v>
          </cell>
          <cell r="CC341">
            <v>13247.5</v>
          </cell>
          <cell r="CD341">
            <v>9944</v>
          </cell>
          <cell r="CE341">
            <v>4152</v>
          </cell>
          <cell r="CF341">
            <v>15404</v>
          </cell>
          <cell r="CG341">
            <v>7812</v>
          </cell>
          <cell r="CH341">
            <v>19756.5</v>
          </cell>
          <cell r="CI341">
            <v>20373.5</v>
          </cell>
          <cell r="CJ341">
            <v>17987</v>
          </cell>
          <cell r="CK341">
            <v>4410</v>
          </cell>
          <cell r="CL341">
            <v>24823</v>
          </cell>
          <cell r="CM341">
            <v>19090</v>
          </cell>
          <cell r="CN341">
            <v>15354</v>
          </cell>
          <cell r="CO341">
            <v>3583.5</v>
          </cell>
          <cell r="CP341">
            <v>4467.5</v>
          </cell>
          <cell r="CQ341">
            <v>37276</v>
          </cell>
          <cell r="CR341">
            <v>24256.5</v>
          </cell>
          <cell r="CS341">
            <v>7645</v>
          </cell>
          <cell r="CT341">
            <v>14612</v>
          </cell>
          <cell r="CU341">
            <v>16154.5</v>
          </cell>
          <cell r="CV341">
            <v>18749.5</v>
          </cell>
          <cell r="CW341">
            <v>11708.5</v>
          </cell>
          <cell r="CX341">
            <v>4348.5</v>
          </cell>
          <cell r="CY341">
            <v>19175</v>
          </cell>
          <cell r="CZ341">
            <v>11485</v>
          </cell>
          <cell r="DA341">
            <v>27079.5</v>
          </cell>
          <cell r="DB341">
            <v>16168</v>
          </cell>
          <cell r="DC341">
            <v>22017</v>
          </cell>
          <cell r="DD341">
            <v>10170.5</v>
          </cell>
          <cell r="DE341">
            <v>19236</v>
          </cell>
          <cell r="DF341">
            <v>2182.5</v>
          </cell>
          <cell r="DG341" t="str">
            <v>ACTIVO</v>
          </cell>
          <cell r="DH341" t="str">
            <v/>
          </cell>
          <cell r="DI341"/>
          <cell r="DJ341">
            <v>15756.26</v>
          </cell>
          <cell r="DK341">
            <v>2626.0433333333335</v>
          </cell>
          <cell r="DL341">
            <v>10946.571417055378</v>
          </cell>
          <cell r="DM341">
            <v>0</v>
          </cell>
          <cell r="DN341" t="str">
            <v>0</v>
          </cell>
          <cell r="DO341">
            <v>0</v>
          </cell>
          <cell r="DP341" t="str">
            <v>INACTIVO</v>
          </cell>
          <cell r="DQ341">
            <v>0</v>
          </cell>
        </row>
        <row r="342">
          <cell r="B342">
            <v>405418</v>
          </cell>
          <cell r="C342" t="str">
            <v>AZUCAR FLOR 5KG MEL ALIMENTOS</v>
          </cell>
          <cell r="D342"/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  <cell r="P342"/>
          <cell r="Q342">
            <v>232</v>
          </cell>
          <cell r="R342">
            <v>661</v>
          </cell>
          <cell r="S342">
            <v>769</v>
          </cell>
          <cell r="T342">
            <v>63</v>
          </cell>
          <cell r="U342"/>
          <cell r="V342"/>
          <cell r="W342">
            <v>45</v>
          </cell>
          <cell r="X342">
            <v>860</v>
          </cell>
          <cell r="Y342">
            <v>400</v>
          </cell>
          <cell r="Z342">
            <v>645</v>
          </cell>
          <cell r="AA342">
            <v>60</v>
          </cell>
          <cell r="AB342">
            <v>680</v>
          </cell>
          <cell r="AC342">
            <v>20</v>
          </cell>
          <cell r="AD342"/>
          <cell r="AE342"/>
          <cell r="AF342">
            <v>55</v>
          </cell>
          <cell r="AG342">
            <v>735</v>
          </cell>
          <cell r="AH342">
            <v>456</v>
          </cell>
          <cell r="AI342">
            <v>595</v>
          </cell>
          <cell r="AJ342">
            <v>365</v>
          </cell>
          <cell r="AK342">
            <v>480</v>
          </cell>
          <cell r="AL342">
            <v>505</v>
          </cell>
          <cell r="AM342">
            <v>445</v>
          </cell>
          <cell r="AN342">
            <v>370</v>
          </cell>
          <cell r="AO342">
            <v>645</v>
          </cell>
          <cell r="AP342">
            <v>515</v>
          </cell>
          <cell r="AQ342">
            <v>555</v>
          </cell>
          <cell r="AR342">
            <v>845</v>
          </cell>
          <cell r="AS342">
            <v>582</v>
          </cell>
          <cell r="AT342">
            <v>613</v>
          </cell>
          <cell r="AU342">
            <v>420</v>
          </cell>
          <cell r="AV342">
            <v>555</v>
          </cell>
          <cell r="AW342">
            <v>630</v>
          </cell>
          <cell r="AX342">
            <v>687</v>
          </cell>
          <cell r="AY342">
            <v>385</v>
          </cell>
          <cell r="AZ342">
            <v>519</v>
          </cell>
          <cell r="BA342">
            <v>855</v>
          </cell>
          <cell r="BB342">
            <v>506</v>
          </cell>
          <cell r="BC342">
            <v>525</v>
          </cell>
          <cell r="BD342">
            <v>65</v>
          </cell>
          <cell r="BE342">
            <v>650</v>
          </cell>
          <cell r="BF342">
            <v>635</v>
          </cell>
          <cell r="BG342">
            <v>615</v>
          </cell>
          <cell r="BH342">
            <v>740</v>
          </cell>
          <cell r="BI342">
            <v>710</v>
          </cell>
          <cell r="BJ342">
            <v>715</v>
          </cell>
          <cell r="BK342">
            <v>505</v>
          </cell>
          <cell r="BL342">
            <v>720</v>
          </cell>
          <cell r="BM342">
            <v>880</v>
          </cell>
          <cell r="BN342">
            <v>620</v>
          </cell>
          <cell r="BO342">
            <v>580</v>
          </cell>
          <cell r="BP342">
            <v>340</v>
          </cell>
          <cell r="BQ342">
            <v>745</v>
          </cell>
          <cell r="BR342">
            <v>431</v>
          </cell>
          <cell r="BS342">
            <v>850</v>
          </cell>
          <cell r="BT342">
            <v>850</v>
          </cell>
          <cell r="BU342">
            <v>624</v>
          </cell>
          <cell r="BV342">
            <v>625</v>
          </cell>
          <cell r="BW342">
            <v>390</v>
          </cell>
          <cell r="BX342">
            <v>335</v>
          </cell>
          <cell r="BY342">
            <v>410</v>
          </cell>
          <cell r="BZ342">
            <v>590</v>
          </cell>
          <cell r="CA342">
            <v>570</v>
          </cell>
          <cell r="CB342">
            <v>130</v>
          </cell>
          <cell r="CC342">
            <v>450</v>
          </cell>
          <cell r="CD342">
            <v>295</v>
          </cell>
          <cell r="CE342">
            <v>195</v>
          </cell>
          <cell r="CF342">
            <v>115</v>
          </cell>
          <cell r="CG342">
            <v>580</v>
          </cell>
          <cell r="CH342">
            <v>445</v>
          </cell>
          <cell r="CI342">
            <v>660</v>
          </cell>
          <cell r="CJ342">
            <v>460</v>
          </cell>
          <cell r="CK342">
            <v>480</v>
          </cell>
          <cell r="CL342">
            <v>295</v>
          </cell>
          <cell r="CM342">
            <v>365</v>
          </cell>
          <cell r="CN342">
            <v>590</v>
          </cell>
          <cell r="CO342">
            <v>375</v>
          </cell>
          <cell r="CP342">
            <v>380</v>
          </cell>
          <cell r="CQ342">
            <v>385</v>
          </cell>
          <cell r="CR342">
            <v>495</v>
          </cell>
          <cell r="CS342">
            <v>270</v>
          </cell>
          <cell r="CT342">
            <v>515</v>
          </cell>
          <cell r="CU342">
            <v>420</v>
          </cell>
          <cell r="CV342">
            <v>615</v>
          </cell>
          <cell r="CW342">
            <v>625</v>
          </cell>
          <cell r="CX342">
            <v>505</v>
          </cell>
          <cell r="CY342">
            <v>750</v>
          </cell>
          <cell r="CZ342">
            <v>370</v>
          </cell>
          <cell r="DA342">
            <v>345</v>
          </cell>
          <cell r="DB342">
            <v>545</v>
          </cell>
          <cell r="DC342">
            <v>380</v>
          </cell>
          <cell r="DD342">
            <v>470</v>
          </cell>
          <cell r="DE342">
            <v>405</v>
          </cell>
          <cell r="DF342">
            <v>165</v>
          </cell>
          <cell r="DG342" t="str">
            <v>ACTIVO</v>
          </cell>
          <cell r="DH342" t="str">
            <v>B</v>
          </cell>
          <cell r="DI342"/>
          <cell r="DJ342">
            <v>457.4</v>
          </cell>
          <cell r="DK342">
            <v>76.233333333333334</v>
          </cell>
          <cell r="DL342">
            <v>192.38833904763644</v>
          </cell>
          <cell r="DM342">
            <v>220</v>
          </cell>
          <cell r="DN342">
            <v>301760.8</v>
          </cell>
          <cell r="DO342">
            <v>0.48097944905990381</v>
          </cell>
          <cell r="DP342" t="str">
            <v>OK</v>
          </cell>
          <cell r="DQ342">
            <v>152.46666666666667</v>
          </cell>
        </row>
        <row r="343">
          <cell r="B343">
            <v>104004</v>
          </cell>
          <cell r="C343" t="str">
            <v>AZUCAR RUBIA EGC</v>
          </cell>
          <cell r="D343">
            <v>8</v>
          </cell>
          <cell r="E343">
            <v>10</v>
          </cell>
          <cell r="F343">
            <v>9</v>
          </cell>
          <cell r="G343">
            <v>7</v>
          </cell>
          <cell r="H343">
            <v>5.5</v>
          </cell>
          <cell r="I343">
            <v>4</v>
          </cell>
          <cell r="J343">
            <v>11</v>
          </cell>
          <cell r="K343">
            <v>4</v>
          </cell>
          <cell r="L343">
            <v>6</v>
          </cell>
          <cell r="M343">
            <v>5</v>
          </cell>
          <cell r="N343">
            <v>4.5</v>
          </cell>
          <cell r="O343">
            <v>1.5</v>
          </cell>
          <cell r="P343">
            <v>8</v>
          </cell>
          <cell r="Q343">
            <v>5</v>
          </cell>
          <cell r="R343">
            <v>4.5</v>
          </cell>
          <cell r="S343">
            <v>2</v>
          </cell>
          <cell r="T343"/>
          <cell r="U343"/>
          <cell r="V343"/>
          <cell r="W343"/>
          <cell r="X343">
            <v>2</v>
          </cell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>
            <v>10</v>
          </cell>
          <cell r="AQ343"/>
          <cell r="AR343"/>
          <cell r="AS343"/>
          <cell r="AT343"/>
          <cell r="AU343">
            <v>38</v>
          </cell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>
            <v>17</v>
          </cell>
          <cell r="BG343"/>
          <cell r="BH343"/>
          <cell r="BI343">
            <v>10</v>
          </cell>
          <cell r="BJ343"/>
          <cell r="BK343">
            <v>3</v>
          </cell>
          <cell r="BL343"/>
          <cell r="BM343"/>
          <cell r="BN343"/>
          <cell r="BO343"/>
          <cell r="BP343"/>
          <cell r="BQ343">
            <v>21</v>
          </cell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>
            <v>10</v>
          </cell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 t="str">
            <v>ACTIVO</v>
          </cell>
          <cell r="DH343" t="str">
            <v>C</v>
          </cell>
          <cell r="DI343"/>
          <cell r="DJ343">
            <v>0</v>
          </cell>
          <cell r="DK343">
            <v>0</v>
          </cell>
          <cell r="DL343">
            <v>11.443442705426587</v>
          </cell>
          <cell r="DM343">
            <v>94</v>
          </cell>
          <cell r="DN343">
            <v>116512.06</v>
          </cell>
          <cell r="DO343">
            <v>0</v>
          </cell>
          <cell r="DP343" t="str">
            <v>OK</v>
          </cell>
          <cell r="DQ343">
            <v>0</v>
          </cell>
        </row>
        <row r="344">
          <cell r="B344">
            <v>104006</v>
          </cell>
          <cell r="C344" t="str">
            <v>AZUCAR GRANULADA EGC</v>
          </cell>
          <cell r="D344">
            <v>32</v>
          </cell>
          <cell r="E344">
            <v>30</v>
          </cell>
          <cell r="F344">
            <v>37</v>
          </cell>
          <cell r="G344">
            <v>88</v>
          </cell>
          <cell r="H344">
            <v>79</v>
          </cell>
          <cell r="I344">
            <v>67</v>
          </cell>
          <cell r="J344">
            <v>106</v>
          </cell>
          <cell r="K344">
            <v>133</v>
          </cell>
          <cell r="L344">
            <v>170</v>
          </cell>
          <cell r="M344">
            <v>177</v>
          </cell>
          <cell r="N344">
            <v>157</v>
          </cell>
          <cell r="O344">
            <v>38</v>
          </cell>
          <cell r="P344">
            <v>92</v>
          </cell>
          <cell r="Q344">
            <v>126</v>
          </cell>
          <cell r="R344">
            <v>147</v>
          </cell>
          <cell r="S344">
            <v>130</v>
          </cell>
          <cell r="T344">
            <v>128</v>
          </cell>
          <cell r="U344">
            <v>155</v>
          </cell>
          <cell r="V344">
            <v>168</v>
          </cell>
          <cell r="W344">
            <v>158</v>
          </cell>
          <cell r="X344">
            <v>136</v>
          </cell>
          <cell r="Y344">
            <v>160</v>
          </cell>
          <cell r="Z344">
            <v>127</v>
          </cell>
          <cell r="AA344">
            <v>120</v>
          </cell>
          <cell r="AB344">
            <v>135</v>
          </cell>
          <cell r="AC344">
            <v>100</v>
          </cell>
          <cell r="AD344">
            <v>57</v>
          </cell>
          <cell r="AE344">
            <v>65</v>
          </cell>
          <cell r="AF344">
            <v>149</v>
          </cell>
          <cell r="AG344">
            <v>141</v>
          </cell>
          <cell r="AH344">
            <v>114</v>
          </cell>
          <cell r="AI344">
            <v>147</v>
          </cell>
          <cell r="AJ344">
            <v>1174</v>
          </cell>
          <cell r="AK344">
            <v>74</v>
          </cell>
          <cell r="AL344">
            <v>122</v>
          </cell>
          <cell r="AM344">
            <v>117</v>
          </cell>
          <cell r="AN344">
            <v>130</v>
          </cell>
          <cell r="AO344">
            <v>146</v>
          </cell>
          <cell r="AP344">
            <v>268</v>
          </cell>
          <cell r="AQ344">
            <v>214</v>
          </cell>
          <cell r="AR344">
            <v>398</v>
          </cell>
          <cell r="AS344">
            <v>224</v>
          </cell>
          <cell r="AT344">
            <v>420</v>
          </cell>
          <cell r="AU344">
            <v>290</v>
          </cell>
          <cell r="AV344">
            <v>317</v>
          </cell>
          <cell r="AW344">
            <v>328</v>
          </cell>
          <cell r="AX344">
            <v>292</v>
          </cell>
          <cell r="AY344">
            <v>322</v>
          </cell>
          <cell r="AZ344">
            <v>329</v>
          </cell>
          <cell r="BA344">
            <v>217</v>
          </cell>
          <cell r="BB344">
            <v>290</v>
          </cell>
          <cell r="BC344">
            <v>246</v>
          </cell>
          <cell r="BD344">
            <v>169</v>
          </cell>
          <cell r="BE344">
            <v>327</v>
          </cell>
          <cell r="BF344">
            <v>274</v>
          </cell>
          <cell r="BG344">
            <v>544</v>
          </cell>
          <cell r="BH344">
            <v>363</v>
          </cell>
          <cell r="BI344">
            <v>329</v>
          </cell>
          <cell r="BJ344">
            <v>367</v>
          </cell>
          <cell r="BK344">
            <v>408</v>
          </cell>
          <cell r="BL344">
            <v>425</v>
          </cell>
          <cell r="BM344">
            <v>188</v>
          </cell>
          <cell r="BN344">
            <v>337</v>
          </cell>
          <cell r="BO344">
            <v>468</v>
          </cell>
          <cell r="BP344">
            <v>97</v>
          </cell>
          <cell r="BQ344">
            <v>315</v>
          </cell>
          <cell r="BR344">
            <v>263</v>
          </cell>
          <cell r="BS344">
            <v>279</v>
          </cell>
          <cell r="BT344">
            <v>317</v>
          </cell>
          <cell r="BU344">
            <v>412</v>
          </cell>
          <cell r="BV344">
            <v>379</v>
          </cell>
          <cell r="BW344">
            <v>288</v>
          </cell>
          <cell r="BX344">
            <v>258</v>
          </cell>
          <cell r="BY344">
            <v>108</v>
          </cell>
          <cell r="BZ344">
            <v>143</v>
          </cell>
          <cell r="CA344">
            <v>319</v>
          </cell>
          <cell r="CB344">
            <v>201</v>
          </cell>
          <cell r="CC344">
            <v>205</v>
          </cell>
          <cell r="CD344">
            <v>327</v>
          </cell>
          <cell r="CE344">
            <v>247</v>
          </cell>
          <cell r="CF344">
            <v>105</v>
          </cell>
          <cell r="CG344">
            <v>383</v>
          </cell>
          <cell r="CH344">
            <v>166</v>
          </cell>
          <cell r="CI344">
            <v>257</v>
          </cell>
          <cell r="CJ344">
            <v>154</v>
          </cell>
          <cell r="CK344">
            <v>205</v>
          </cell>
          <cell r="CL344">
            <v>297</v>
          </cell>
          <cell r="CM344">
            <v>239</v>
          </cell>
          <cell r="CN344">
            <v>269</v>
          </cell>
          <cell r="CO344">
            <v>365</v>
          </cell>
          <cell r="CP344">
            <v>324</v>
          </cell>
          <cell r="CQ344">
            <v>115</v>
          </cell>
          <cell r="CR344">
            <v>149</v>
          </cell>
          <cell r="CS344">
            <v>248</v>
          </cell>
          <cell r="CT344">
            <v>357</v>
          </cell>
          <cell r="CU344">
            <v>359</v>
          </cell>
          <cell r="CV344">
            <v>419</v>
          </cell>
          <cell r="CW344">
            <v>321</v>
          </cell>
          <cell r="CX344">
            <v>240</v>
          </cell>
          <cell r="CY344">
            <v>930</v>
          </cell>
          <cell r="CZ344">
            <v>225</v>
          </cell>
          <cell r="DA344">
            <v>339</v>
          </cell>
          <cell r="DB344">
            <v>414</v>
          </cell>
          <cell r="DC344">
            <v>353</v>
          </cell>
          <cell r="DD344">
            <v>307</v>
          </cell>
          <cell r="DE344">
            <v>100</v>
          </cell>
          <cell r="DF344">
            <v>29</v>
          </cell>
          <cell r="DG344" t="str">
            <v>ACTIVO</v>
          </cell>
          <cell r="DH344" t="str">
            <v>B</v>
          </cell>
          <cell r="DI344"/>
          <cell r="DJ344">
            <v>301.60000000000002</v>
          </cell>
          <cell r="DK344">
            <v>50.266666666666673</v>
          </cell>
          <cell r="DL344">
            <v>165.87773095127707</v>
          </cell>
          <cell r="DM344">
            <v>420</v>
          </cell>
          <cell r="DN344">
            <v>378000</v>
          </cell>
          <cell r="DO344">
            <v>1.3925729442970822</v>
          </cell>
          <cell r="DP344" t="str">
            <v>OK</v>
          </cell>
          <cell r="DQ344">
            <v>100.53333333333335</v>
          </cell>
        </row>
        <row r="345">
          <cell r="B345">
            <v>104001</v>
          </cell>
          <cell r="C345" t="str">
            <v>AZUCAR FLOR ALTO LA CRUZ</v>
          </cell>
          <cell r="D345">
            <v>417</v>
          </cell>
          <cell r="E345">
            <v>359</v>
          </cell>
          <cell r="F345">
            <v>452</v>
          </cell>
          <cell r="G345">
            <v>348</v>
          </cell>
          <cell r="H345">
            <v>462</v>
          </cell>
          <cell r="I345">
            <v>375</v>
          </cell>
          <cell r="J345">
            <v>353</v>
          </cell>
          <cell r="K345">
            <v>426</v>
          </cell>
          <cell r="L345">
            <v>777</v>
          </cell>
          <cell r="M345">
            <v>457</v>
          </cell>
          <cell r="N345">
            <v>546</v>
          </cell>
          <cell r="O345">
            <v>221</v>
          </cell>
          <cell r="P345">
            <v>507</v>
          </cell>
          <cell r="Q345">
            <v>510</v>
          </cell>
          <cell r="R345">
            <v>270</v>
          </cell>
          <cell r="S345">
            <v>19</v>
          </cell>
          <cell r="T345">
            <v>388</v>
          </cell>
          <cell r="U345">
            <v>704</v>
          </cell>
          <cell r="V345">
            <v>745</v>
          </cell>
          <cell r="W345">
            <v>333</v>
          </cell>
          <cell r="X345"/>
          <cell r="Y345">
            <v>245</v>
          </cell>
          <cell r="Z345"/>
          <cell r="AA345"/>
          <cell r="AB345"/>
          <cell r="AC345">
            <v>241</v>
          </cell>
          <cell r="AD345">
            <v>192</v>
          </cell>
          <cell r="AE345">
            <v>192</v>
          </cell>
          <cell r="AF345">
            <v>596</v>
          </cell>
          <cell r="AG345"/>
          <cell r="AH345">
            <v>5</v>
          </cell>
          <cell r="AI345">
            <v>20</v>
          </cell>
          <cell r="AJ345"/>
          <cell r="AK345"/>
          <cell r="AL345"/>
          <cell r="AM345">
            <v>28</v>
          </cell>
          <cell r="AN345">
            <v>23</v>
          </cell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 t="str">
            <v>SIN USO</v>
          </cell>
          <cell r="DH345" t="str">
            <v>C</v>
          </cell>
          <cell r="DI345"/>
          <cell r="DJ345">
            <v>0</v>
          </cell>
          <cell r="DK345">
            <v>0</v>
          </cell>
          <cell r="DL345">
            <v>232.12151989852211</v>
          </cell>
          <cell r="DM345">
            <v>0</v>
          </cell>
          <cell r="DN345" t="str">
            <v>0</v>
          </cell>
          <cell r="DO345">
            <v>0</v>
          </cell>
          <cell r="DP345" t="str">
            <v>INACTIVO</v>
          </cell>
          <cell r="DQ345">
            <v>0</v>
          </cell>
        </row>
        <row r="346">
          <cell r="B346">
            <v>104003</v>
          </cell>
          <cell r="C346" t="str">
            <v>AZUCAR FLOR ANTI-HUMEDAD MANAR</v>
          </cell>
          <cell r="D346"/>
          <cell r="E346">
            <v>30</v>
          </cell>
          <cell r="F346">
            <v>48</v>
          </cell>
          <cell r="G346"/>
          <cell r="H346">
            <v>21.5</v>
          </cell>
          <cell r="I346">
            <v>10</v>
          </cell>
          <cell r="J346">
            <v>28</v>
          </cell>
          <cell r="K346">
            <v>84</v>
          </cell>
          <cell r="L346"/>
          <cell r="M346">
            <v>44</v>
          </cell>
          <cell r="N346"/>
          <cell r="O346"/>
          <cell r="P346">
            <v>40</v>
          </cell>
          <cell r="Q346">
            <v>50</v>
          </cell>
          <cell r="R346">
            <v>50</v>
          </cell>
          <cell r="S346">
            <v>50</v>
          </cell>
          <cell r="T346">
            <v>40</v>
          </cell>
          <cell r="U346"/>
          <cell r="V346"/>
          <cell r="W346">
            <v>108</v>
          </cell>
          <cell r="X346"/>
          <cell r="Y346"/>
          <cell r="Z346"/>
          <cell r="AA346">
            <v>50</v>
          </cell>
          <cell r="AB346">
            <v>92</v>
          </cell>
          <cell r="AC346">
            <v>25</v>
          </cell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>
            <v>40</v>
          </cell>
          <cell r="AO346">
            <v>87</v>
          </cell>
          <cell r="AP346">
            <v>90.72</v>
          </cell>
          <cell r="AQ346"/>
          <cell r="AR346"/>
          <cell r="AS346"/>
          <cell r="AT346">
            <v>40</v>
          </cell>
          <cell r="AU346"/>
          <cell r="AV346"/>
          <cell r="AW346"/>
          <cell r="AX346">
            <v>166</v>
          </cell>
          <cell r="AY346"/>
          <cell r="AZ346"/>
          <cell r="BA346">
            <v>46</v>
          </cell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>
            <v>204.12</v>
          </cell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 t="str">
            <v>SIN USO</v>
          </cell>
          <cell r="DH346" t="str">
            <v>C</v>
          </cell>
          <cell r="DI346"/>
          <cell r="DJ346">
            <v>0</v>
          </cell>
          <cell r="DK346">
            <v>0</v>
          </cell>
          <cell r="DL346">
            <v>65.154085498477031</v>
          </cell>
          <cell r="DM346">
            <v>0</v>
          </cell>
          <cell r="DN346" t="str">
            <v>0</v>
          </cell>
          <cell r="DO346">
            <v>0</v>
          </cell>
          <cell r="DP346" t="str">
            <v>INACTIVO</v>
          </cell>
          <cell r="DQ346">
            <v>0</v>
          </cell>
        </row>
        <row r="347">
          <cell r="B347"/>
          <cell r="C347"/>
          <cell r="D347">
            <v>457</v>
          </cell>
          <cell r="E347">
            <v>429</v>
          </cell>
          <cell r="F347">
            <v>546</v>
          </cell>
          <cell r="G347">
            <v>443</v>
          </cell>
          <cell r="H347">
            <v>568</v>
          </cell>
          <cell r="I347">
            <v>456</v>
          </cell>
          <cell r="J347">
            <v>498</v>
          </cell>
          <cell r="K347">
            <v>647</v>
          </cell>
          <cell r="L347">
            <v>953</v>
          </cell>
          <cell r="M347">
            <v>683</v>
          </cell>
          <cell r="N347">
            <v>707.5</v>
          </cell>
          <cell r="O347">
            <v>260.5</v>
          </cell>
          <cell r="P347">
            <v>647</v>
          </cell>
          <cell r="Q347">
            <v>923</v>
          </cell>
          <cell r="R347">
            <v>1132.5</v>
          </cell>
          <cell r="S347">
            <v>970</v>
          </cell>
          <cell r="T347">
            <v>619</v>
          </cell>
          <cell r="U347">
            <v>859</v>
          </cell>
          <cell r="V347">
            <v>913</v>
          </cell>
          <cell r="W347">
            <v>644</v>
          </cell>
          <cell r="X347">
            <v>998</v>
          </cell>
          <cell r="Y347">
            <v>805</v>
          </cell>
          <cell r="Z347">
            <v>772</v>
          </cell>
          <cell r="AA347">
            <v>230</v>
          </cell>
          <cell r="AB347">
            <v>907</v>
          </cell>
          <cell r="AC347">
            <v>386</v>
          </cell>
          <cell r="AD347">
            <v>249</v>
          </cell>
          <cell r="AE347">
            <v>257</v>
          </cell>
          <cell r="AF347">
            <v>800</v>
          </cell>
          <cell r="AG347">
            <v>876</v>
          </cell>
          <cell r="AH347">
            <v>575</v>
          </cell>
          <cell r="AI347">
            <v>762</v>
          </cell>
          <cell r="AJ347">
            <v>1539</v>
          </cell>
          <cell r="AK347">
            <v>554</v>
          </cell>
          <cell r="AL347">
            <v>627</v>
          </cell>
          <cell r="AM347">
            <v>590</v>
          </cell>
          <cell r="AN347">
            <v>563</v>
          </cell>
          <cell r="AO347">
            <v>878</v>
          </cell>
          <cell r="AP347">
            <v>883.72</v>
          </cell>
          <cell r="AQ347">
            <v>769</v>
          </cell>
          <cell r="AR347">
            <v>1243</v>
          </cell>
          <cell r="AS347">
            <v>806</v>
          </cell>
          <cell r="AT347">
            <v>1073</v>
          </cell>
          <cell r="AU347">
            <v>748</v>
          </cell>
          <cell r="AV347">
            <v>872</v>
          </cell>
          <cell r="AW347">
            <v>958</v>
          </cell>
          <cell r="AX347">
            <v>1145</v>
          </cell>
          <cell r="AY347">
            <v>707</v>
          </cell>
          <cell r="AZ347">
            <v>848</v>
          </cell>
          <cell r="BA347">
            <v>1118</v>
          </cell>
          <cell r="BB347">
            <v>796</v>
          </cell>
          <cell r="BC347">
            <v>771</v>
          </cell>
          <cell r="BD347">
            <v>234</v>
          </cell>
          <cell r="BE347">
            <v>977</v>
          </cell>
          <cell r="BF347">
            <v>926</v>
          </cell>
          <cell r="BG347">
            <v>1159</v>
          </cell>
          <cell r="BH347">
            <v>1103</v>
          </cell>
          <cell r="BI347">
            <v>1049</v>
          </cell>
          <cell r="BJ347">
            <v>1082</v>
          </cell>
          <cell r="BK347">
            <v>916</v>
          </cell>
          <cell r="BL347">
            <v>1145</v>
          </cell>
          <cell r="BM347">
            <v>1068</v>
          </cell>
          <cell r="BN347">
            <v>1161.1199999999999</v>
          </cell>
          <cell r="BO347">
            <v>1048</v>
          </cell>
          <cell r="BP347">
            <v>437</v>
          </cell>
          <cell r="BQ347">
            <v>1081</v>
          </cell>
          <cell r="BR347">
            <v>694</v>
          </cell>
          <cell r="BS347">
            <v>1129</v>
          </cell>
          <cell r="BT347">
            <v>1167</v>
          </cell>
          <cell r="BU347">
            <v>1036</v>
          </cell>
          <cell r="BV347">
            <v>1004</v>
          </cell>
          <cell r="BW347">
            <v>678</v>
          </cell>
          <cell r="BX347">
            <v>593</v>
          </cell>
          <cell r="BY347">
            <v>518</v>
          </cell>
          <cell r="BZ347">
            <v>733</v>
          </cell>
          <cell r="CA347">
            <v>889</v>
          </cell>
          <cell r="CB347">
            <v>331</v>
          </cell>
          <cell r="CC347">
            <v>655</v>
          </cell>
          <cell r="CD347">
            <v>632</v>
          </cell>
          <cell r="CE347">
            <v>442</v>
          </cell>
          <cell r="CF347">
            <v>220</v>
          </cell>
          <cell r="CG347">
            <v>963</v>
          </cell>
          <cell r="CH347">
            <v>611</v>
          </cell>
          <cell r="CI347">
            <v>917</v>
          </cell>
          <cell r="CJ347">
            <v>614</v>
          </cell>
          <cell r="CK347">
            <v>685</v>
          </cell>
          <cell r="CL347">
            <v>592</v>
          </cell>
          <cell r="CM347">
            <v>604</v>
          </cell>
          <cell r="CN347">
            <v>859</v>
          </cell>
          <cell r="CO347">
            <v>740</v>
          </cell>
          <cell r="CP347">
            <v>704</v>
          </cell>
          <cell r="CQ347">
            <v>500</v>
          </cell>
          <cell r="CR347">
            <v>644</v>
          </cell>
          <cell r="CS347">
            <v>518</v>
          </cell>
          <cell r="CT347">
            <v>872</v>
          </cell>
          <cell r="CU347">
            <v>779</v>
          </cell>
          <cell r="CV347">
            <v>1034</v>
          </cell>
          <cell r="CW347">
            <v>946</v>
          </cell>
          <cell r="CX347">
            <v>745</v>
          </cell>
          <cell r="CY347">
            <v>1680</v>
          </cell>
          <cell r="CZ347">
            <v>595</v>
          </cell>
          <cell r="DA347">
            <v>684</v>
          </cell>
          <cell r="DB347">
            <v>959</v>
          </cell>
          <cell r="DC347">
            <v>733</v>
          </cell>
          <cell r="DD347">
            <v>777</v>
          </cell>
          <cell r="DE347">
            <v>505</v>
          </cell>
          <cell r="DF347">
            <v>194</v>
          </cell>
          <cell r="DG347" t="str">
            <v>ACTIVO</v>
          </cell>
          <cell r="DH347" t="str">
            <v/>
          </cell>
          <cell r="DI347"/>
          <cell r="DJ347">
            <v>759</v>
          </cell>
          <cell r="DK347">
            <v>126.5</v>
          </cell>
          <cell r="DL347">
            <v>269.58956360698681</v>
          </cell>
          <cell r="DM347">
            <v>0</v>
          </cell>
          <cell r="DN347" t="str">
            <v>0</v>
          </cell>
          <cell r="DO347">
            <v>0</v>
          </cell>
          <cell r="DP347" t="str">
            <v>INACTIVO</v>
          </cell>
          <cell r="DQ347">
            <v>0</v>
          </cell>
        </row>
        <row r="348">
          <cell r="B348">
            <v>100105</v>
          </cell>
          <cell r="C348" t="str">
            <v>MIX BIZC. RED VELVET PURATOS</v>
          </cell>
          <cell r="D348">
            <v>180</v>
          </cell>
          <cell r="E348">
            <v>220</v>
          </cell>
          <cell r="F348">
            <v>220</v>
          </cell>
          <cell r="G348">
            <v>240</v>
          </cell>
          <cell r="H348">
            <v>180</v>
          </cell>
          <cell r="I348">
            <v>160</v>
          </cell>
          <cell r="J348">
            <v>220</v>
          </cell>
          <cell r="K348">
            <v>220</v>
          </cell>
          <cell r="L348">
            <v>220</v>
          </cell>
          <cell r="M348">
            <v>200</v>
          </cell>
          <cell r="N348">
            <v>140</v>
          </cell>
          <cell r="O348">
            <v>100</v>
          </cell>
          <cell r="P348">
            <v>280</v>
          </cell>
          <cell r="Q348">
            <v>160</v>
          </cell>
          <cell r="R348">
            <v>200</v>
          </cell>
          <cell r="S348">
            <v>120</v>
          </cell>
          <cell r="T348">
            <v>140</v>
          </cell>
          <cell r="U348">
            <v>140</v>
          </cell>
          <cell r="V348">
            <v>200</v>
          </cell>
          <cell r="W348">
            <v>120</v>
          </cell>
          <cell r="X348">
            <v>220</v>
          </cell>
          <cell r="Y348">
            <v>140</v>
          </cell>
          <cell r="Z348">
            <v>80</v>
          </cell>
          <cell r="AA348">
            <v>160</v>
          </cell>
          <cell r="AB348">
            <v>300</v>
          </cell>
          <cell r="AC348">
            <v>200</v>
          </cell>
          <cell r="AD348">
            <v>40</v>
          </cell>
          <cell r="AE348">
            <v>120</v>
          </cell>
          <cell r="AF348">
            <v>141</v>
          </cell>
          <cell r="AG348">
            <v>179</v>
          </cell>
          <cell r="AH348">
            <v>120</v>
          </cell>
          <cell r="AI348">
            <v>240</v>
          </cell>
          <cell r="AJ348">
            <v>280</v>
          </cell>
          <cell r="AK348">
            <v>200</v>
          </cell>
          <cell r="AL348">
            <v>300</v>
          </cell>
          <cell r="AM348">
            <v>140</v>
          </cell>
          <cell r="AN348">
            <v>210</v>
          </cell>
          <cell r="AO348">
            <v>260</v>
          </cell>
          <cell r="AP348">
            <v>200</v>
          </cell>
          <cell r="AQ348">
            <v>220</v>
          </cell>
          <cell r="AR348">
            <v>120</v>
          </cell>
          <cell r="AS348">
            <v>340</v>
          </cell>
          <cell r="AT348">
            <v>320</v>
          </cell>
          <cell r="AU348">
            <v>180</v>
          </cell>
          <cell r="AV348">
            <v>280</v>
          </cell>
          <cell r="AW348">
            <v>140</v>
          </cell>
          <cell r="AX348">
            <v>300</v>
          </cell>
          <cell r="AY348">
            <v>260</v>
          </cell>
          <cell r="AZ348">
            <v>160</v>
          </cell>
          <cell r="BA348">
            <v>280</v>
          </cell>
          <cell r="BB348">
            <v>180</v>
          </cell>
          <cell r="BC348">
            <v>260</v>
          </cell>
          <cell r="BD348">
            <v>200</v>
          </cell>
          <cell r="BE348">
            <v>240</v>
          </cell>
          <cell r="BF348">
            <v>140</v>
          </cell>
          <cell r="BG348">
            <v>260</v>
          </cell>
          <cell r="BH348">
            <v>180</v>
          </cell>
          <cell r="BI348">
            <v>160</v>
          </cell>
          <cell r="BJ348">
            <v>200</v>
          </cell>
          <cell r="BK348">
            <v>200</v>
          </cell>
          <cell r="BL348">
            <v>280</v>
          </cell>
          <cell r="BM348">
            <v>340</v>
          </cell>
          <cell r="BN348">
            <v>180</v>
          </cell>
          <cell r="BO348">
            <v>240</v>
          </cell>
          <cell r="BP348">
            <v>80</v>
          </cell>
          <cell r="BQ348">
            <v>240</v>
          </cell>
          <cell r="BR348">
            <v>300</v>
          </cell>
          <cell r="BS348">
            <v>340</v>
          </cell>
          <cell r="BT348">
            <v>180</v>
          </cell>
          <cell r="BU348">
            <v>160</v>
          </cell>
          <cell r="BV348">
            <v>160</v>
          </cell>
          <cell r="BW348">
            <v>180</v>
          </cell>
          <cell r="BX348">
            <v>200</v>
          </cell>
          <cell r="BY348">
            <v>220</v>
          </cell>
          <cell r="BZ348">
            <v>280</v>
          </cell>
          <cell r="CA348">
            <v>360</v>
          </cell>
          <cell r="CB348">
            <v>200</v>
          </cell>
          <cell r="CC348">
            <v>200</v>
          </cell>
          <cell r="CD348">
            <v>540</v>
          </cell>
          <cell r="CE348">
            <v>60</v>
          </cell>
          <cell r="CF348">
            <v>80</v>
          </cell>
          <cell r="CG348">
            <v>120</v>
          </cell>
          <cell r="CH348">
            <v>280</v>
          </cell>
          <cell r="CI348">
            <v>240</v>
          </cell>
          <cell r="CJ348">
            <v>180</v>
          </cell>
          <cell r="CK348">
            <v>360</v>
          </cell>
          <cell r="CL348">
            <v>180</v>
          </cell>
          <cell r="CM348">
            <v>140</v>
          </cell>
          <cell r="CN348">
            <v>400</v>
          </cell>
          <cell r="CO348">
            <v>300</v>
          </cell>
          <cell r="CP348">
            <v>340</v>
          </cell>
          <cell r="CQ348">
            <v>420</v>
          </cell>
          <cell r="CR348">
            <v>300</v>
          </cell>
          <cell r="CS348">
            <v>200</v>
          </cell>
          <cell r="CT348">
            <v>400</v>
          </cell>
          <cell r="CU348">
            <v>340</v>
          </cell>
          <cell r="CV348">
            <v>380</v>
          </cell>
          <cell r="CW348">
            <v>640</v>
          </cell>
          <cell r="CX348">
            <v>100</v>
          </cell>
          <cell r="CY348">
            <v>360</v>
          </cell>
          <cell r="CZ348">
            <v>300</v>
          </cell>
          <cell r="DA348">
            <v>340</v>
          </cell>
          <cell r="DB348">
            <v>300</v>
          </cell>
          <cell r="DC348">
            <v>360</v>
          </cell>
          <cell r="DD348">
            <v>180</v>
          </cell>
          <cell r="DE348">
            <v>360</v>
          </cell>
          <cell r="DF348">
            <v>60</v>
          </cell>
          <cell r="DG348" t="str">
            <v>ACTIVO</v>
          </cell>
          <cell r="DH348" t="str">
            <v>B</v>
          </cell>
          <cell r="DI348"/>
          <cell r="DJ348">
            <v>289.60000000000002</v>
          </cell>
          <cell r="DK348">
            <v>48.266666666666673</v>
          </cell>
          <cell r="DL348">
            <v>82.025930446428504</v>
          </cell>
          <cell r="DM348">
            <v>1380</v>
          </cell>
          <cell r="DN348">
            <v>3067740</v>
          </cell>
          <cell r="DO348">
            <v>4.7651933701657452</v>
          </cell>
          <cell r="DP348" t="str">
            <v>OK</v>
          </cell>
          <cell r="DQ348">
            <v>193.06666666666669</v>
          </cell>
        </row>
        <row r="349">
          <cell r="B349">
            <v>100207</v>
          </cell>
          <cell r="C349" t="str">
            <v>MIX BIZCOCHO BLANCO SAN CRISTOBAL</v>
          </cell>
          <cell r="D349">
            <v>11898</v>
          </cell>
          <cell r="E349">
            <v>11682</v>
          </cell>
          <cell r="F349">
            <v>11232</v>
          </cell>
          <cell r="G349">
            <v>13626</v>
          </cell>
          <cell r="H349">
            <v>13662</v>
          </cell>
          <cell r="I349">
            <v>16236</v>
          </cell>
          <cell r="J349">
            <v>10602</v>
          </cell>
          <cell r="K349">
            <v>13392</v>
          </cell>
          <cell r="L349">
            <v>13032</v>
          </cell>
          <cell r="M349">
            <v>13770</v>
          </cell>
          <cell r="N349">
            <v>12366</v>
          </cell>
          <cell r="O349">
            <v>9450</v>
          </cell>
          <cell r="P349">
            <v>11502</v>
          </cell>
          <cell r="Q349">
            <v>12006</v>
          </cell>
          <cell r="R349">
            <v>11520</v>
          </cell>
          <cell r="S349">
            <v>10656</v>
          </cell>
          <cell r="T349">
            <v>14400</v>
          </cell>
          <cell r="U349">
            <v>13644</v>
          </cell>
          <cell r="V349">
            <v>18126</v>
          </cell>
          <cell r="W349">
            <v>9756</v>
          </cell>
          <cell r="X349">
            <v>10782</v>
          </cell>
          <cell r="Y349">
            <v>14634</v>
          </cell>
          <cell r="Z349">
            <v>9288</v>
          </cell>
          <cell r="AA349">
            <v>11736</v>
          </cell>
          <cell r="AB349">
            <v>16434</v>
          </cell>
          <cell r="AC349">
            <v>8190</v>
          </cell>
          <cell r="AD349">
            <v>3186</v>
          </cell>
          <cell r="AE349">
            <v>2898</v>
          </cell>
          <cell r="AF349">
            <v>12510</v>
          </cell>
          <cell r="AG349">
            <v>6444</v>
          </cell>
          <cell r="AH349">
            <v>8406</v>
          </cell>
          <cell r="AI349">
            <v>9072</v>
          </cell>
          <cell r="AJ349">
            <v>13554</v>
          </cell>
          <cell r="AK349">
            <v>11232</v>
          </cell>
          <cell r="AL349">
            <v>9594</v>
          </cell>
          <cell r="AM349">
            <v>7470</v>
          </cell>
          <cell r="AN349">
            <v>9468</v>
          </cell>
          <cell r="AO349">
            <v>11772</v>
          </cell>
          <cell r="AP349">
            <v>8000</v>
          </cell>
          <cell r="AQ349">
            <v>12812</v>
          </cell>
          <cell r="AR349">
            <v>11106</v>
          </cell>
          <cell r="AS349">
            <v>12799</v>
          </cell>
          <cell r="AT349">
            <v>12816</v>
          </cell>
          <cell r="AU349">
            <v>11124</v>
          </cell>
          <cell r="AV349">
            <v>15480</v>
          </cell>
          <cell r="AW349">
            <v>14130</v>
          </cell>
          <cell r="AX349">
            <v>13554</v>
          </cell>
          <cell r="AY349">
            <v>13590</v>
          </cell>
          <cell r="AZ349">
            <v>14454</v>
          </cell>
          <cell r="BA349">
            <v>12096</v>
          </cell>
          <cell r="BB349">
            <v>18072</v>
          </cell>
          <cell r="BC349">
            <v>12906</v>
          </cell>
          <cell r="BD349">
            <v>10080</v>
          </cell>
          <cell r="BE349">
            <v>11790</v>
          </cell>
          <cell r="BF349">
            <v>14256</v>
          </cell>
          <cell r="BG349">
            <v>11916</v>
          </cell>
          <cell r="BH349">
            <v>14274</v>
          </cell>
          <cell r="BI349">
            <v>11376</v>
          </cell>
          <cell r="BJ349">
            <v>13572</v>
          </cell>
          <cell r="BK349">
            <v>12420</v>
          </cell>
          <cell r="BL349">
            <v>10782</v>
          </cell>
          <cell r="BM349">
            <v>13086</v>
          </cell>
          <cell r="BN349">
            <v>12780</v>
          </cell>
          <cell r="BO349">
            <v>13320</v>
          </cell>
          <cell r="BP349">
            <v>3834</v>
          </cell>
          <cell r="BQ349">
            <v>11323</v>
          </cell>
          <cell r="BR349">
            <v>10332</v>
          </cell>
          <cell r="BS349">
            <v>10314</v>
          </cell>
          <cell r="BT349">
            <v>10266</v>
          </cell>
          <cell r="BU349">
            <v>7038</v>
          </cell>
          <cell r="BV349">
            <v>7488</v>
          </cell>
          <cell r="BW349">
            <v>9432</v>
          </cell>
          <cell r="BX349">
            <v>7866</v>
          </cell>
          <cell r="BY349">
            <v>8118</v>
          </cell>
          <cell r="BZ349">
            <v>8442</v>
          </cell>
          <cell r="CA349">
            <v>9072</v>
          </cell>
          <cell r="CB349">
            <v>8658</v>
          </cell>
          <cell r="CC349">
            <v>11790</v>
          </cell>
          <cell r="CD349">
            <v>6696</v>
          </cell>
          <cell r="CE349">
            <v>10656</v>
          </cell>
          <cell r="CF349">
            <v>1764</v>
          </cell>
          <cell r="CG349">
            <v>14760</v>
          </cell>
          <cell r="CH349">
            <v>6966</v>
          </cell>
          <cell r="CI349">
            <v>10080</v>
          </cell>
          <cell r="CJ349">
            <v>9270</v>
          </cell>
          <cell r="CK349">
            <v>10458</v>
          </cell>
          <cell r="CL349">
            <v>10422</v>
          </cell>
          <cell r="CM349">
            <v>7056</v>
          </cell>
          <cell r="CN349">
            <v>9958</v>
          </cell>
          <cell r="CO349">
            <v>11042</v>
          </cell>
          <cell r="CP349">
            <v>15444</v>
          </cell>
          <cell r="CQ349">
            <v>9144</v>
          </cell>
          <cell r="CR349">
            <v>7848</v>
          </cell>
          <cell r="CS349">
            <v>10044</v>
          </cell>
          <cell r="CT349">
            <v>9780</v>
          </cell>
          <cell r="CU349">
            <v>11496</v>
          </cell>
          <cell r="CV349">
            <v>14256</v>
          </cell>
          <cell r="CW349">
            <v>7506</v>
          </cell>
          <cell r="CX349">
            <v>10134</v>
          </cell>
          <cell r="CY349">
            <v>7344</v>
          </cell>
          <cell r="CZ349">
            <v>12348</v>
          </cell>
          <cell r="DA349">
            <v>10278</v>
          </cell>
          <cell r="DB349">
            <v>14130</v>
          </cell>
          <cell r="DC349">
            <v>12114</v>
          </cell>
          <cell r="DD349">
            <v>8712</v>
          </cell>
          <cell r="DE349">
            <v>13446</v>
          </cell>
          <cell r="DF349">
            <v>72</v>
          </cell>
          <cell r="DG349" t="str">
            <v>ACTIVO</v>
          </cell>
          <cell r="DH349" t="str">
            <v>A</v>
          </cell>
          <cell r="DI349"/>
          <cell r="DJ349">
            <v>10094.16</v>
          </cell>
          <cell r="DK349">
            <v>1682.36</v>
          </cell>
          <cell r="DL349">
            <v>2885.1739259061296</v>
          </cell>
          <cell r="DM349">
            <v>3114</v>
          </cell>
          <cell r="DN349">
            <v>4440564</v>
          </cell>
          <cell r="DO349">
            <v>0.30849520911101075</v>
          </cell>
          <cell r="DP349" t="str">
            <v>OK</v>
          </cell>
          <cell r="DQ349">
            <v>5047.08</v>
          </cell>
        </row>
        <row r="350">
          <cell r="B350">
            <v>100221</v>
          </cell>
          <cell r="C350" t="str">
            <v>MIX BIZCOCHO CHOCOLATE SAN CRISTOBAL</v>
          </cell>
          <cell r="D350">
            <v>14772</v>
          </cell>
          <cell r="E350">
            <v>12078</v>
          </cell>
          <cell r="F350">
            <v>9126</v>
          </cell>
          <cell r="G350">
            <v>12096</v>
          </cell>
          <cell r="H350">
            <v>16882</v>
          </cell>
          <cell r="I350">
            <v>9900</v>
          </cell>
          <cell r="J350">
            <v>14994</v>
          </cell>
          <cell r="K350">
            <v>7920</v>
          </cell>
          <cell r="L350">
            <v>15102</v>
          </cell>
          <cell r="M350">
            <v>11466</v>
          </cell>
          <cell r="N350">
            <v>12690</v>
          </cell>
          <cell r="O350">
            <v>5562</v>
          </cell>
          <cell r="P350">
            <v>7074</v>
          </cell>
          <cell r="Q350">
            <v>16758</v>
          </cell>
          <cell r="R350">
            <v>12474</v>
          </cell>
          <cell r="S350">
            <v>12708</v>
          </cell>
          <cell r="T350">
            <v>6786</v>
          </cell>
          <cell r="U350">
            <v>16218</v>
          </cell>
          <cell r="V350">
            <v>11358</v>
          </cell>
          <cell r="W350">
            <v>8208</v>
          </cell>
          <cell r="X350">
            <v>14562</v>
          </cell>
          <cell r="Y350">
            <v>16488</v>
          </cell>
          <cell r="Z350">
            <v>11214</v>
          </cell>
          <cell r="AA350">
            <v>7938</v>
          </cell>
          <cell r="AB350">
            <v>12186</v>
          </cell>
          <cell r="AC350">
            <v>4338</v>
          </cell>
          <cell r="AD350">
            <v>4896</v>
          </cell>
          <cell r="AE350">
            <v>1350</v>
          </cell>
          <cell r="AF350">
            <v>7994</v>
          </cell>
          <cell r="AG350">
            <v>9250</v>
          </cell>
          <cell r="AH350">
            <v>6084</v>
          </cell>
          <cell r="AI350">
            <v>10332</v>
          </cell>
          <cell r="AJ350">
            <v>11448</v>
          </cell>
          <cell r="AK350">
            <v>8550</v>
          </cell>
          <cell r="AL350">
            <v>11196</v>
          </cell>
          <cell r="AM350">
            <v>11916</v>
          </cell>
          <cell r="AN350">
            <v>9234</v>
          </cell>
          <cell r="AO350">
            <v>10044</v>
          </cell>
          <cell r="AP350">
            <v>8856</v>
          </cell>
          <cell r="AQ350">
            <v>12204</v>
          </cell>
          <cell r="AR350">
            <v>16452</v>
          </cell>
          <cell r="AS350">
            <v>15606</v>
          </cell>
          <cell r="AT350">
            <v>12816</v>
          </cell>
          <cell r="AU350">
            <v>9180</v>
          </cell>
          <cell r="AV350">
            <v>10692</v>
          </cell>
          <cell r="AW350">
            <v>7092</v>
          </cell>
          <cell r="AX350">
            <v>14202</v>
          </cell>
          <cell r="AY350">
            <v>10692</v>
          </cell>
          <cell r="AZ350">
            <v>13680</v>
          </cell>
          <cell r="BA350">
            <v>12690</v>
          </cell>
          <cell r="BB350">
            <v>16236</v>
          </cell>
          <cell r="BC350">
            <v>16164</v>
          </cell>
          <cell r="BD350">
            <v>14238</v>
          </cell>
          <cell r="BE350">
            <v>18708</v>
          </cell>
          <cell r="BF350">
            <v>5974</v>
          </cell>
          <cell r="BG350">
            <v>8748</v>
          </cell>
          <cell r="BH350">
            <v>13284</v>
          </cell>
          <cell r="BI350">
            <v>12510</v>
          </cell>
          <cell r="BJ350">
            <v>11124</v>
          </cell>
          <cell r="BK350">
            <v>11376</v>
          </cell>
          <cell r="BL350">
            <v>13518</v>
          </cell>
          <cell r="BM350">
            <v>13878</v>
          </cell>
          <cell r="BN350">
            <v>12150</v>
          </cell>
          <cell r="BO350">
            <v>14670</v>
          </cell>
          <cell r="BP350">
            <v>2214</v>
          </cell>
          <cell r="BQ350">
            <v>18882</v>
          </cell>
          <cell r="BR350">
            <v>7434</v>
          </cell>
          <cell r="BS350">
            <v>13806</v>
          </cell>
          <cell r="BT350">
            <v>6606</v>
          </cell>
          <cell r="BU350">
            <v>9000</v>
          </cell>
          <cell r="BV350">
            <v>4140</v>
          </cell>
          <cell r="BW350">
            <v>11214</v>
          </cell>
          <cell r="BX350">
            <v>2664</v>
          </cell>
          <cell r="BY350">
            <v>5454</v>
          </cell>
          <cell r="BZ350">
            <v>7084</v>
          </cell>
          <cell r="CA350">
            <v>4626</v>
          </cell>
          <cell r="CB350">
            <v>6948</v>
          </cell>
          <cell r="CC350">
            <v>11718</v>
          </cell>
          <cell r="CD350">
            <v>7848</v>
          </cell>
          <cell r="CE350">
            <v>3834</v>
          </cell>
          <cell r="CF350">
            <v>5490</v>
          </cell>
          <cell r="CG350">
            <v>5274</v>
          </cell>
          <cell r="CH350">
            <v>9522</v>
          </cell>
          <cell r="CI350">
            <v>10314</v>
          </cell>
          <cell r="CJ350">
            <v>6642</v>
          </cell>
          <cell r="CK350">
            <v>11610</v>
          </cell>
          <cell r="CL350">
            <v>9972</v>
          </cell>
          <cell r="CM350">
            <v>12204</v>
          </cell>
          <cell r="CN350">
            <v>6462</v>
          </cell>
          <cell r="CO350">
            <v>5850</v>
          </cell>
          <cell r="CP350">
            <v>5130</v>
          </cell>
          <cell r="CQ350">
            <v>8136</v>
          </cell>
          <cell r="CR350">
            <v>15534</v>
          </cell>
          <cell r="CS350">
            <v>5184</v>
          </cell>
          <cell r="CT350">
            <v>13212</v>
          </cell>
          <cell r="CU350">
            <v>1422</v>
          </cell>
          <cell r="CV350">
            <v>612</v>
          </cell>
          <cell r="CW350">
            <v>810</v>
          </cell>
          <cell r="CX350">
            <v>612</v>
          </cell>
          <cell r="CY350">
            <v>1188</v>
          </cell>
          <cell r="CZ350">
            <v>936</v>
          </cell>
          <cell r="DA350">
            <v>1170</v>
          </cell>
          <cell r="DB350">
            <v>882</v>
          </cell>
          <cell r="DC350">
            <v>1476</v>
          </cell>
          <cell r="DD350">
            <v>1206</v>
          </cell>
          <cell r="DE350">
            <v>1575</v>
          </cell>
          <cell r="DF350"/>
          <cell r="DG350" t="str">
            <v>ACTIVO</v>
          </cell>
          <cell r="DH350" t="str">
            <v>A</v>
          </cell>
          <cell r="DI350"/>
          <cell r="DJ350">
            <v>5634</v>
          </cell>
          <cell r="DK350">
            <v>939</v>
          </cell>
          <cell r="DL350">
            <v>4096.9034467460124</v>
          </cell>
          <cell r="DM350">
            <v>2376</v>
          </cell>
          <cell r="DN350">
            <v>3858624</v>
          </cell>
          <cell r="DO350">
            <v>0.4217252396166134</v>
          </cell>
          <cell r="DP350" t="str">
            <v>COMPRAR</v>
          </cell>
          <cell r="DQ350">
            <v>2817</v>
          </cell>
        </row>
        <row r="351">
          <cell r="B351">
            <v>402128</v>
          </cell>
          <cell r="C351" t="str">
            <v>MIX BIZCOCHO SIN AZUCAR PURATOS</v>
          </cell>
          <cell r="D351">
            <v>70</v>
          </cell>
          <cell r="E351">
            <v>50</v>
          </cell>
          <cell r="F351">
            <v>60</v>
          </cell>
          <cell r="G351">
            <v>40</v>
          </cell>
          <cell r="H351">
            <v>70</v>
          </cell>
          <cell r="I351">
            <v>60</v>
          </cell>
          <cell r="J351">
            <v>50</v>
          </cell>
          <cell r="K351">
            <v>85</v>
          </cell>
          <cell r="L351">
            <v>80</v>
          </cell>
          <cell r="M351">
            <v>50</v>
          </cell>
          <cell r="N351">
            <v>60</v>
          </cell>
          <cell r="O351">
            <v>20</v>
          </cell>
          <cell r="P351">
            <v>50</v>
          </cell>
          <cell r="Q351">
            <v>70</v>
          </cell>
          <cell r="R351">
            <v>70</v>
          </cell>
          <cell r="S351">
            <v>60</v>
          </cell>
          <cell r="T351">
            <v>60</v>
          </cell>
          <cell r="U351">
            <v>50</v>
          </cell>
          <cell r="V351">
            <v>60</v>
          </cell>
          <cell r="W351">
            <v>70</v>
          </cell>
          <cell r="X351">
            <v>50</v>
          </cell>
          <cell r="Y351">
            <v>70</v>
          </cell>
          <cell r="Z351">
            <v>40</v>
          </cell>
          <cell r="AA351">
            <v>50</v>
          </cell>
          <cell r="AB351">
            <v>50</v>
          </cell>
          <cell r="AC351">
            <v>70</v>
          </cell>
          <cell r="AD351">
            <v>20</v>
          </cell>
          <cell r="AE351">
            <v>20</v>
          </cell>
          <cell r="AF351">
            <v>60</v>
          </cell>
          <cell r="AG351">
            <v>50</v>
          </cell>
          <cell r="AH351">
            <v>50</v>
          </cell>
          <cell r="AI351">
            <v>50</v>
          </cell>
          <cell r="AJ351">
            <v>80</v>
          </cell>
          <cell r="AK351">
            <v>50</v>
          </cell>
          <cell r="AL351">
            <v>90</v>
          </cell>
          <cell r="AM351">
            <v>50</v>
          </cell>
          <cell r="AN351">
            <v>50</v>
          </cell>
          <cell r="AO351">
            <v>40</v>
          </cell>
          <cell r="AP351">
            <v>40</v>
          </cell>
          <cell r="AQ351">
            <v>100</v>
          </cell>
          <cell r="AR351">
            <v>30</v>
          </cell>
          <cell r="AS351">
            <v>60</v>
          </cell>
          <cell r="AT351">
            <v>70</v>
          </cell>
          <cell r="AU351">
            <v>40</v>
          </cell>
          <cell r="AV351">
            <v>70</v>
          </cell>
          <cell r="AW351">
            <v>50</v>
          </cell>
          <cell r="AX351">
            <v>80</v>
          </cell>
          <cell r="AY351">
            <v>80</v>
          </cell>
          <cell r="AZ351">
            <v>60</v>
          </cell>
          <cell r="BA351">
            <v>50</v>
          </cell>
          <cell r="BB351">
            <v>80</v>
          </cell>
          <cell r="BC351">
            <v>50</v>
          </cell>
          <cell r="BD351">
            <v>40</v>
          </cell>
          <cell r="BE351">
            <v>60</v>
          </cell>
          <cell r="BF351">
            <v>40</v>
          </cell>
          <cell r="BG351">
            <v>40</v>
          </cell>
          <cell r="BH351">
            <v>100</v>
          </cell>
          <cell r="BI351">
            <v>40</v>
          </cell>
          <cell r="BJ351">
            <v>60</v>
          </cell>
          <cell r="BK351">
            <v>50</v>
          </cell>
          <cell r="BL351">
            <v>90</v>
          </cell>
          <cell r="BM351">
            <v>50</v>
          </cell>
          <cell r="BN351">
            <v>50</v>
          </cell>
          <cell r="BO351">
            <v>40</v>
          </cell>
          <cell r="BP351">
            <v>40</v>
          </cell>
          <cell r="BQ351">
            <v>70</v>
          </cell>
          <cell r="BR351">
            <v>40</v>
          </cell>
          <cell r="BS351">
            <v>90</v>
          </cell>
          <cell r="BT351">
            <v>40</v>
          </cell>
          <cell r="BU351">
            <v>40</v>
          </cell>
          <cell r="BV351">
            <v>40</v>
          </cell>
          <cell r="BW351">
            <v>70</v>
          </cell>
          <cell r="BX351">
            <v>50</v>
          </cell>
          <cell r="BY351">
            <v>40</v>
          </cell>
          <cell r="BZ351">
            <v>80</v>
          </cell>
          <cell r="CA351">
            <v>60</v>
          </cell>
          <cell r="CB351">
            <v>70</v>
          </cell>
          <cell r="CC351">
            <v>50</v>
          </cell>
          <cell r="CD351">
            <v>40</v>
          </cell>
          <cell r="CE351">
            <v>20</v>
          </cell>
          <cell r="CF351">
            <v>20</v>
          </cell>
          <cell r="CG351">
            <v>60</v>
          </cell>
          <cell r="CH351">
            <v>70</v>
          </cell>
          <cell r="CI351">
            <v>80</v>
          </cell>
          <cell r="CJ351">
            <v>70</v>
          </cell>
          <cell r="CK351">
            <v>101</v>
          </cell>
          <cell r="CL351">
            <v>60</v>
          </cell>
          <cell r="CM351">
            <v>30</v>
          </cell>
          <cell r="CN351">
            <v>80</v>
          </cell>
          <cell r="CO351">
            <v>90</v>
          </cell>
          <cell r="CP351">
            <v>110</v>
          </cell>
          <cell r="CQ351">
            <v>60</v>
          </cell>
          <cell r="CR351">
            <v>100</v>
          </cell>
          <cell r="CS351">
            <v>60</v>
          </cell>
          <cell r="CT351">
            <v>100</v>
          </cell>
          <cell r="CU351">
            <v>80</v>
          </cell>
          <cell r="CV351">
            <v>120</v>
          </cell>
          <cell r="CW351">
            <v>80</v>
          </cell>
          <cell r="CX351">
            <v>60</v>
          </cell>
          <cell r="CY351">
            <v>50</v>
          </cell>
          <cell r="CZ351">
            <v>70</v>
          </cell>
          <cell r="DA351">
            <v>90</v>
          </cell>
          <cell r="DB351">
            <v>80</v>
          </cell>
          <cell r="DC351">
            <v>60</v>
          </cell>
          <cell r="DD351">
            <v>50</v>
          </cell>
          <cell r="DE351">
            <v>70</v>
          </cell>
          <cell r="DF351"/>
          <cell r="DG351" t="str">
            <v>ACTIVO</v>
          </cell>
          <cell r="DH351" t="str">
            <v>C</v>
          </cell>
          <cell r="DI351"/>
          <cell r="DJ351">
            <v>73.239999999999995</v>
          </cell>
          <cell r="DK351">
            <v>12.206666666666665</v>
          </cell>
          <cell r="DL351">
            <v>19.06561887093585</v>
          </cell>
          <cell r="DM351">
            <v>460</v>
          </cell>
          <cell r="DN351">
            <v>1288004.6000000001</v>
          </cell>
          <cell r="DO351">
            <v>6.2807209175314043</v>
          </cell>
          <cell r="DP351" t="str">
            <v>OK</v>
          </cell>
          <cell r="DQ351">
            <v>48.826666666666661</v>
          </cell>
        </row>
        <row r="352">
          <cell r="B352">
            <v>403331</v>
          </cell>
          <cell r="C352" t="str">
            <v>MIX BIZCOCHO CHOCOLATE PURATOS</v>
          </cell>
          <cell r="D352">
            <v>100</v>
          </cell>
          <cell r="E352"/>
          <cell r="F352"/>
          <cell r="G352"/>
          <cell r="H352">
            <v>736</v>
          </cell>
          <cell r="I352"/>
          <cell r="J352"/>
          <cell r="K352"/>
          <cell r="L352"/>
          <cell r="M352"/>
          <cell r="N352"/>
          <cell r="O352"/>
          <cell r="P352">
            <v>144</v>
          </cell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>
            <v>612</v>
          </cell>
          <cell r="BK352">
            <v>990</v>
          </cell>
          <cell r="BL352"/>
          <cell r="BM352"/>
          <cell r="BN352"/>
          <cell r="BO352"/>
          <cell r="BP352"/>
          <cell r="BQ352">
            <v>3996</v>
          </cell>
          <cell r="BR352"/>
          <cell r="BS352"/>
          <cell r="BT352"/>
          <cell r="BU352"/>
          <cell r="BV352"/>
          <cell r="BW352"/>
          <cell r="BX352"/>
          <cell r="BY352">
            <v>1012</v>
          </cell>
          <cell r="BZ352"/>
          <cell r="CA352"/>
          <cell r="CB352"/>
          <cell r="CC352"/>
          <cell r="CD352">
            <v>972</v>
          </cell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>
            <v>1260</v>
          </cell>
          <cell r="CQ352">
            <v>4014</v>
          </cell>
          <cell r="CR352"/>
          <cell r="CS352"/>
          <cell r="CT352"/>
          <cell r="CU352">
            <v>7866</v>
          </cell>
          <cell r="CV352">
            <v>8480</v>
          </cell>
          <cell r="CW352">
            <v>6612</v>
          </cell>
          <cell r="CX352">
            <v>2736</v>
          </cell>
          <cell r="CY352">
            <v>5778</v>
          </cell>
          <cell r="CZ352">
            <v>6498</v>
          </cell>
          <cell r="DA352">
            <v>13392</v>
          </cell>
          <cell r="DB352">
            <v>6624</v>
          </cell>
          <cell r="DC352">
            <v>8766</v>
          </cell>
          <cell r="DD352">
            <v>9792</v>
          </cell>
          <cell r="DE352">
            <v>5184</v>
          </cell>
          <cell r="DF352">
            <v>3888</v>
          </cell>
          <cell r="DG352" t="str">
            <v>ACTIVO</v>
          </cell>
          <cell r="DH352" t="str">
            <v>B</v>
          </cell>
          <cell r="DI352"/>
          <cell r="DJ352">
            <v>6818.166666666667</v>
          </cell>
          <cell r="DK352">
            <v>1136.3611111111111</v>
          </cell>
          <cell r="DL352">
            <v>1395.908592995974</v>
          </cell>
          <cell r="DM352">
            <v>4446</v>
          </cell>
          <cell r="DN352">
            <v>7113600</v>
          </cell>
          <cell r="DO352">
            <v>0.65208144906988674</v>
          </cell>
          <cell r="DP352" t="str">
            <v>OK</v>
          </cell>
          <cell r="DQ352">
            <v>4545.4444444444443</v>
          </cell>
        </row>
        <row r="353">
          <cell r="B353">
            <v>107301</v>
          </cell>
          <cell r="C353" t="str">
            <v>TEGRAL BROWNIE VEGGI PURATOS</v>
          </cell>
          <cell r="D353">
            <v>575</v>
          </cell>
          <cell r="E353">
            <v>540</v>
          </cell>
          <cell r="F353">
            <v>945</v>
          </cell>
          <cell r="G353">
            <v>345</v>
          </cell>
          <cell r="H353">
            <v>230</v>
          </cell>
          <cell r="I353">
            <v>1175</v>
          </cell>
          <cell r="J353">
            <v>115</v>
          </cell>
          <cell r="K353">
            <v>345</v>
          </cell>
          <cell r="L353">
            <v>690</v>
          </cell>
          <cell r="M353">
            <v>235</v>
          </cell>
          <cell r="N353">
            <v>345</v>
          </cell>
          <cell r="O353"/>
          <cell r="P353">
            <v>345</v>
          </cell>
          <cell r="Q353">
            <v>245</v>
          </cell>
          <cell r="R353">
            <v>345</v>
          </cell>
          <cell r="S353">
            <v>460</v>
          </cell>
          <cell r="T353">
            <v>475</v>
          </cell>
          <cell r="U353">
            <v>530</v>
          </cell>
          <cell r="V353">
            <v>345</v>
          </cell>
          <cell r="W353">
            <v>230</v>
          </cell>
          <cell r="X353">
            <v>460</v>
          </cell>
          <cell r="Y353">
            <v>230</v>
          </cell>
          <cell r="Z353"/>
          <cell r="AA353">
            <v>460</v>
          </cell>
          <cell r="AB353">
            <v>135</v>
          </cell>
          <cell r="AC353"/>
          <cell r="AD353"/>
          <cell r="AE353">
            <v>115</v>
          </cell>
          <cell r="AF353">
            <v>250</v>
          </cell>
          <cell r="AG353">
            <v>115</v>
          </cell>
          <cell r="AH353">
            <v>540</v>
          </cell>
          <cell r="AI353">
            <v>690</v>
          </cell>
          <cell r="AJ353">
            <v>350</v>
          </cell>
          <cell r="AK353">
            <v>595</v>
          </cell>
          <cell r="AL353">
            <v>350</v>
          </cell>
          <cell r="AM353">
            <v>240</v>
          </cell>
          <cell r="AN353">
            <v>700</v>
          </cell>
          <cell r="AO353">
            <v>155</v>
          </cell>
          <cell r="AP353"/>
          <cell r="AQ353">
            <v>790</v>
          </cell>
          <cell r="AR353">
            <v>575</v>
          </cell>
          <cell r="AS353">
            <v>460</v>
          </cell>
          <cell r="AT353">
            <v>470</v>
          </cell>
          <cell r="AU353">
            <v>490</v>
          </cell>
          <cell r="AV353">
            <v>690</v>
          </cell>
          <cell r="AW353">
            <v>240</v>
          </cell>
          <cell r="AX353">
            <v>470</v>
          </cell>
          <cell r="AY353"/>
          <cell r="AZ353">
            <v>230</v>
          </cell>
          <cell r="BA353">
            <v>115</v>
          </cell>
          <cell r="BB353">
            <v>345</v>
          </cell>
          <cell r="BC353">
            <v>300</v>
          </cell>
          <cell r="BD353">
            <v>345</v>
          </cell>
          <cell r="BE353">
            <v>585</v>
          </cell>
          <cell r="BF353">
            <v>160</v>
          </cell>
          <cell r="BG353">
            <v>350</v>
          </cell>
          <cell r="BH353">
            <v>610</v>
          </cell>
          <cell r="BI353">
            <v>115</v>
          </cell>
          <cell r="BJ353">
            <v>230</v>
          </cell>
          <cell r="BK353">
            <v>230</v>
          </cell>
          <cell r="BL353">
            <v>460</v>
          </cell>
          <cell r="BM353">
            <v>115</v>
          </cell>
          <cell r="BN353">
            <v>345</v>
          </cell>
          <cell r="BO353">
            <v>540</v>
          </cell>
          <cell r="BP353">
            <v>290</v>
          </cell>
          <cell r="BQ353">
            <v>155</v>
          </cell>
          <cell r="BR353">
            <v>400</v>
          </cell>
          <cell r="BS353">
            <v>590</v>
          </cell>
          <cell r="BT353">
            <v>230</v>
          </cell>
          <cell r="BU353">
            <v>115</v>
          </cell>
          <cell r="BV353"/>
          <cell r="BW353">
            <v>115</v>
          </cell>
          <cell r="BX353"/>
          <cell r="BY353">
            <v>305</v>
          </cell>
          <cell r="BZ353">
            <v>365</v>
          </cell>
          <cell r="CA353">
            <v>420</v>
          </cell>
          <cell r="CB353">
            <v>125</v>
          </cell>
          <cell r="CC353">
            <v>345</v>
          </cell>
          <cell r="CD353">
            <v>1065</v>
          </cell>
          <cell r="CE353">
            <v>350</v>
          </cell>
          <cell r="CF353"/>
          <cell r="CG353">
            <v>515</v>
          </cell>
          <cell r="CH353">
            <v>355</v>
          </cell>
          <cell r="CI353">
            <v>355</v>
          </cell>
          <cell r="CJ353">
            <v>435</v>
          </cell>
          <cell r="CK353">
            <v>675</v>
          </cell>
          <cell r="CL353">
            <v>600</v>
          </cell>
          <cell r="CM353"/>
          <cell r="CN353">
            <v>450</v>
          </cell>
          <cell r="CO353">
            <v>210</v>
          </cell>
          <cell r="CP353">
            <v>270</v>
          </cell>
          <cell r="CQ353">
            <v>140</v>
          </cell>
          <cell r="CR353">
            <v>355</v>
          </cell>
          <cell r="CS353">
            <v>140</v>
          </cell>
          <cell r="CT353">
            <v>485</v>
          </cell>
          <cell r="CU353">
            <v>405</v>
          </cell>
          <cell r="CV353">
            <v>795</v>
          </cell>
          <cell r="CW353"/>
          <cell r="CX353">
            <v>120</v>
          </cell>
          <cell r="CY353">
            <v>850</v>
          </cell>
          <cell r="CZ353">
            <v>355</v>
          </cell>
          <cell r="DA353">
            <v>300</v>
          </cell>
          <cell r="DB353">
            <v>510</v>
          </cell>
          <cell r="DC353">
            <v>240</v>
          </cell>
          <cell r="DD353"/>
          <cell r="DE353">
            <v>240</v>
          </cell>
          <cell r="DF353"/>
          <cell r="DG353" t="str">
            <v>ACTIVO</v>
          </cell>
          <cell r="DH353" t="str">
            <v>A</v>
          </cell>
          <cell r="DI353"/>
          <cell r="DJ353">
            <v>407.61904761904759</v>
          </cell>
          <cell r="DK353">
            <v>67.936507936507937</v>
          </cell>
          <cell r="DL353">
            <v>210.53483076675553</v>
          </cell>
          <cell r="DM353">
            <v>1175</v>
          </cell>
          <cell r="DN353">
            <v>3891600</v>
          </cell>
          <cell r="DO353">
            <v>2.8825934579439254</v>
          </cell>
          <cell r="DP353" t="str">
            <v>OK</v>
          </cell>
          <cell r="DQ353">
            <v>271.74603174603175</v>
          </cell>
        </row>
        <row r="354">
          <cell r="B354">
            <v>107311</v>
          </cell>
          <cell r="C354" t="str">
            <v>HARINA ORO 2</v>
          </cell>
          <cell r="D354">
            <v>1250</v>
          </cell>
          <cell r="E354">
            <v>2050</v>
          </cell>
          <cell r="F354">
            <v>950</v>
          </cell>
          <cell r="G354">
            <v>1150</v>
          </cell>
          <cell r="H354">
            <v>1535</v>
          </cell>
          <cell r="I354">
            <v>1425</v>
          </cell>
          <cell r="J354">
            <v>1300</v>
          </cell>
          <cell r="K354">
            <v>1615</v>
          </cell>
          <cell r="L354">
            <v>2900</v>
          </cell>
          <cell r="M354">
            <v>1750</v>
          </cell>
          <cell r="N354">
            <v>2200</v>
          </cell>
          <cell r="O354">
            <v>750</v>
          </cell>
          <cell r="P354">
            <v>1925</v>
          </cell>
          <cell r="Q354">
            <v>2300</v>
          </cell>
          <cell r="R354">
            <v>3175</v>
          </cell>
          <cell r="S354">
            <v>2700</v>
          </cell>
          <cell r="T354">
            <v>1550</v>
          </cell>
          <cell r="U354">
            <v>2325</v>
          </cell>
          <cell r="V354">
            <v>2500</v>
          </cell>
          <cell r="W354">
            <v>1225</v>
          </cell>
          <cell r="X354">
            <v>3075</v>
          </cell>
          <cell r="Y354">
            <v>3200</v>
          </cell>
          <cell r="Z354">
            <v>2010</v>
          </cell>
          <cell r="AA354">
            <v>275</v>
          </cell>
          <cell r="AB354">
            <v>1895</v>
          </cell>
          <cell r="AC354">
            <v>1000</v>
          </cell>
          <cell r="AD354">
            <v>700</v>
          </cell>
          <cell r="AE354">
            <v>775</v>
          </cell>
          <cell r="AF354">
            <v>2675</v>
          </cell>
          <cell r="AG354">
            <v>1775</v>
          </cell>
          <cell r="AH354">
            <v>1800</v>
          </cell>
          <cell r="AI354">
            <v>2025</v>
          </cell>
          <cell r="AJ354">
            <v>2275</v>
          </cell>
          <cell r="AK354">
            <v>1700</v>
          </cell>
          <cell r="AL354">
            <v>1625</v>
          </cell>
          <cell r="AM354">
            <v>1550</v>
          </cell>
          <cell r="AN354">
            <v>1440</v>
          </cell>
          <cell r="AO354">
            <v>1835</v>
          </cell>
          <cell r="AP354">
            <v>1800</v>
          </cell>
          <cell r="AQ354">
            <v>1750</v>
          </cell>
          <cell r="AR354">
            <v>2125</v>
          </cell>
          <cell r="AS354">
            <v>1525</v>
          </cell>
          <cell r="AT354">
            <v>2325</v>
          </cell>
          <cell r="AU354">
            <v>1550</v>
          </cell>
          <cell r="AV354">
            <v>1975</v>
          </cell>
          <cell r="AW354">
            <v>2000</v>
          </cell>
          <cell r="AX354">
            <v>2195</v>
          </cell>
          <cell r="AY354">
            <v>1530</v>
          </cell>
          <cell r="AZ354">
            <v>1725</v>
          </cell>
          <cell r="BA354">
            <v>2700</v>
          </cell>
          <cell r="BB354">
            <v>2050</v>
          </cell>
          <cell r="BC354">
            <v>2500</v>
          </cell>
          <cell r="BD354">
            <v>1675</v>
          </cell>
          <cell r="BE354">
            <v>1925</v>
          </cell>
          <cell r="BF354">
            <v>2300</v>
          </cell>
          <cell r="BG354">
            <v>2000</v>
          </cell>
          <cell r="BH354">
            <v>2725</v>
          </cell>
          <cell r="BI354">
            <v>2550</v>
          </cell>
          <cell r="BJ354">
            <v>2495</v>
          </cell>
          <cell r="BK354">
            <v>1775</v>
          </cell>
          <cell r="BL354">
            <v>2500</v>
          </cell>
          <cell r="BM354">
            <v>3050</v>
          </cell>
          <cell r="BN354">
            <v>2075</v>
          </cell>
          <cell r="BO354">
            <v>2050</v>
          </cell>
          <cell r="BP354">
            <v>1200</v>
          </cell>
          <cell r="BQ354">
            <v>2475</v>
          </cell>
          <cell r="BR354">
            <v>1725</v>
          </cell>
          <cell r="BS354">
            <v>2225</v>
          </cell>
          <cell r="BT354">
            <v>3775</v>
          </cell>
          <cell r="BU354">
            <v>2250</v>
          </cell>
          <cell r="BV354">
            <v>2250</v>
          </cell>
          <cell r="BW354">
            <v>1400</v>
          </cell>
          <cell r="BX354">
            <v>1225</v>
          </cell>
          <cell r="BY354">
            <v>1700</v>
          </cell>
          <cell r="BZ354">
            <v>1950</v>
          </cell>
          <cell r="CA354">
            <v>2075</v>
          </cell>
          <cell r="CB354">
            <v>625</v>
          </cell>
          <cell r="CC354">
            <v>1475</v>
          </cell>
          <cell r="CD354">
            <v>1100</v>
          </cell>
          <cell r="CE354">
            <v>725</v>
          </cell>
          <cell r="CF354">
            <v>425</v>
          </cell>
          <cell r="CG354">
            <v>1975</v>
          </cell>
          <cell r="CH354">
            <v>1550</v>
          </cell>
          <cell r="CI354">
            <v>2075</v>
          </cell>
          <cell r="CJ354">
            <v>1750</v>
          </cell>
          <cell r="CK354">
            <v>1700</v>
          </cell>
          <cell r="CL354">
            <v>1025</v>
          </cell>
          <cell r="CM354">
            <v>1300</v>
          </cell>
          <cell r="CN354">
            <v>2025</v>
          </cell>
          <cell r="CO354">
            <v>1325</v>
          </cell>
          <cell r="CP354">
            <v>1375</v>
          </cell>
          <cell r="CQ354">
            <v>1400</v>
          </cell>
          <cell r="CR354">
            <v>1850</v>
          </cell>
          <cell r="CS354">
            <v>1125</v>
          </cell>
          <cell r="CT354">
            <v>950</v>
          </cell>
          <cell r="CU354">
            <v>1875</v>
          </cell>
          <cell r="CV354">
            <v>2200</v>
          </cell>
          <cell r="CW354">
            <v>2145</v>
          </cell>
          <cell r="CX354">
            <v>1825</v>
          </cell>
          <cell r="CY354">
            <v>2550</v>
          </cell>
          <cell r="CZ354">
            <v>1400</v>
          </cell>
          <cell r="DA354">
            <v>1250</v>
          </cell>
          <cell r="DB354">
            <v>1975</v>
          </cell>
          <cell r="DC354">
            <v>1300</v>
          </cell>
          <cell r="DD354">
            <v>1850</v>
          </cell>
          <cell r="DE354">
            <v>1775</v>
          </cell>
          <cell r="DF354">
            <v>550</v>
          </cell>
          <cell r="DG354" t="str">
            <v>ACTIVO</v>
          </cell>
          <cell r="DH354" t="str">
            <v>A</v>
          </cell>
          <cell r="DI354"/>
          <cell r="DJ354">
            <v>1608.8</v>
          </cell>
          <cell r="DK354">
            <v>268.13333333333333</v>
          </cell>
          <cell r="DL354">
            <v>571.97199176305242</v>
          </cell>
          <cell r="DM354">
            <v>50</v>
          </cell>
          <cell r="DN354">
            <v>27000</v>
          </cell>
          <cell r="DO354">
            <v>3.1079065141720538E-2</v>
          </cell>
          <cell r="DP354" t="str">
            <v>OK</v>
          </cell>
          <cell r="DQ354">
            <v>804.4</v>
          </cell>
        </row>
        <row r="355">
          <cell r="B355">
            <v>100200</v>
          </cell>
          <cell r="C355" t="str">
            <v>MIX TARTALETA SAN CRISTOBAL</v>
          </cell>
          <cell r="D355"/>
          <cell r="E355"/>
          <cell r="F355"/>
          <cell r="G355"/>
          <cell r="H355"/>
          <cell r="I355">
            <v>100</v>
          </cell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>
            <v>36</v>
          </cell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>
            <v>72</v>
          </cell>
          <cell r="AM355">
            <v>1560</v>
          </cell>
          <cell r="AN355">
            <v>2460</v>
          </cell>
          <cell r="AO355">
            <v>2072</v>
          </cell>
          <cell r="AP355">
            <v>988</v>
          </cell>
          <cell r="AQ355">
            <v>3530</v>
          </cell>
          <cell r="AR355">
            <v>3180</v>
          </cell>
          <cell r="AS355">
            <v>4220</v>
          </cell>
          <cell r="AT355">
            <v>5360</v>
          </cell>
          <cell r="AU355">
            <v>3820</v>
          </cell>
          <cell r="AV355">
            <v>5780</v>
          </cell>
          <cell r="AW355">
            <v>6680</v>
          </cell>
          <cell r="AX355">
            <v>6860</v>
          </cell>
          <cell r="AY355">
            <v>3580</v>
          </cell>
          <cell r="AZ355">
            <v>3580</v>
          </cell>
          <cell r="BA355">
            <v>3100</v>
          </cell>
          <cell r="BB355">
            <v>3480</v>
          </cell>
          <cell r="BC355">
            <v>4260</v>
          </cell>
          <cell r="BD355">
            <v>4370</v>
          </cell>
          <cell r="BE355">
            <v>5520</v>
          </cell>
          <cell r="BF355">
            <v>4200</v>
          </cell>
          <cell r="BG355">
            <v>3600</v>
          </cell>
          <cell r="BH355">
            <v>4980</v>
          </cell>
          <cell r="BI355">
            <v>4620</v>
          </cell>
          <cell r="BJ355">
            <v>4600</v>
          </cell>
          <cell r="BK355">
            <v>3340</v>
          </cell>
          <cell r="BL355">
            <v>3540</v>
          </cell>
          <cell r="BM355">
            <v>2600</v>
          </cell>
          <cell r="BN355">
            <v>3340</v>
          </cell>
          <cell r="BO355">
            <v>3840</v>
          </cell>
          <cell r="BP355">
            <v>1700</v>
          </cell>
          <cell r="BQ355">
            <v>4560</v>
          </cell>
          <cell r="BR355">
            <v>2560</v>
          </cell>
          <cell r="BS355">
            <v>3960</v>
          </cell>
          <cell r="BT355">
            <v>2560</v>
          </cell>
          <cell r="BU355">
            <v>3080</v>
          </cell>
          <cell r="BV355">
            <v>2940</v>
          </cell>
          <cell r="BW355">
            <v>3120</v>
          </cell>
          <cell r="BX355">
            <v>3420</v>
          </cell>
          <cell r="BY355">
            <v>2360</v>
          </cell>
          <cell r="BZ355">
            <v>3900</v>
          </cell>
          <cell r="CA355">
            <v>3200</v>
          </cell>
          <cell r="CB355">
            <v>700</v>
          </cell>
          <cell r="CC355">
            <v>2440</v>
          </cell>
          <cell r="CD355">
            <v>1980</v>
          </cell>
          <cell r="CE355">
            <v>1440</v>
          </cell>
          <cell r="CF355">
            <v>1040</v>
          </cell>
          <cell r="CG355">
            <v>1960</v>
          </cell>
          <cell r="CH355">
            <v>4500</v>
          </cell>
          <cell r="CI355">
            <v>3060</v>
          </cell>
          <cell r="CJ355">
            <v>3280</v>
          </cell>
          <cell r="CK355">
            <v>5180</v>
          </cell>
          <cell r="CL355">
            <v>2780</v>
          </cell>
          <cell r="CM355">
            <v>4380</v>
          </cell>
          <cell r="CN355">
            <v>3720</v>
          </cell>
          <cell r="CO355">
            <v>3336</v>
          </cell>
          <cell r="CP355">
            <v>1780</v>
          </cell>
          <cell r="CQ355">
            <v>1560</v>
          </cell>
          <cell r="CR355">
            <v>1020</v>
          </cell>
          <cell r="CS355">
            <v>920</v>
          </cell>
          <cell r="CT355">
            <v>2600</v>
          </cell>
          <cell r="CU355">
            <v>3500</v>
          </cell>
          <cell r="CV355">
            <v>3940</v>
          </cell>
          <cell r="CW355">
            <v>2680</v>
          </cell>
          <cell r="CX355">
            <v>3180</v>
          </cell>
          <cell r="CY355">
            <v>1220</v>
          </cell>
          <cell r="CZ355">
            <v>840</v>
          </cell>
          <cell r="DA355">
            <v>2120</v>
          </cell>
          <cell r="DB355">
            <v>740</v>
          </cell>
          <cell r="DC355">
            <v>1100</v>
          </cell>
          <cell r="DD355">
            <v>2400</v>
          </cell>
          <cell r="DE355">
            <v>2360</v>
          </cell>
          <cell r="DF355">
            <v>40</v>
          </cell>
          <cell r="DG355" t="str">
            <v>ACTIVO</v>
          </cell>
          <cell r="DH355" t="str">
            <v>A</v>
          </cell>
          <cell r="DI355"/>
          <cell r="DJ355">
            <v>2513.44</v>
          </cell>
          <cell r="DK355">
            <v>418.90666666666669</v>
          </cell>
          <cell r="DL355">
            <v>1423.3190522991254</v>
          </cell>
          <cell r="DM355">
            <v>20</v>
          </cell>
          <cell r="DN355">
            <v>23600</v>
          </cell>
          <cell r="DO355">
            <v>7.9572219746642057E-3</v>
          </cell>
          <cell r="DP355" t="str">
            <v>OK</v>
          </cell>
          <cell r="DQ355">
            <v>1256.72</v>
          </cell>
        </row>
        <row r="356">
          <cell r="B356">
            <v>100236</v>
          </cell>
          <cell r="C356" t="str">
            <v>PREMEZCLA BIZCOCHO ROJO HI SAN CRISTOBAL</v>
          </cell>
          <cell r="D356">
            <v>160</v>
          </cell>
          <cell r="E356">
            <v>80</v>
          </cell>
          <cell r="F356"/>
          <cell r="G356">
            <v>80</v>
          </cell>
          <cell r="H356">
            <v>80</v>
          </cell>
          <cell r="I356">
            <v>160</v>
          </cell>
          <cell r="J356">
            <v>80</v>
          </cell>
          <cell r="K356"/>
          <cell r="L356">
            <v>80</v>
          </cell>
          <cell r="M356">
            <v>80</v>
          </cell>
          <cell r="N356"/>
          <cell r="O356">
            <v>80</v>
          </cell>
          <cell r="P356"/>
          <cell r="Q356">
            <v>160</v>
          </cell>
          <cell r="R356"/>
          <cell r="S356"/>
          <cell r="T356"/>
          <cell r="U356"/>
          <cell r="V356">
            <v>160</v>
          </cell>
          <cell r="W356"/>
          <cell r="X356"/>
          <cell r="Y356">
            <v>40</v>
          </cell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 t="str">
            <v>SIN USO</v>
          </cell>
          <cell r="DH356" t="str">
            <v/>
          </cell>
          <cell r="DI356"/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 t="str">
            <v>0</v>
          </cell>
          <cell r="DO356">
            <v>0</v>
          </cell>
          <cell r="DP356" t="str">
            <v>INACTIVO</v>
          </cell>
          <cell r="DQ356">
            <v>0</v>
          </cell>
        </row>
        <row r="357">
          <cell r="B357">
            <v>102237</v>
          </cell>
          <cell r="C357" t="str">
            <v>PREMEZCLA BIZCOCHO ANARANJADO HI SAN CRISTOBAL</v>
          </cell>
          <cell r="D357">
            <v>160</v>
          </cell>
          <cell r="E357">
            <v>80</v>
          </cell>
          <cell r="F357">
            <v>80</v>
          </cell>
          <cell r="G357">
            <v>100</v>
          </cell>
          <cell r="H357">
            <v>80</v>
          </cell>
          <cell r="I357">
            <v>160</v>
          </cell>
          <cell r="J357">
            <v>80</v>
          </cell>
          <cell r="K357"/>
          <cell r="L357">
            <v>80</v>
          </cell>
          <cell r="M357">
            <v>80</v>
          </cell>
          <cell r="N357"/>
          <cell r="O357">
            <v>80</v>
          </cell>
          <cell r="P357"/>
          <cell r="Q357">
            <v>160</v>
          </cell>
          <cell r="R357"/>
          <cell r="S357"/>
          <cell r="T357"/>
          <cell r="U357"/>
          <cell r="V357">
            <v>160</v>
          </cell>
          <cell r="W357"/>
          <cell r="X357"/>
          <cell r="Y357">
            <v>40</v>
          </cell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 t="str">
            <v>SIN USO</v>
          </cell>
          <cell r="DH357" t="str">
            <v/>
          </cell>
          <cell r="DI357"/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 t="str">
            <v>0</v>
          </cell>
          <cell r="DO357">
            <v>0</v>
          </cell>
          <cell r="DP357" t="str">
            <v>INACTIVO</v>
          </cell>
          <cell r="DQ357">
            <v>0</v>
          </cell>
        </row>
        <row r="358">
          <cell r="B358">
            <v>102238</v>
          </cell>
          <cell r="C358" t="str">
            <v>PREMEZCLA BIZCOCHO VERDE HI SAN CRISTOBAL</v>
          </cell>
          <cell r="D358">
            <v>160</v>
          </cell>
          <cell r="E358">
            <v>80</v>
          </cell>
          <cell r="F358"/>
          <cell r="G358">
            <v>80</v>
          </cell>
          <cell r="H358">
            <v>80</v>
          </cell>
          <cell r="I358">
            <v>80</v>
          </cell>
          <cell r="J358">
            <v>80</v>
          </cell>
          <cell r="K358"/>
          <cell r="L358">
            <v>80</v>
          </cell>
          <cell r="M358">
            <v>80</v>
          </cell>
          <cell r="N358"/>
          <cell r="O358"/>
          <cell r="P358">
            <v>160</v>
          </cell>
          <cell r="Q358">
            <v>80</v>
          </cell>
          <cell r="R358"/>
          <cell r="S358"/>
          <cell r="T358"/>
          <cell r="U358"/>
          <cell r="V358">
            <v>160</v>
          </cell>
          <cell r="W358"/>
          <cell r="X358"/>
          <cell r="Y358">
            <v>40</v>
          </cell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 t="str">
            <v>SIN USO</v>
          </cell>
          <cell r="DH358" t="str">
            <v/>
          </cell>
          <cell r="DI358"/>
          <cell r="DJ358">
            <v>0</v>
          </cell>
          <cell r="DK358">
            <v>0</v>
          </cell>
          <cell r="DL358">
            <v>0</v>
          </cell>
          <cell r="DM358">
            <v>0</v>
          </cell>
          <cell r="DN358" t="str">
            <v>0</v>
          </cell>
          <cell r="DO358">
            <v>0</v>
          </cell>
          <cell r="DP358" t="str">
            <v>INACTIVO</v>
          </cell>
          <cell r="DQ358">
            <v>0</v>
          </cell>
        </row>
        <row r="359">
          <cell r="B359">
            <v>102239</v>
          </cell>
          <cell r="C359" t="str">
            <v>PREMEZCLA BIZCOCHO MORADO HI SAN CRISTOBAL</v>
          </cell>
          <cell r="D359">
            <v>80</v>
          </cell>
          <cell r="E359">
            <v>80</v>
          </cell>
          <cell r="F359">
            <v>60</v>
          </cell>
          <cell r="G359">
            <v>80</v>
          </cell>
          <cell r="H359">
            <v>80</v>
          </cell>
          <cell r="I359"/>
          <cell r="J359">
            <v>160</v>
          </cell>
          <cell r="K359"/>
          <cell r="L359">
            <v>80</v>
          </cell>
          <cell r="M359"/>
          <cell r="N359">
            <v>80</v>
          </cell>
          <cell r="O359"/>
          <cell r="P359">
            <v>160</v>
          </cell>
          <cell r="Q359">
            <v>80</v>
          </cell>
          <cell r="R359">
            <v>80</v>
          </cell>
          <cell r="S359"/>
          <cell r="T359"/>
          <cell r="U359"/>
          <cell r="V359">
            <v>160</v>
          </cell>
          <cell r="W359"/>
          <cell r="X359"/>
          <cell r="Y359">
            <v>40</v>
          </cell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 t="str">
            <v>SIN USO</v>
          </cell>
          <cell r="DH359" t="str">
            <v/>
          </cell>
          <cell r="DI359"/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 t="str">
            <v>0</v>
          </cell>
          <cell r="DO359">
            <v>0</v>
          </cell>
          <cell r="DP359" t="str">
            <v>INACTIVO</v>
          </cell>
          <cell r="DQ359">
            <v>0</v>
          </cell>
        </row>
        <row r="360">
          <cell r="B360">
            <v>107416</v>
          </cell>
          <cell r="C360" t="str">
            <v>MIX QUEQUE SATÍN SAN CRISTÓBAL</v>
          </cell>
          <cell r="D360"/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>
            <v>220</v>
          </cell>
          <cell r="AM360">
            <v>80</v>
          </cell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 t="str">
            <v>SIN USO</v>
          </cell>
          <cell r="DH360" t="str">
            <v>C</v>
          </cell>
          <cell r="DI360"/>
          <cell r="DJ360">
            <v>0</v>
          </cell>
          <cell r="DK360">
            <v>0</v>
          </cell>
          <cell r="DL360">
            <v>98.994949366116657</v>
          </cell>
          <cell r="DM360">
            <v>0</v>
          </cell>
          <cell r="DN360" t="str">
            <v>0</v>
          </cell>
          <cell r="DO360">
            <v>0</v>
          </cell>
          <cell r="DP360" t="str">
            <v>INACTIVO</v>
          </cell>
          <cell r="DQ360">
            <v>0</v>
          </cell>
        </row>
        <row r="361">
          <cell r="B361">
            <v>100206</v>
          </cell>
          <cell r="C361" t="str">
            <v>HARINA 061 FINA HOJA SAN CRISTOBAL</v>
          </cell>
          <cell r="D361"/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>
            <v>475</v>
          </cell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 t="str">
            <v>SIN USO</v>
          </cell>
          <cell r="DH361" t="str">
            <v>C</v>
          </cell>
          <cell r="DI361"/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 t="str">
            <v>0</v>
          </cell>
          <cell r="DO361">
            <v>0</v>
          </cell>
          <cell r="DP361" t="str">
            <v>INACTIVO</v>
          </cell>
          <cell r="DQ361">
            <v>0</v>
          </cell>
        </row>
        <row r="362">
          <cell r="B362">
            <v>170177</v>
          </cell>
          <cell r="C362" t="str">
            <v>TEGRAL MUFFINS VEGANO PURATOS</v>
          </cell>
          <cell r="D362">
            <v>330</v>
          </cell>
          <cell r="E362">
            <v>225</v>
          </cell>
          <cell r="F362">
            <v>690</v>
          </cell>
          <cell r="G362">
            <v>210</v>
          </cell>
          <cell r="H362">
            <v>210</v>
          </cell>
          <cell r="I362"/>
          <cell r="J362"/>
          <cell r="K362"/>
          <cell r="L362">
            <v>730</v>
          </cell>
          <cell r="M362"/>
          <cell r="N362"/>
          <cell r="O362"/>
          <cell r="P362"/>
          <cell r="Q362"/>
          <cell r="R362">
            <v>105</v>
          </cell>
          <cell r="S362">
            <v>360</v>
          </cell>
          <cell r="T362">
            <v>240</v>
          </cell>
          <cell r="U362">
            <v>105</v>
          </cell>
          <cell r="V362"/>
          <cell r="W362">
            <v>120</v>
          </cell>
          <cell r="X362"/>
          <cell r="Y362"/>
          <cell r="Z362"/>
          <cell r="AA362">
            <v>190</v>
          </cell>
          <cell r="AB362">
            <v>105</v>
          </cell>
          <cell r="AC362"/>
          <cell r="AD362"/>
          <cell r="AE362">
            <v>210</v>
          </cell>
          <cell r="AF362">
            <v>180</v>
          </cell>
          <cell r="AG362">
            <v>280</v>
          </cell>
          <cell r="AH362">
            <v>210</v>
          </cell>
          <cell r="AI362">
            <v>415</v>
          </cell>
          <cell r="AJ362">
            <v>105</v>
          </cell>
          <cell r="AK362">
            <v>315</v>
          </cell>
          <cell r="AL362"/>
          <cell r="AM362"/>
          <cell r="AN362"/>
          <cell r="AO362">
            <v>210</v>
          </cell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>
            <v>20</v>
          </cell>
          <cell r="BI362"/>
          <cell r="BJ362"/>
          <cell r="BK362"/>
          <cell r="BL362"/>
          <cell r="BM362"/>
          <cell r="BN362"/>
          <cell r="BO362"/>
          <cell r="BP362"/>
          <cell r="BQ362">
            <v>120</v>
          </cell>
          <cell r="BR362">
            <v>10</v>
          </cell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>
            <v>20</v>
          </cell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 t="str">
            <v>SIN USO</v>
          </cell>
          <cell r="DH362" t="str">
            <v>C</v>
          </cell>
          <cell r="DI362"/>
          <cell r="DJ362">
            <v>0</v>
          </cell>
          <cell r="DK362">
            <v>0</v>
          </cell>
          <cell r="DL362">
            <v>126.17553309384175</v>
          </cell>
          <cell r="DM362">
            <v>0</v>
          </cell>
          <cell r="DN362" t="str">
            <v>0</v>
          </cell>
          <cell r="DO362">
            <v>0</v>
          </cell>
          <cell r="DP362" t="str">
            <v>INACTIVO</v>
          </cell>
          <cell r="DQ362">
            <v>0</v>
          </cell>
        </row>
        <row r="363">
          <cell r="B363">
            <v>405573</v>
          </cell>
          <cell r="C363" t="str">
            <v>T. BIZCOCHO CHOCOLATE PLUS PURATOS</v>
          </cell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>
            <v>900</v>
          </cell>
          <cell r="BJ363">
            <v>600</v>
          </cell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 t="str">
            <v>SIN USO</v>
          </cell>
          <cell r="DH363" t="str">
            <v>C</v>
          </cell>
          <cell r="DI363"/>
          <cell r="DJ363">
            <v>0</v>
          </cell>
          <cell r="DK363">
            <v>0</v>
          </cell>
          <cell r="DL363">
            <v>212.13203435596427</v>
          </cell>
          <cell r="DM363">
            <v>0</v>
          </cell>
          <cell r="DN363" t="str">
            <v>0</v>
          </cell>
          <cell r="DO363">
            <v>0</v>
          </cell>
          <cell r="DP363" t="str">
            <v>INACTIVO</v>
          </cell>
          <cell r="DQ363">
            <v>0</v>
          </cell>
        </row>
        <row r="364">
          <cell r="B364">
            <v>405564</v>
          </cell>
          <cell r="C364" t="str">
            <v>PM BASE TARTALETAS MARMIX</v>
          </cell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>
            <v>500</v>
          </cell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 t="str">
            <v>SIN USO</v>
          </cell>
          <cell r="DH364" t="str">
            <v>C</v>
          </cell>
          <cell r="DI364"/>
          <cell r="DJ364">
            <v>0</v>
          </cell>
          <cell r="DK364">
            <v>0</v>
          </cell>
          <cell r="DL364">
            <v>0</v>
          </cell>
          <cell r="DM364">
            <v>0</v>
          </cell>
          <cell r="DN364" t="str">
            <v>0</v>
          </cell>
          <cell r="DO364">
            <v>0</v>
          </cell>
          <cell r="DP364" t="str">
            <v>INACTIVO</v>
          </cell>
          <cell r="DQ364">
            <v>0</v>
          </cell>
        </row>
        <row r="365">
          <cell r="B365">
            <v>403330</v>
          </cell>
          <cell r="C365" t="str">
            <v>MIX BIZCOCHO BLANCO PURATOS</v>
          </cell>
          <cell r="D365">
            <v>20</v>
          </cell>
          <cell r="E365"/>
          <cell r="F365"/>
          <cell r="G365"/>
          <cell r="H365">
            <v>1584</v>
          </cell>
          <cell r="I365"/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>
            <v>972</v>
          </cell>
          <cell r="CY365"/>
          <cell r="CZ365"/>
          <cell r="DA365"/>
          <cell r="DB365"/>
          <cell r="DC365"/>
          <cell r="DD365"/>
          <cell r="DE365"/>
          <cell r="DF365"/>
          <cell r="DG365" t="str">
            <v>SIN USO</v>
          </cell>
          <cell r="DH365" t="str">
            <v/>
          </cell>
          <cell r="DI365"/>
          <cell r="DJ365">
            <v>972</v>
          </cell>
          <cell r="DK365">
            <v>162</v>
          </cell>
          <cell r="DL365">
            <v>0</v>
          </cell>
          <cell r="DM365">
            <v>0</v>
          </cell>
          <cell r="DN365" t="str">
            <v>0</v>
          </cell>
          <cell r="DO365">
            <v>0</v>
          </cell>
          <cell r="DP365" t="str">
            <v>INACTIVO</v>
          </cell>
          <cell r="DQ365">
            <v>648</v>
          </cell>
        </row>
        <row r="366">
          <cell r="B366">
            <v>402124</v>
          </cell>
          <cell r="C366" t="str">
            <v>MIX TARTALETA PURATOS</v>
          </cell>
          <cell r="D366">
            <v>3330</v>
          </cell>
          <cell r="E366">
            <v>3744</v>
          </cell>
          <cell r="F366">
            <v>5166</v>
          </cell>
          <cell r="G366">
            <v>3204</v>
          </cell>
          <cell r="H366">
            <v>4716</v>
          </cell>
          <cell r="I366">
            <v>5238</v>
          </cell>
          <cell r="J366">
            <v>5238</v>
          </cell>
          <cell r="K366">
            <v>3294</v>
          </cell>
          <cell r="L366">
            <v>2646</v>
          </cell>
          <cell r="M366">
            <v>4230</v>
          </cell>
          <cell r="N366">
            <v>4428</v>
          </cell>
          <cell r="O366">
            <v>2628</v>
          </cell>
          <cell r="P366">
            <v>3582</v>
          </cell>
          <cell r="Q366">
            <v>3852</v>
          </cell>
          <cell r="R366">
            <v>3132</v>
          </cell>
          <cell r="S366">
            <v>4536</v>
          </cell>
          <cell r="T366">
            <v>4338</v>
          </cell>
          <cell r="U366">
            <v>3960</v>
          </cell>
          <cell r="V366">
            <v>4086</v>
          </cell>
          <cell r="W366">
            <v>4122</v>
          </cell>
          <cell r="X366">
            <v>3690</v>
          </cell>
          <cell r="Y366">
            <v>5508</v>
          </cell>
          <cell r="Z366">
            <v>1818</v>
          </cell>
          <cell r="AA366">
            <v>3456</v>
          </cell>
          <cell r="AB366">
            <v>3150</v>
          </cell>
          <cell r="AC366">
            <v>1872</v>
          </cell>
          <cell r="AD366">
            <v>1152</v>
          </cell>
          <cell r="AE366">
            <v>324</v>
          </cell>
          <cell r="AF366">
            <v>4644</v>
          </cell>
          <cell r="AG366">
            <v>3870</v>
          </cell>
          <cell r="AH366">
            <v>4230</v>
          </cell>
          <cell r="AI366">
            <v>4806</v>
          </cell>
          <cell r="AJ366">
            <v>3726</v>
          </cell>
          <cell r="AK366">
            <v>2880</v>
          </cell>
          <cell r="AL366">
            <v>1998</v>
          </cell>
          <cell r="AM366">
            <v>2232</v>
          </cell>
          <cell r="AN366">
            <v>362</v>
          </cell>
          <cell r="AO366">
            <v>952</v>
          </cell>
          <cell r="AP366">
            <v>2574</v>
          </cell>
          <cell r="AQ366">
            <v>2522</v>
          </cell>
          <cell r="AR366">
            <v>1458</v>
          </cell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 t="str">
            <v>SIN USO</v>
          </cell>
          <cell r="DH366" t="str">
            <v>B</v>
          </cell>
          <cell r="DI366"/>
          <cell r="DJ366">
            <v>0</v>
          </cell>
          <cell r="DK366">
            <v>0</v>
          </cell>
          <cell r="DL366">
            <v>1503.1162721068943</v>
          </cell>
          <cell r="DM366">
            <v>0</v>
          </cell>
          <cell r="DN366" t="str">
            <v>0</v>
          </cell>
          <cell r="DO366">
            <v>0</v>
          </cell>
          <cell r="DP366" t="str">
            <v>INACTIVO</v>
          </cell>
          <cell r="DQ366">
            <v>0</v>
          </cell>
        </row>
        <row r="367">
          <cell r="B367">
            <v>405528</v>
          </cell>
          <cell r="C367" t="str">
            <v>MIX QUEQUE AMERICANO SAN CRISTOBAL</v>
          </cell>
          <cell r="D367"/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>
            <v>420</v>
          </cell>
          <cell r="BE367"/>
          <cell r="BF367"/>
          <cell r="BG367"/>
          <cell r="BH367"/>
          <cell r="BI367"/>
          <cell r="BJ367"/>
          <cell r="BK367"/>
          <cell r="BL367"/>
          <cell r="BM367">
            <v>1800</v>
          </cell>
          <cell r="BN367"/>
          <cell r="BO367"/>
          <cell r="BP367"/>
          <cell r="BQ367">
            <v>40</v>
          </cell>
          <cell r="BR367">
            <v>160</v>
          </cell>
          <cell r="BS367">
            <v>60</v>
          </cell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 t="str">
            <v>SIN USO</v>
          </cell>
          <cell r="DH367" t="str">
            <v>C</v>
          </cell>
          <cell r="DI367"/>
          <cell r="DJ367">
            <v>0</v>
          </cell>
          <cell r="DK367">
            <v>0</v>
          </cell>
          <cell r="DL367">
            <v>744.49983210206301</v>
          </cell>
          <cell r="DM367">
            <v>0</v>
          </cell>
          <cell r="DN367" t="str">
            <v>0</v>
          </cell>
          <cell r="DO367">
            <v>0</v>
          </cell>
          <cell r="DP367" t="str">
            <v>INACTIVO</v>
          </cell>
          <cell r="DQ367">
            <v>0</v>
          </cell>
        </row>
        <row r="368">
          <cell r="B368">
            <v>405563</v>
          </cell>
          <cell r="C368" t="str">
            <v>BIZCOCHO CHOCOLATE HI MARMIX</v>
          </cell>
          <cell r="D368"/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>
            <v>400</v>
          </cell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 t="str">
            <v>SIN USO</v>
          </cell>
          <cell r="DH368" t="str">
            <v>C</v>
          </cell>
          <cell r="DI368"/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 t="str">
            <v>0</v>
          </cell>
          <cell r="DO368">
            <v>0</v>
          </cell>
          <cell r="DP368" t="str">
            <v>INACTIVO</v>
          </cell>
          <cell r="DQ368">
            <v>0</v>
          </cell>
        </row>
        <row r="369">
          <cell r="B369">
            <v>405562</v>
          </cell>
          <cell r="C369" t="str">
            <v>MIX  BIZCOCHO 3 LECHES PURATOS</v>
          </cell>
          <cell r="D369"/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>
            <v>100</v>
          </cell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 t="str">
            <v>SIN USO</v>
          </cell>
          <cell r="DH369" t="str">
            <v>C</v>
          </cell>
          <cell r="DI369"/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 t="str">
            <v>0</v>
          </cell>
          <cell r="DO369">
            <v>0</v>
          </cell>
          <cell r="DP369" t="str">
            <v>INACTIVO</v>
          </cell>
          <cell r="DQ369">
            <v>0</v>
          </cell>
        </row>
        <row r="370">
          <cell r="B370">
            <v>170178</v>
          </cell>
          <cell r="C370" t="str">
            <v>TEGRAL BIZCOCHUELO PURATOS</v>
          </cell>
          <cell r="D370"/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>
            <v>160</v>
          </cell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 t="str">
            <v>SIN USO</v>
          </cell>
          <cell r="DH370" t="str">
            <v/>
          </cell>
          <cell r="DI370"/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 t="str">
            <v>0</v>
          </cell>
          <cell r="DO370">
            <v>0</v>
          </cell>
          <cell r="DP370" t="str">
            <v>INACTIVO</v>
          </cell>
          <cell r="DQ370">
            <v>0</v>
          </cell>
        </row>
        <row r="371">
          <cell r="B371"/>
          <cell r="C371"/>
          <cell r="D371">
            <v>33085</v>
          </cell>
          <cell r="E371">
            <v>30909</v>
          </cell>
          <cell r="F371">
            <v>28529</v>
          </cell>
          <cell r="G371">
            <v>31251</v>
          </cell>
          <cell r="H371">
            <v>40125</v>
          </cell>
          <cell r="I371">
            <v>34694</v>
          </cell>
          <cell r="J371">
            <v>32919</v>
          </cell>
          <cell r="K371">
            <v>26871</v>
          </cell>
          <cell r="L371">
            <v>35720</v>
          </cell>
          <cell r="M371">
            <v>31941</v>
          </cell>
          <cell r="N371">
            <v>32309</v>
          </cell>
          <cell r="O371">
            <v>18670</v>
          </cell>
          <cell r="P371">
            <v>25222</v>
          </cell>
          <cell r="Q371">
            <v>35871</v>
          </cell>
          <cell r="R371">
            <v>31101</v>
          </cell>
          <cell r="S371">
            <v>31600</v>
          </cell>
          <cell r="T371">
            <v>27989</v>
          </cell>
          <cell r="U371">
            <v>36972</v>
          </cell>
          <cell r="V371">
            <v>37475</v>
          </cell>
          <cell r="W371">
            <v>23851</v>
          </cell>
          <cell r="X371">
            <v>32875</v>
          </cell>
          <cell r="Y371">
            <v>40430</v>
          </cell>
          <cell r="Z371">
            <v>24450</v>
          </cell>
          <cell r="AA371">
            <v>24265</v>
          </cell>
          <cell r="AB371">
            <v>34255</v>
          </cell>
          <cell r="AC371">
            <v>15670</v>
          </cell>
          <cell r="AD371">
            <v>9994</v>
          </cell>
          <cell r="AE371">
            <v>5812</v>
          </cell>
          <cell r="AF371">
            <v>28454</v>
          </cell>
          <cell r="AG371">
            <v>21963</v>
          </cell>
          <cell r="AH371">
            <v>21440</v>
          </cell>
          <cell r="AI371">
            <v>27630</v>
          </cell>
          <cell r="AJ371">
            <v>31818</v>
          </cell>
          <cell r="AK371">
            <v>25522</v>
          </cell>
          <cell r="AL371">
            <v>25920</v>
          </cell>
          <cell r="AM371">
            <v>25238</v>
          </cell>
          <cell r="AN371">
            <v>23924</v>
          </cell>
          <cell r="AO371">
            <v>27340</v>
          </cell>
          <cell r="AP371">
            <v>22458</v>
          </cell>
          <cell r="AQ371">
            <v>33928</v>
          </cell>
          <cell r="AR371">
            <v>35046</v>
          </cell>
          <cell r="AS371">
            <v>35010</v>
          </cell>
          <cell r="AT371">
            <v>34177</v>
          </cell>
          <cell r="AU371">
            <v>26384</v>
          </cell>
          <cell r="AV371">
            <v>34967</v>
          </cell>
          <cell r="AW371">
            <v>30332</v>
          </cell>
          <cell r="AX371">
            <v>37661</v>
          </cell>
          <cell r="AY371">
            <v>29732</v>
          </cell>
          <cell r="AZ371">
            <v>33889</v>
          </cell>
          <cell r="BA371">
            <v>31031</v>
          </cell>
          <cell r="BB371">
            <v>40443</v>
          </cell>
          <cell r="BC371">
            <v>36440</v>
          </cell>
          <cell r="BD371">
            <v>31868</v>
          </cell>
          <cell r="BE371">
            <v>38828</v>
          </cell>
          <cell r="BF371">
            <v>27070</v>
          </cell>
          <cell r="BG371">
            <v>26914</v>
          </cell>
          <cell r="BH371">
            <v>36173</v>
          </cell>
          <cell r="BI371">
            <v>32271</v>
          </cell>
          <cell r="BJ371">
            <v>33493</v>
          </cell>
          <cell r="BK371">
            <v>30381</v>
          </cell>
          <cell r="BL371">
            <v>31170</v>
          </cell>
          <cell r="BM371">
            <v>34919</v>
          </cell>
          <cell r="BN371">
            <v>30920</v>
          </cell>
          <cell r="BO371">
            <v>34700</v>
          </cell>
          <cell r="BP371">
            <v>9358</v>
          </cell>
          <cell r="BQ371">
            <v>41861</v>
          </cell>
          <cell r="BR371">
            <v>22961</v>
          </cell>
          <cell r="BS371">
            <v>31385</v>
          </cell>
          <cell r="BT371">
            <v>23657</v>
          </cell>
          <cell r="BU371">
            <v>22183</v>
          </cell>
          <cell r="BV371">
            <v>17018</v>
          </cell>
          <cell r="BW371">
            <v>25531</v>
          </cell>
          <cell r="BX371">
            <v>15425</v>
          </cell>
          <cell r="BY371">
            <v>19209</v>
          </cell>
          <cell r="BZ371">
            <v>22101</v>
          </cell>
          <cell r="CA371">
            <v>19813</v>
          </cell>
          <cell r="CB371">
            <v>17326</v>
          </cell>
          <cell r="CC371">
            <v>28038</v>
          </cell>
          <cell r="CD371">
            <v>20241</v>
          </cell>
          <cell r="CE371">
            <v>17085</v>
          </cell>
          <cell r="CF371">
            <v>8819</v>
          </cell>
          <cell r="CG371">
            <v>24664</v>
          </cell>
          <cell r="CH371">
            <v>23243</v>
          </cell>
          <cell r="CI371">
            <v>26204</v>
          </cell>
          <cell r="CJ371">
            <v>21627</v>
          </cell>
          <cell r="CK371">
            <v>30084</v>
          </cell>
          <cell r="CL371">
            <v>25039</v>
          </cell>
          <cell r="CM371">
            <v>25110</v>
          </cell>
          <cell r="CN371">
            <v>23095</v>
          </cell>
          <cell r="CO371">
            <v>22153</v>
          </cell>
          <cell r="CP371">
            <v>25709</v>
          </cell>
          <cell r="CQ371">
            <v>24874</v>
          </cell>
          <cell r="CR371">
            <v>27007</v>
          </cell>
          <cell r="CS371">
            <v>17673</v>
          </cell>
          <cell r="CT371">
            <v>27527</v>
          </cell>
          <cell r="CU371">
            <v>26984</v>
          </cell>
          <cell r="CV371">
            <v>30783</v>
          </cell>
          <cell r="CW371">
            <v>20473</v>
          </cell>
          <cell r="CX371">
            <v>19739</v>
          </cell>
          <cell r="CY371">
            <v>19340</v>
          </cell>
          <cell r="CZ371">
            <v>22747</v>
          </cell>
          <cell r="DA371">
            <v>28940</v>
          </cell>
          <cell r="DB371">
            <v>25241</v>
          </cell>
          <cell r="DC371">
            <v>25416</v>
          </cell>
          <cell r="DD371">
            <v>24190</v>
          </cell>
          <cell r="DE371">
            <v>25010</v>
          </cell>
          <cell r="DF371">
            <v>4610</v>
          </cell>
          <cell r="DG371" t="str">
            <v>ACTIVO</v>
          </cell>
          <cell r="DH371" t="str">
            <v/>
          </cell>
          <cell r="DI371"/>
          <cell r="DJ371">
            <v>23867.24</v>
          </cell>
          <cell r="DK371">
            <v>3977.8733333333334</v>
          </cell>
          <cell r="DL371">
            <v>7590.2604315957706</v>
          </cell>
          <cell r="DM371">
            <v>0</v>
          </cell>
          <cell r="DN371" t="str">
            <v>0</v>
          </cell>
          <cell r="DO371">
            <v>0</v>
          </cell>
          <cell r="DP371" t="str">
            <v>INACTIVO</v>
          </cell>
          <cell r="DQ371">
            <v>0</v>
          </cell>
        </row>
        <row r="372">
          <cell r="B372">
            <v>107109</v>
          </cell>
          <cell r="C372" t="str">
            <v>MANJAR ARTESANAL DIWATTS</v>
          </cell>
          <cell r="D372">
            <v>565</v>
          </cell>
          <cell r="E372">
            <v>570</v>
          </cell>
          <cell r="F372">
            <v>510</v>
          </cell>
          <cell r="G372">
            <v>530</v>
          </cell>
          <cell r="H372">
            <v>5310</v>
          </cell>
          <cell r="I372">
            <v>760</v>
          </cell>
          <cell r="J372">
            <v>445</v>
          </cell>
          <cell r="K372">
            <v>600</v>
          </cell>
          <cell r="L372">
            <v>725</v>
          </cell>
          <cell r="M372">
            <v>765</v>
          </cell>
          <cell r="N372">
            <v>505</v>
          </cell>
          <cell r="O372">
            <v>50</v>
          </cell>
          <cell r="P372">
            <v>695</v>
          </cell>
          <cell r="Q372">
            <v>569</v>
          </cell>
          <cell r="R372">
            <v>640</v>
          </cell>
          <cell r="S372">
            <v>325</v>
          </cell>
          <cell r="T372">
            <v>923</v>
          </cell>
          <cell r="U372">
            <v>470</v>
          </cell>
          <cell r="V372">
            <v>495</v>
          </cell>
          <cell r="W372">
            <v>370</v>
          </cell>
          <cell r="X372">
            <v>315</v>
          </cell>
          <cell r="Y372">
            <v>215</v>
          </cell>
          <cell r="Z372">
            <v>390</v>
          </cell>
          <cell r="AA372">
            <v>330</v>
          </cell>
          <cell r="AB372">
            <v>400</v>
          </cell>
          <cell r="AC372">
            <v>320</v>
          </cell>
          <cell r="AD372">
            <v>105</v>
          </cell>
          <cell r="AE372">
            <v>185</v>
          </cell>
          <cell r="AF372">
            <v>430</v>
          </cell>
          <cell r="AG372">
            <v>362</v>
          </cell>
          <cell r="AH372">
            <v>300</v>
          </cell>
          <cell r="AI372">
            <v>580</v>
          </cell>
          <cell r="AJ372">
            <v>620</v>
          </cell>
          <cell r="AK372">
            <v>300</v>
          </cell>
          <cell r="AL372">
            <v>530</v>
          </cell>
          <cell r="AM372">
            <v>560</v>
          </cell>
          <cell r="AN372">
            <v>1027</v>
          </cell>
          <cell r="AO372">
            <v>775</v>
          </cell>
          <cell r="AP372">
            <v>820</v>
          </cell>
          <cell r="AQ372">
            <v>525</v>
          </cell>
          <cell r="AR372">
            <v>1135</v>
          </cell>
          <cell r="AS372">
            <v>915</v>
          </cell>
          <cell r="AT372">
            <v>4630</v>
          </cell>
          <cell r="AU372">
            <v>2575</v>
          </cell>
          <cell r="AV372">
            <v>1160</v>
          </cell>
          <cell r="AW372">
            <v>1085</v>
          </cell>
          <cell r="AX372">
            <v>950</v>
          </cell>
          <cell r="AY372">
            <v>745</v>
          </cell>
          <cell r="AZ372">
            <v>965</v>
          </cell>
          <cell r="BA372">
            <v>1640</v>
          </cell>
          <cell r="BB372">
            <v>495</v>
          </cell>
          <cell r="BC372">
            <v>1350</v>
          </cell>
          <cell r="BD372">
            <v>1340</v>
          </cell>
          <cell r="BE372">
            <v>4395</v>
          </cell>
          <cell r="BF372">
            <v>2390</v>
          </cell>
          <cell r="BG372">
            <v>1075</v>
          </cell>
          <cell r="BH372">
            <v>190</v>
          </cell>
          <cell r="BI372">
            <v>170</v>
          </cell>
          <cell r="BJ372">
            <v>1005</v>
          </cell>
          <cell r="BK372">
            <v>1670</v>
          </cell>
          <cell r="BL372">
            <v>2365</v>
          </cell>
          <cell r="BM372">
            <v>210</v>
          </cell>
          <cell r="BN372">
            <v>1320</v>
          </cell>
          <cell r="BO372">
            <v>170</v>
          </cell>
          <cell r="BP372">
            <v>20</v>
          </cell>
          <cell r="BQ372">
            <v>1496</v>
          </cell>
          <cell r="BR372">
            <v>155</v>
          </cell>
          <cell r="BS372">
            <v>485</v>
          </cell>
          <cell r="BT372">
            <v>155</v>
          </cell>
          <cell r="BU372">
            <v>240</v>
          </cell>
          <cell r="BV372">
            <v>315</v>
          </cell>
          <cell r="BW372">
            <v>210</v>
          </cell>
          <cell r="BX372">
            <v>125</v>
          </cell>
          <cell r="BY372">
            <v>160</v>
          </cell>
          <cell r="BZ372">
            <v>170</v>
          </cell>
          <cell r="CA372">
            <v>1170</v>
          </cell>
          <cell r="CB372">
            <v>130</v>
          </cell>
          <cell r="CC372">
            <v>230</v>
          </cell>
          <cell r="CD372">
            <v>815</v>
          </cell>
          <cell r="CE372">
            <v>60</v>
          </cell>
          <cell r="CF372">
            <v>50</v>
          </cell>
          <cell r="CG372">
            <v>155</v>
          </cell>
          <cell r="CH372">
            <v>290</v>
          </cell>
          <cell r="CI372">
            <v>220</v>
          </cell>
          <cell r="CJ372">
            <v>300</v>
          </cell>
          <cell r="CK372">
            <v>290</v>
          </cell>
          <cell r="CL372">
            <v>245</v>
          </cell>
          <cell r="CM372">
            <v>230</v>
          </cell>
          <cell r="CN372">
            <v>280</v>
          </cell>
          <cell r="CO372">
            <v>235</v>
          </cell>
          <cell r="CP372">
            <v>240</v>
          </cell>
          <cell r="CQ372">
            <v>750</v>
          </cell>
          <cell r="CR372">
            <v>1025</v>
          </cell>
          <cell r="CS372">
            <v>1045</v>
          </cell>
          <cell r="CT372">
            <v>4075</v>
          </cell>
          <cell r="CU372">
            <v>4175</v>
          </cell>
          <cell r="CV372">
            <v>3530</v>
          </cell>
          <cell r="CW372">
            <v>4893</v>
          </cell>
          <cell r="CX372">
            <v>1715</v>
          </cell>
          <cell r="CY372">
            <v>1965</v>
          </cell>
          <cell r="CZ372">
            <v>2217</v>
          </cell>
          <cell r="DA372">
            <v>2810</v>
          </cell>
          <cell r="DB372">
            <v>1460</v>
          </cell>
          <cell r="DC372">
            <v>2840</v>
          </cell>
          <cell r="DD372">
            <v>1860</v>
          </cell>
          <cell r="DE372">
            <v>1400</v>
          </cell>
          <cell r="DF372">
            <v>45</v>
          </cell>
          <cell r="DG372" t="str">
            <v>ACTIVO</v>
          </cell>
          <cell r="DH372" t="str">
            <v>A</v>
          </cell>
          <cell r="DI372"/>
          <cell r="DJ372">
            <v>1475.8</v>
          </cell>
          <cell r="DK372">
            <v>245.96666666666667</v>
          </cell>
          <cell r="DL372">
            <v>950.38921291396298</v>
          </cell>
          <cell r="DM372">
            <v>1700</v>
          </cell>
          <cell r="DN372">
            <v>3949100</v>
          </cell>
          <cell r="DO372">
            <v>1.1519176040113837</v>
          </cell>
          <cell r="DP372" t="str">
            <v>OK</v>
          </cell>
          <cell r="DQ372">
            <v>491.93333333333334</v>
          </cell>
        </row>
        <row r="373">
          <cell r="B373">
            <v>107147</v>
          </cell>
          <cell r="C373" t="str">
            <v>MANJAR GRADO 3 LANGER</v>
          </cell>
          <cell r="D373">
            <v>7584</v>
          </cell>
          <cell r="E373">
            <v>4596</v>
          </cell>
          <cell r="F373">
            <v>5856</v>
          </cell>
          <cell r="G373">
            <v>5484</v>
          </cell>
          <cell r="H373">
            <v>7224</v>
          </cell>
          <cell r="I373">
            <v>5532</v>
          </cell>
          <cell r="J373">
            <v>5808</v>
          </cell>
          <cell r="K373">
            <v>3624</v>
          </cell>
          <cell r="L373">
            <v>7926</v>
          </cell>
          <cell r="M373">
            <v>4764</v>
          </cell>
          <cell r="N373">
            <v>4536</v>
          </cell>
          <cell r="O373">
            <v>2556</v>
          </cell>
          <cell r="P373">
            <v>5304</v>
          </cell>
          <cell r="Q373">
            <v>6528</v>
          </cell>
          <cell r="R373">
            <v>4408</v>
          </cell>
          <cell r="S373">
            <v>5952</v>
          </cell>
          <cell r="T373">
            <v>4752</v>
          </cell>
          <cell r="U373">
            <v>5208</v>
          </cell>
          <cell r="V373">
            <v>7008</v>
          </cell>
          <cell r="W373">
            <v>3036</v>
          </cell>
          <cell r="X373">
            <v>4536</v>
          </cell>
          <cell r="Y373">
            <v>5544</v>
          </cell>
          <cell r="Z373">
            <v>3624</v>
          </cell>
          <cell r="AA373">
            <v>3240</v>
          </cell>
          <cell r="AB373">
            <v>5472</v>
          </cell>
          <cell r="AC373">
            <v>864</v>
          </cell>
          <cell r="AD373">
            <v>984</v>
          </cell>
          <cell r="AE373">
            <v>3144</v>
          </cell>
          <cell r="AF373">
            <v>2232</v>
          </cell>
          <cell r="AG373">
            <v>2736</v>
          </cell>
          <cell r="AH373">
            <v>2748</v>
          </cell>
          <cell r="AI373">
            <v>6456</v>
          </cell>
          <cell r="AJ373">
            <v>2700</v>
          </cell>
          <cell r="AK373">
            <v>3780</v>
          </cell>
          <cell r="AL373">
            <v>3852</v>
          </cell>
          <cell r="AM373">
            <v>3492</v>
          </cell>
          <cell r="AN373">
            <v>1776</v>
          </cell>
          <cell r="AO373">
            <v>3540</v>
          </cell>
          <cell r="AP373">
            <v>3000</v>
          </cell>
          <cell r="AQ373">
            <v>4176</v>
          </cell>
          <cell r="AR373">
            <v>5244</v>
          </cell>
          <cell r="AS373">
            <v>5484</v>
          </cell>
          <cell r="AT373">
            <v>4746</v>
          </cell>
          <cell r="AU373">
            <v>4512</v>
          </cell>
          <cell r="AV373">
            <v>3192</v>
          </cell>
          <cell r="AW373">
            <v>4056</v>
          </cell>
          <cell r="AX373">
            <v>3828</v>
          </cell>
          <cell r="AY373">
            <v>4638</v>
          </cell>
          <cell r="AZ373">
            <v>4596</v>
          </cell>
          <cell r="BA373">
            <v>5100</v>
          </cell>
          <cell r="BB373">
            <v>3120</v>
          </cell>
          <cell r="BC373">
            <v>5412</v>
          </cell>
          <cell r="BD373">
            <v>3609</v>
          </cell>
          <cell r="BE373">
            <v>3468</v>
          </cell>
          <cell r="BF373">
            <v>2220</v>
          </cell>
          <cell r="BG373">
            <v>3852</v>
          </cell>
          <cell r="BH373">
            <v>6852</v>
          </cell>
          <cell r="BI373">
            <v>5220</v>
          </cell>
          <cell r="BJ373">
            <v>5376</v>
          </cell>
          <cell r="BK373">
            <v>3612</v>
          </cell>
          <cell r="BL373">
            <v>5352</v>
          </cell>
          <cell r="BM373">
            <v>5868</v>
          </cell>
          <cell r="BN373">
            <v>2376</v>
          </cell>
          <cell r="BO373">
            <v>2880</v>
          </cell>
          <cell r="BP373">
            <v>1188</v>
          </cell>
          <cell r="BQ373">
            <v>4092</v>
          </cell>
          <cell r="BR373">
            <v>2376</v>
          </cell>
          <cell r="BS373">
            <v>3480</v>
          </cell>
          <cell r="BT373">
            <v>2808</v>
          </cell>
          <cell r="BU373">
            <v>2724</v>
          </cell>
          <cell r="BV373">
            <v>2328</v>
          </cell>
          <cell r="BW373">
            <v>1992</v>
          </cell>
          <cell r="BX373">
            <v>2472</v>
          </cell>
          <cell r="BY373">
            <v>3324</v>
          </cell>
          <cell r="BZ373">
            <v>3456</v>
          </cell>
          <cell r="CA373">
            <v>1704</v>
          </cell>
          <cell r="CB373">
            <v>2484</v>
          </cell>
          <cell r="CC373">
            <v>2760</v>
          </cell>
          <cell r="CD373">
            <v>1692</v>
          </cell>
          <cell r="CE373">
            <v>1357</v>
          </cell>
          <cell r="CF373">
            <v>516</v>
          </cell>
          <cell r="CG373">
            <v>2868</v>
          </cell>
          <cell r="CH373">
            <v>3324</v>
          </cell>
          <cell r="CI373">
            <v>2664</v>
          </cell>
          <cell r="CJ373">
            <v>2844</v>
          </cell>
          <cell r="CK373">
            <v>2184</v>
          </cell>
          <cell r="CL373">
            <v>3180</v>
          </cell>
          <cell r="CM373">
            <v>4200</v>
          </cell>
          <cell r="CN373">
            <v>3120</v>
          </cell>
          <cell r="CO373">
            <v>3012</v>
          </cell>
          <cell r="CP373">
            <v>2772</v>
          </cell>
          <cell r="CQ373">
            <v>2520</v>
          </cell>
          <cell r="CR373">
            <v>3672</v>
          </cell>
          <cell r="CS373">
            <v>2400</v>
          </cell>
          <cell r="CT373">
            <v>4320</v>
          </cell>
          <cell r="CU373">
            <v>2676</v>
          </cell>
          <cell r="CV373">
            <v>3084</v>
          </cell>
          <cell r="CW373">
            <v>1824</v>
          </cell>
          <cell r="CX373">
            <v>1584</v>
          </cell>
          <cell r="CY373">
            <v>1476</v>
          </cell>
          <cell r="CZ373">
            <v>1128</v>
          </cell>
          <cell r="DA373">
            <v>3084</v>
          </cell>
          <cell r="DB373">
            <v>2088</v>
          </cell>
          <cell r="DC373">
            <v>2280</v>
          </cell>
          <cell r="DD373">
            <v>2484</v>
          </cell>
          <cell r="DE373">
            <v>2196</v>
          </cell>
          <cell r="DF373">
            <v>1416</v>
          </cell>
          <cell r="DG373" t="str">
            <v>ACTIVO</v>
          </cell>
          <cell r="DH373" t="str">
            <v>A</v>
          </cell>
          <cell r="DI373"/>
          <cell r="DJ373">
            <v>2612.16</v>
          </cell>
          <cell r="DK373">
            <v>435.35999999999996</v>
          </cell>
          <cell r="DL373">
            <v>1319.4606000318026</v>
          </cell>
          <cell r="DM373">
            <v>144</v>
          </cell>
          <cell r="DN373">
            <v>220320</v>
          </cell>
          <cell r="DO373">
            <v>5.5126791620727679E-2</v>
          </cell>
          <cell r="DP373" t="str">
            <v>OK</v>
          </cell>
          <cell r="DQ373">
            <v>1306.08</v>
          </cell>
        </row>
        <row r="374">
          <cell r="B374">
            <v>107400</v>
          </cell>
          <cell r="C374" t="str">
            <v>MANJAR ARTESANAL DAILY</v>
          </cell>
          <cell r="D374"/>
          <cell r="E374"/>
          <cell r="F374"/>
          <cell r="G374"/>
          <cell r="H374"/>
          <cell r="I374">
            <v>100</v>
          </cell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 t="str">
            <v>SIN USO</v>
          </cell>
          <cell r="DH374" t="str">
            <v/>
          </cell>
          <cell r="DI374"/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 t="str">
            <v>0</v>
          </cell>
          <cell r="DO374">
            <v>0</v>
          </cell>
          <cell r="DP374" t="str">
            <v>INACTIVO</v>
          </cell>
          <cell r="DQ374">
            <v>0</v>
          </cell>
        </row>
        <row r="375">
          <cell r="B375"/>
          <cell r="C375"/>
          <cell r="D375">
            <v>8149</v>
          </cell>
          <cell r="E375">
            <v>5166</v>
          </cell>
          <cell r="F375">
            <v>6366</v>
          </cell>
          <cell r="G375">
            <v>6014</v>
          </cell>
          <cell r="H375">
            <v>12534</v>
          </cell>
          <cell r="I375">
            <v>6392</v>
          </cell>
          <cell r="J375">
            <v>6253</v>
          </cell>
          <cell r="K375">
            <v>4224</v>
          </cell>
          <cell r="L375">
            <v>8651</v>
          </cell>
          <cell r="M375">
            <v>5529</v>
          </cell>
          <cell r="N375">
            <v>5041</v>
          </cell>
          <cell r="O375">
            <v>2606</v>
          </cell>
          <cell r="P375">
            <v>5999</v>
          </cell>
          <cell r="Q375">
            <v>7097</v>
          </cell>
          <cell r="R375">
            <v>5048</v>
          </cell>
          <cell r="S375">
            <v>6277</v>
          </cell>
          <cell r="T375">
            <v>5675</v>
          </cell>
          <cell r="U375">
            <v>5678</v>
          </cell>
          <cell r="V375">
            <v>7503</v>
          </cell>
          <cell r="W375">
            <v>3406</v>
          </cell>
          <cell r="X375">
            <v>4851</v>
          </cell>
          <cell r="Y375">
            <v>5759</v>
          </cell>
          <cell r="Z375">
            <v>4014</v>
          </cell>
          <cell r="AA375">
            <v>3570</v>
          </cell>
          <cell r="AB375">
            <v>5872</v>
          </cell>
          <cell r="AC375">
            <v>1184</v>
          </cell>
          <cell r="AD375">
            <v>1089</v>
          </cell>
          <cell r="AE375">
            <v>3329</v>
          </cell>
          <cell r="AF375">
            <v>2662</v>
          </cell>
          <cell r="AG375">
            <v>3098</v>
          </cell>
          <cell r="AH375">
            <v>3048</v>
          </cell>
          <cell r="AI375">
            <v>7036</v>
          </cell>
          <cell r="AJ375">
            <v>3320</v>
          </cell>
          <cell r="AK375">
            <v>4080</v>
          </cell>
          <cell r="AL375">
            <v>4382</v>
          </cell>
          <cell r="AM375">
            <v>4052</v>
          </cell>
          <cell r="AN375">
            <v>2803</v>
          </cell>
          <cell r="AO375">
            <v>4315</v>
          </cell>
          <cell r="AP375">
            <v>3820</v>
          </cell>
          <cell r="AQ375">
            <v>4701</v>
          </cell>
          <cell r="AR375">
            <v>6379</v>
          </cell>
          <cell r="AS375">
            <v>6399</v>
          </cell>
          <cell r="AT375">
            <v>9376</v>
          </cell>
          <cell r="AU375">
            <v>7087</v>
          </cell>
          <cell r="AV375">
            <v>4352</v>
          </cell>
          <cell r="AW375">
            <v>5141</v>
          </cell>
          <cell r="AX375">
            <v>4778</v>
          </cell>
          <cell r="AY375">
            <v>5383</v>
          </cell>
          <cell r="AZ375">
            <v>5561</v>
          </cell>
          <cell r="BA375">
            <v>6740</v>
          </cell>
          <cell r="BB375">
            <v>3615</v>
          </cell>
          <cell r="BC375">
            <v>6762</v>
          </cell>
          <cell r="BD375">
            <v>4949</v>
          </cell>
          <cell r="BE375">
            <v>7863</v>
          </cell>
          <cell r="BF375">
            <v>4610</v>
          </cell>
          <cell r="BG375">
            <v>4927</v>
          </cell>
          <cell r="BH375">
            <v>7042</v>
          </cell>
          <cell r="BI375">
            <v>5390</v>
          </cell>
          <cell r="BJ375">
            <v>6381</v>
          </cell>
          <cell r="BK375">
            <v>5282</v>
          </cell>
          <cell r="BL375">
            <v>7717</v>
          </cell>
          <cell r="BM375">
            <v>6078</v>
          </cell>
          <cell r="BN375">
            <v>3696</v>
          </cell>
          <cell r="BO375">
            <v>3050</v>
          </cell>
          <cell r="BP375">
            <v>1208</v>
          </cell>
          <cell r="BQ375">
            <v>5588</v>
          </cell>
          <cell r="BR375">
            <v>2531</v>
          </cell>
          <cell r="BS375">
            <v>3965</v>
          </cell>
          <cell r="BT375">
            <v>2963</v>
          </cell>
          <cell r="BU375">
            <v>2964</v>
          </cell>
          <cell r="BV375">
            <v>2643</v>
          </cell>
          <cell r="BW375">
            <v>2202</v>
          </cell>
          <cell r="BX375">
            <v>2597</v>
          </cell>
          <cell r="BY375">
            <v>3484</v>
          </cell>
          <cell r="BZ375">
            <v>3626</v>
          </cell>
          <cell r="CA375">
            <v>2874</v>
          </cell>
          <cell r="CB375">
            <v>2614</v>
          </cell>
          <cell r="CC375">
            <v>2990</v>
          </cell>
          <cell r="CD375">
            <v>2507</v>
          </cell>
          <cell r="CE375">
            <v>1417</v>
          </cell>
          <cell r="CF375">
            <v>566</v>
          </cell>
          <cell r="CG375">
            <v>3023</v>
          </cell>
          <cell r="CH375">
            <v>3614</v>
          </cell>
          <cell r="CI375">
            <v>2884</v>
          </cell>
          <cell r="CJ375">
            <v>3144</v>
          </cell>
          <cell r="CK375">
            <v>2474</v>
          </cell>
          <cell r="CL375">
            <v>3425</v>
          </cell>
          <cell r="CM375">
            <v>4430</v>
          </cell>
          <cell r="CN375">
            <v>3400</v>
          </cell>
          <cell r="CO375">
            <v>3247</v>
          </cell>
          <cell r="CP375">
            <v>3012</v>
          </cell>
          <cell r="CQ375">
            <v>3270</v>
          </cell>
          <cell r="CR375">
            <v>4697</v>
          </cell>
          <cell r="CS375">
            <v>3445</v>
          </cell>
          <cell r="CT375">
            <v>8395</v>
          </cell>
          <cell r="CU375">
            <v>6851</v>
          </cell>
          <cell r="CV375">
            <v>6614</v>
          </cell>
          <cell r="CW375">
            <v>6717</v>
          </cell>
          <cell r="CX375">
            <v>3299</v>
          </cell>
          <cell r="CY375">
            <v>3441</v>
          </cell>
          <cell r="CZ375">
            <v>3345</v>
          </cell>
          <cell r="DA375">
            <v>5894</v>
          </cell>
          <cell r="DB375">
            <v>3548</v>
          </cell>
          <cell r="DC375">
            <v>5120</v>
          </cell>
          <cell r="DD375">
            <v>4344</v>
          </cell>
          <cell r="DE375">
            <v>3596</v>
          </cell>
          <cell r="DF375">
            <v>1461</v>
          </cell>
          <cell r="DG375" t="str">
            <v>ACTIVO</v>
          </cell>
          <cell r="DH375" t="str">
            <v/>
          </cell>
          <cell r="DI375"/>
          <cell r="DJ375">
            <v>4087.96</v>
          </cell>
          <cell r="DK375">
            <v>681.32666666666671</v>
          </cell>
          <cell r="DL375">
            <v>1791.6293921483509</v>
          </cell>
          <cell r="DM375">
            <v>0</v>
          </cell>
          <cell r="DN375" t="str">
            <v>0</v>
          </cell>
          <cell r="DO375">
            <v>0</v>
          </cell>
          <cell r="DP375" t="str">
            <v>INACTIVO</v>
          </cell>
          <cell r="DQ375">
            <v>0</v>
          </cell>
        </row>
        <row r="376">
          <cell r="B376">
            <v>405700</v>
          </cell>
          <cell r="C376" t="str">
            <v>MARGARINA MULTIPROPÓSITO HORNEO</v>
          </cell>
          <cell r="D376"/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>
            <v>890</v>
          </cell>
          <cell r="DE376">
            <v>185</v>
          </cell>
          <cell r="DF376"/>
          <cell r="DG376" t="str">
            <v>ACTIVO</v>
          </cell>
          <cell r="DH376" t="str">
            <v/>
          </cell>
          <cell r="DI376"/>
          <cell r="DJ376">
            <v>890</v>
          </cell>
          <cell r="DK376">
            <v>148.33333333333334</v>
          </cell>
          <cell r="DL376">
            <v>0</v>
          </cell>
          <cell r="DM376">
            <v>0</v>
          </cell>
          <cell r="DN376" t="str">
            <v>0</v>
          </cell>
          <cell r="DO376">
            <v>0</v>
          </cell>
          <cell r="DP376" t="str">
            <v>COMPRAR</v>
          </cell>
          <cell r="DQ376">
            <v>445</v>
          </cell>
        </row>
        <row r="377">
          <cell r="B377">
            <v>405745</v>
          </cell>
          <cell r="C377" t="str">
            <v>MANTEQUILLA SIN SAL ALCA</v>
          </cell>
          <cell r="D377"/>
          <cell r="E377"/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>
            <v>120</v>
          </cell>
          <cell r="CX377">
            <v>120</v>
          </cell>
          <cell r="CY377">
            <v>120</v>
          </cell>
          <cell r="CZ377">
            <v>90</v>
          </cell>
          <cell r="DA377">
            <v>135</v>
          </cell>
          <cell r="DB377">
            <v>200</v>
          </cell>
          <cell r="DC377">
            <v>115</v>
          </cell>
          <cell r="DD377">
            <v>165</v>
          </cell>
          <cell r="DE377">
            <v>115</v>
          </cell>
          <cell r="DF377">
            <v>25</v>
          </cell>
          <cell r="DG377" t="str">
            <v>ACTIVO</v>
          </cell>
          <cell r="DH377" t="str">
            <v/>
          </cell>
          <cell r="DI377"/>
          <cell r="DJ377">
            <v>133.125</v>
          </cell>
          <cell r="DK377">
            <v>22.1875</v>
          </cell>
          <cell r="DL377">
            <v>0</v>
          </cell>
          <cell r="DM377">
            <v>355</v>
          </cell>
          <cell r="DN377">
            <v>2201000</v>
          </cell>
          <cell r="DO377">
            <v>2.6666666666666665</v>
          </cell>
          <cell r="DP377" t="str">
            <v>OK</v>
          </cell>
          <cell r="DQ377">
            <v>66.5625</v>
          </cell>
        </row>
        <row r="378">
          <cell r="B378">
            <v>103006</v>
          </cell>
          <cell r="C378" t="str">
            <v>MARGARINA HORNITO DIWATTS</v>
          </cell>
          <cell r="D378">
            <v>760</v>
          </cell>
          <cell r="E378">
            <v>960</v>
          </cell>
          <cell r="F378">
            <v>840</v>
          </cell>
          <cell r="G378">
            <v>580</v>
          </cell>
          <cell r="H378">
            <v>1060</v>
          </cell>
          <cell r="I378">
            <v>720</v>
          </cell>
          <cell r="J378">
            <v>660</v>
          </cell>
          <cell r="K378">
            <v>860</v>
          </cell>
          <cell r="L378">
            <v>1720</v>
          </cell>
          <cell r="M378">
            <v>820</v>
          </cell>
          <cell r="N378">
            <v>1120</v>
          </cell>
          <cell r="O378">
            <v>400</v>
          </cell>
          <cell r="P378">
            <v>900.32</v>
          </cell>
          <cell r="Q378">
            <v>1140</v>
          </cell>
          <cell r="R378">
            <v>1880</v>
          </cell>
          <cell r="S378">
            <v>1180</v>
          </cell>
          <cell r="T378">
            <v>820</v>
          </cell>
          <cell r="U378">
            <v>1200</v>
          </cell>
          <cell r="V378">
            <v>1260</v>
          </cell>
          <cell r="W378">
            <v>640</v>
          </cell>
          <cell r="X378">
            <v>2100</v>
          </cell>
          <cell r="Y378">
            <v>1600</v>
          </cell>
          <cell r="Z378">
            <v>1120</v>
          </cell>
          <cell r="AA378">
            <v>40</v>
          </cell>
          <cell r="AB378">
            <v>980</v>
          </cell>
          <cell r="AC378">
            <v>460</v>
          </cell>
          <cell r="AD378">
            <v>320</v>
          </cell>
          <cell r="AE378">
            <v>420</v>
          </cell>
          <cell r="AF378">
            <v>1580</v>
          </cell>
          <cell r="AG378">
            <v>1000</v>
          </cell>
          <cell r="AH378">
            <v>840</v>
          </cell>
          <cell r="AI378">
            <v>1420</v>
          </cell>
          <cell r="AJ378">
            <v>680</v>
          </cell>
          <cell r="AK378">
            <v>920</v>
          </cell>
          <cell r="AL378">
            <v>860</v>
          </cell>
          <cell r="AM378">
            <v>760</v>
          </cell>
          <cell r="AN378">
            <v>720</v>
          </cell>
          <cell r="AO378">
            <v>1100</v>
          </cell>
          <cell r="AP378">
            <v>850</v>
          </cell>
          <cell r="AQ378">
            <v>750</v>
          </cell>
          <cell r="AR378">
            <v>1620</v>
          </cell>
          <cell r="AS378">
            <v>920</v>
          </cell>
          <cell r="AT378">
            <v>820</v>
          </cell>
          <cell r="AU378">
            <v>940</v>
          </cell>
          <cell r="AV378">
            <v>1100</v>
          </cell>
          <cell r="AW378">
            <v>1100</v>
          </cell>
          <cell r="AX378">
            <v>1120</v>
          </cell>
          <cell r="AY378">
            <v>740</v>
          </cell>
          <cell r="AZ378">
            <v>920</v>
          </cell>
          <cell r="BA378">
            <v>1680</v>
          </cell>
          <cell r="BB378">
            <v>980</v>
          </cell>
          <cell r="BC378">
            <v>1260</v>
          </cell>
          <cell r="BD378">
            <v>835</v>
          </cell>
          <cell r="BE378">
            <v>1020</v>
          </cell>
          <cell r="BF378">
            <v>1135</v>
          </cell>
          <cell r="BG378">
            <v>1025</v>
          </cell>
          <cell r="BH378">
            <v>1360</v>
          </cell>
          <cell r="BI378">
            <v>1310</v>
          </cell>
          <cell r="BJ378">
            <v>1320</v>
          </cell>
          <cell r="BK378">
            <v>920</v>
          </cell>
          <cell r="BL378">
            <v>1320</v>
          </cell>
          <cell r="BM378">
            <v>1625</v>
          </cell>
          <cell r="BN378">
            <v>1100</v>
          </cell>
          <cell r="BO378">
            <v>960</v>
          </cell>
          <cell r="BP378">
            <v>640</v>
          </cell>
          <cell r="BQ378">
            <v>1320</v>
          </cell>
          <cell r="BR378">
            <v>760</v>
          </cell>
          <cell r="BS378">
            <v>1485</v>
          </cell>
          <cell r="BT378">
            <v>1355</v>
          </cell>
          <cell r="BU378">
            <v>1040</v>
          </cell>
          <cell r="BV378">
            <v>980</v>
          </cell>
          <cell r="BW378">
            <v>600</v>
          </cell>
          <cell r="BX378">
            <v>580</v>
          </cell>
          <cell r="BY378">
            <v>740</v>
          </cell>
          <cell r="BZ378">
            <v>915</v>
          </cell>
          <cell r="CA378">
            <v>1060</v>
          </cell>
          <cell r="CB378">
            <v>200</v>
          </cell>
          <cell r="CC378">
            <v>620</v>
          </cell>
          <cell r="CD378">
            <v>460</v>
          </cell>
          <cell r="CE378">
            <v>320</v>
          </cell>
          <cell r="CF378">
            <v>180</v>
          </cell>
          <cell r="CG378">
            <v>860</v>
          </cell>
          <cell r="CH378">
            <v>760</v>
          </cell>
          <cell r="CI378">
            <v>900</v>
          </cell>
          <cell r="CJ378">
            <v>640</v>
          </cell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 t="str">
            <v>ACTIVO</v>
          </cell>
          <cell r="DH378" t="str">
            <v>A</v>
          </cell>
          <cell r="DI378"/>
          <cell r="DJ378">
            <v>668</v>
          </cell>
          <cell r="DK378">
            <v>111.33333333333333</v>
          </cell>
          <cell r="DL378">
            <v>333.29247149159443</v>
          </cell>
          <cell r="DM378">
            <v>0</v>
          </cell>
          <cell r="DN378" t="str">
            <v>0</v>
          </cell>
          <cell r="DO378">
            <v>0</v>
          </cell>
          <cell r="DP378" t="str">
            <v>COMPRAR</v>
          </cell>
          <cell r="DQ378">
            <v>222.66666666666666</v>
          </cell>
        </row>
        <row r="379">
          <cell r="B379">
            <v>103007</v>
          </cell>
          <cell r="C379" t="str">
            <v>MARGARINA HORNITO CERRILLOS</v>
          </cell>
          <cell r="D379">
            <v>835</v>
          </cell>
          <cell r="E379">
            <v>980</v>
          </cell>
          <cell r="F379">
            <v>1245</v>
          </cell>
          <cell r="G379">
            <v>1010</v>
          </cell>
          <cell r="H379">
            <v>1210</v>
          </cell>
          <cell r="I379">
            <v>1105</v>
          </cell>
          <cell r="J379">
            <v>1225</v>
          </cell>
          <cell r="K379">
            <v>835</v>
          </cell>
          <cell r="L379">
            <v>660</v>
          </cell>
          <cell r="M379">
            <v>1225</v>
          </cell>
          <cell r="N379">
            <v>1085</v>
          </cell>
          <cell r="O379">
            <v>605</v>
          </cell>
          <cell r="P379">
            <v>995</v>
          </cell>
          <cell r="Q379">
            <v>980</v>
          </cell>
          <cell r="R379">
            <v>785</v>
          </cell>
          <cell r="S379">
            <v>1640</v>
          </cell>
          <cell r="T379">
            <v>1005</v>
          </cell>
          <cell r="U379">
            <v>985</v>
          </cell>
          <cell r="V379">
            <v>1095</v>
          </cell>
          <cell r="W379">
            <v>885</v>
          </cell>
          <cell r="X379">
            <v>805</v>
          </cell>
          <cell r="Y379">
            <v>1365</v>
          </cell>
          <cell r="Z379">
            <v>415</v>
          </cell>
          <cell r="AA379">
            <v>880</v>
          </cell>
          <cell r="AB379">
            <v>770</v>
          </cell>
          <cell r="AC379">
            <v>475</v>
          </cell>
          <cell r="AD379">
            <v>295</v>
          </cell>
          <cell r="AE379">
            <v>75</v>
          </cell>
          <cell r="AF379">
            <v>1125</v>
          </cell>
          <cell r="AG379">
            <v>945</v>
          </cell>
          <cell r="AH379">
            <v>1095</v>
          </cell>
          <cell r="AI379">
            <v>1265</v>
          </cell>
          <cell r="AJ379">
            <v>865</v>
          </cell>
          <cell r="AK379">
            <v>620</v>
          </cell>
          <cell r="AL379">
            <v>505</v>
          </cell>
          <cell r="AM379">
            <v>705</v>
          </cell>
          <cell r="AN379">
            <v>815</v>
          </cell>
          <cell r="AO379">
            <v>775</v>
          </cell>
          <cell r="AP379">
            <v>715</v>
          </cell>
          <cell r="AQ379">
            <v>1120</v>
          </cell>
          <cell r="AR379">
            <v>1045</v>
          </cell>
          <cell r="AS379">
            <v>1025</v>
          </cell>
          <cell r="AT379">
            <v>1190</v>
          </cell>
          <cell r="AU379">
            <v>1070</v>
          </cell>
          <cell r="AV379">
            <v>1490</v>
          </cell>
          <cell r="AW379">
            <v>1185</v>
          </cell>
          <cell r="AX379">
            <v>1585</v>
          </cell>
          <cell r="AY379">
            <v>855</v>
          </cell>
          <cell r="AZ379">
            <v>965</v>
          </cell>
          <cell r="BA379">
            <v>925</v>
          </cell>
          <cell r="BB379">
            <v>825</v>
          </cell>
          <cell r="BC379">
            <v>1170</v>
          </cell>
          <cell r="BD379">
            <v>1085</v>
          </cell>
          <cell r="BE379">
            <v>1180</v>
          </cell>
          <cell r="BF379">
            <v>905</v>
          </cell>
          <cell r="BG379">
            <v>885</v>
          </cell>
          <cell r="BH379">
            <v>1215</v>
          </cell>
          <cell r="BI379">
            <v>1030</v>
          </cell>
          <cell r="BJ379">
            <v>1065</v>
          </cell>
          <cell r="BK379">
            <v>770</v>
          </cell>
          <cell r="BL379">
            <v>835</v>
          </cell>
          <cell r="BM379">
            <v>605</v>
          </cell>
          <cell r="BN379">
            <v>910</v>
          </cell>
          <cell r="BO379">
            <v>960</v>
          </cell>
          <cell r="BP379">
            <v>415</v>
          </cell>
          <cell r="BQ379">
            <v>1115</v>
          </cell>
          <cell r="BR379">
            <v>680</v>
          </cell>
          <cell r="BS379">
            <v>810</v>
          </cell>
          <cell r="BT379">
            <v>525</v>
          </cell>
          <cell r="BU379">
            <v>875</v>
          </cell>
          <cell r="BV379">
            <v>715</v>
          </cell>
          <cell r="BW379">
            <v>830</v>
          </cell>
          <cell r="BX379">
            <v>955</v>
          </cell>
          <cell r="BY379">
            <v>585</v>
          </cell>
          <cell r="BZ379">
            <v>945</v>
          </cell>
          <cell r="CA379">
            <v>790</v>
          </cell>
          <cell r="CB379">
            <v>195</v>
          </cell>
          <cell r="CC379">
            <v>635</v>
          </cell>
          <cell r="CD379">
            <v>495</v>
          </cell>
          <cell r="CE379">
            <v>385</v>
          </cell>
          <cell r="CF379">
            <v>270</v>
          </cell>
          <cell r="CG379">
            <v>600</v>
          </cell>
          <cell r="CH379">
            <v>1157</v>
          </cell>
          <cell r="CI379">
            <v>905</v>
          </cell>
          <cell r="CJ379">
            <v>940</v>
          </cell>
          <cell r="CK379">
            <v>2140</v>
          </cell>
          <cell r="CL379">
            <v>1190</v>
          </cell>
          <cell r="CM379">
            <v>1690</v>
          </cell>
          <cell r="CN379">
            <v>1865</v>
          </cell>
          <cell r="CO379">
            <v>1415</v>
          </cell>
          <cell r="CP379">
            <v>1065</v>
          </cell>
          <cell r="CQ379">
            <v>1010</v>
          </cell>
          <cell r="CR379">
            <v>1035</v>
          </cell>
          <cell r="CS379">
            <v>670</v>
          </cell>
          <cell r="CT379">
            <v>1495</v>
          </cell>
          <cell r="CU379">
            <v>1450</v>
          </cell>
          <cell r="CV379">
            <v>1870</v>
          </cell>
          <cell r="CW379">
            <v>1650</v>
          </cell>
          <cell r="CX379">
            <v>1555</v>
          </cell>
          <cell r="CY379">
            <v>1465</v>
          </cell>
          <cell r="CZ379">
            <v>805</v>
          </cell>
          <cell r="DA379">
            <v>1115</v>
          </cell>
          <cell r="DB379">
            <v>1045</v>
          </cell>
          <cell r="DC379">
            <v>875</v>
          </cell>
          <cell r="DD379">
            <v>1235</v>
          </cell>
          <cell r="DE379">
            <v>1340</v>
          </cell>
          <cell r="DF379">
            <v>270</v>
          </cell>
          <cell r="DG379" t="str">
            <v>ACTIVO</v>
          </cell>
          <cell r="DH379" t="str">
            <v>A</v>
          </cell>
          <cell r="DI379"/>
          <cell r="DJ379">
            <v>1220.48</v>
          </cell>
          <cell r="DK379">
            <v>203.41333333333333</v>
          </cell>
          <cell r="DL379">
            <v>290.29703645732792</v>
          </cell>
          <cell r="DM379">
            <v>1145</v>
          </cell>
          <cell r="DN379">
            <v>2003750</v>
          </cell>
          <cell r="DO379">
            <v>0.93815547981122183</v>
          </cell>
          <cell r="DP379" t="str">
            <v>OK</v>
          </cell>
          <cell r="DQ379">
            <v>406.82666666666665</v>
          </cell>
        </row>
        <row r="380">
          <cell r="B380">
            <v>405499</v>
          </cell>
          <cell r="C380" t="str">
            <v>MANTEQUILLA CON SAL SOPROLE</v>
          </cell>
          <cell r="D380"/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>
            <v>95</v>
          </cell>
          <cell r="AL380">
            <v>85</v>
          </cell>
          <cell r="AM380"/>
          <cell r="AN380"/>
          <cell r="AO380">
            <v>25</v>
          </cell>
          <cell r="AP380"/>
          <cell r="AQ380">
            <v>21</v>
          </cell>
          <cell r="AR380">
            <v>20</v>
          </cell>
          <cell r="AS380"/>
          <cell r="AT380"/>
          <cell r="AU380"/>
          <cell r="AV380">
            <v>20</v>
          </cell>
          <cell r="AW380"/>
          <cell r="AX380"/>
          <cell r="AY380"/>
          <cell r="AZ380"/>
          <cell r="BA380"/>
          <cell r="BB380"/>
          <cell r="BC380">
            <v>40</v>
          </cell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>
            <v>40</v>
          </cell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 t="str">
            <v>ACTIVO</v>
          </cell>
          <cell r="DH380" t="str">
            <v>C</v>
          </cell>
          <cell r="DI380"/>
          <cell r="DJ380">
            <v>0</v>
          </cell>
          <cell r="DK380">
            <v>0</v>
          </cell>
          <cell r="DL380">
            <v>30.122369476140864</v>
          </cell>
          <cell r="DM380">
            <v>0</v>
          </cell>
          <cell r="DN380" t="str">
            <v>0</v>
          </cell>
          <cell r="DO380">
            <v>0</v>
          </cell>
          <cell r="DP380" t="str">
            <v>COMPRAR</v>
          </cell>
          <cell r="DQ380">
            <v>0</v>
          </cell>
        </row>
        <row r="381">
          <cell r="B381">
            <v>405638</v>
          </cell>
          <cell r="C381" t="str">
            <v>MANTEQUILLA SIN SAL WATT</v>
          </cell>
          <cell r="D381"/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>
            <v>20</v>
          </cell>
          <cell r="CC381">
            <v>20</v>
          </cell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>
            <v>15</v>
          </cell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 t="str">
            <v>ACTIVO</v>
          </cell>
          <cell r="DH381" t="str">
            <v>C</v>
          </cell>
          <cell r="DI381"/>
          <cell r="DJ381">
            <v>15</v>
          </cell>
          <cell r="DK381">
            <v>2.5</v>
          </cell>
          <cell r="DL381">
            <v>0</v>
          </cell>
          <cell r="DM381">
            <v>0</v>
          </cell>
          <cell r="DN381" t="str">
            <v>0</v>
          </cell>
          <cell r="DO381">
            <v>0</v>
          </cell>
          <cell r="DP381" t="str">
            <v>COMPRAR</v>
          </cell>
          <cell r="DQ381">
            <v>5</v>
          </cell>
        </row>
        <row r="382">
          <cell r="B382">
            <v>107331</v>
          </cell>
          <cell r="C382" t="str">
            <v>MANTEQUILLA WATTS</v>
          </cell>
          <cell r="D382"/>
          <cell r="E382"/>
          <cell r="F382">
            <v>60</v>
          </cell>
          <cell r="G382">
            <v>60</v>
          </cell>
          <cell r="H382">
            <v>80</v>
          </cell>
          <cell r="I382">
            <v>80</v>
          </cell>
          <cell r="J382">
            <v>125</v>
          </cell>
          <cell r="K382">
            <v>205</v>
          </cell>
          <cell r="L382">
            <v>460</v>
          </cell>
          <cell r="M382">
            <v>300</v>
          </cell>
          <cell r="N382">
            <v>180</v>
          </cell>
          <cell r="O382">
            <v>40</v>
          </cell>
          <cell r="P382">
            <v>180</v>
          </cell>
          <cell r="Q382">
            <v>180</v>
          </cell>
          <cell r="R382">
            <v>200</v>
          </cell>
          <cell r="S382">
            <v>200</v>
          </cell>
          <cell r="T382">
            <v>100</v>
          </cell>
          <cell r="U382">
            <v>140</v>
          </cell>
          <cell r="V382">
            <v>100</v>
          </cell>
          <cell r="W382">
            <v>100</v>
          </cell>
          <cell r="X382">
            <v>160</v>
          </cell>
          <cell r="Y382">
            <v>160</v>
          </cell>
          <cell r="Z382">
            <v>120</v>
          </cell>
          <cell r="AA382">
            <v>120</v>
          </cell>
          <cell r="AB382">
            <v>180</v>
          </cell>
          <cell r="AC382">
            <v>80</v>
          </cell>
          <cell r="AD382">
            <v>40</v>
          </cell>
          <cell r="AE382">
            <v>40</v>
          </cell>
          <cell r="AF382">
            <v>100</v>
          </cell>
          <cell r="AG382">
            <v>60</v>
          </cell>
          <cell r="AH382">
            <v>100</v>
          </cell>
          <cell r="AI382">
            <v>240</v>
          </cell>
          <cell r="AJ382">
            <v>140</v>
          </cell>
          <cell r="AK382">
            <v>45</v>
          </cell>
          <cell r="AL382">
            <v>20</v>
          </cell>
          <cell r="AM382">
            <v>50</v>
          </cell>
          <cell r="AN382">
            <v>60</v>
          </cell>
          <cell r="AO382">
            <v>60</v>
          </cell>
          <cell r="AP382">
            <v>60</v>
          </cell>
          <cell r="AQ382">
            <v>60</v>
          </cell>
          <cell r="AR382">
            <v>100</v>
          </cell>
          <cell r="AS382">
            <v>40</v>
          </cell>
          <cell r="AT382">
            <v>120</v>
          </cell>
          <cell r="AU382">
            <v>100</v>
          </cell>
          <cell r="AV382">
            <v>20</v>
          </cell>
          <cell r="AW382">
            <v>80</v>
          </cell>
          <cell r="AX382">
            <v>160</v>
          </cell>
          <cell r="AY382">
            <v>80</v>
          </cell>
          <cell r="AZ382">
            <v>140</v>
          </cell>
          <cell r="BA382">
            <v>160</v>
          </cell>
          <cell r="BB382">
            <v>240</v>
          </cell>
          <cell r="BC382">
            <v>120</v>
          </cell>
          <cell r="BD382">
            <v>200</v>
          </cell>
          <cell r="BE382">
            <v>100</v>
          </cell>
          <cell r="BF382">
            <v>180</v>
          </cell>
          <cell r="BG382">
            <v>200</v>
          </cell>
          <cell r="BH382">
            <v>180</v>
          </cell>
          <cell r="BI382">
            <v>100</v>
          </cell>
          <cell r="BJ382">
            <v>120</v>
          </cell>
          <cell r="BK382">
            <v>160</v>
          </cell>
          <cell r="BL382">
            <v>220</v>
          </cell>
          <cell r="BM382">
            <v>200</v>
          </cell>
          <cell r="BN382">
            <v>280</v>
          </cell>
          <cell r="BO382">
            <v>180</v>
          </cell>
          <cell r="BP382">
            <v>40</v>
          </cell>
          <cell r="BQ382">
            <v>220</v>
          </cell>
          <cell r="BR382">
            <v>220</v>
          </cell>
          <cell r="BS382">
            <v>180</v>
          </cell>
          <cell r="BT382">
            <v>60</v>
          </cell>
          <cell r="BU382">
            <v>120</v>
          </cell>
          <cell r="BV382">
            <v>100</v>
          </cell>
          <cell r="BW382">
            <v>120</v>
          </cell>
          <cell r="BX382">
            <v>80</v>
          </cell>
          <cell r="BY382">
            <v>60</v>
          </cell>
          <cell r="BZ382">
            <v>120</v>
          </cell>
          <cell r="CA382">
            <v>180</v>
          </cell>
          <cell r="CB382">
            <v>60</v>
          </cell>
          <cell r="CC382">
            <v>100</v>
          </cell>
          <cell r="CD382">
            <v>100</v>
          </cell>
          <cell r="CE382">
            <v>60</v>
          </cell>
          <cell r="CF382"/>
          <cell r="CG382">
            <v>100</v>
          </cell>
          <cell r="CH382">
            <v>61</v>
          </cell>
          <cell r="CI382">
            <v>100</v>
          </cell>
          <cell r="CJ382">
            <v>80</v>
          </cell>
          <cell r="CK382">
            <v>60</v>
          </cell>
          <cell r="CL382">
            <v>60</v>
          </cell>
          <cell r="CM382">
            <v>80</v>
          </cell>
          <cell r="CN382">
            <v>80</v>
          </cell>
          <cell r="CO382">
            <v>80</v>
          </cell>
          <cell r="CP382">
            <v>100</v>
          </cell>
          <cell r="CQ382">
            <v>60</v>
          </cell>
          <cell r="CR382">
            <v>120</v>
          </cell>
          <cell r="CS382">
            <v>120</v>
          </cell>
          <cell r="CT382">
            <v>140</v>
          </cell>
          <cell r="CU382">
            <v>220</v>
          </cell>
          <cell r="CV382">
            <v>100</v>
          </cell>
          <cell r="CW382">
            <v>20</v>
          </cell>
          <cell r="CX382">
            <v>20</v>
          </cell>
          <cell r="CY382"/>
          <cell r="CZ382"/>
          <cell r="DA382"/>
          <cell r="DB382"/>
          <cell r="DC382"/>
          <cell r="DD382"/>
          <cell r="DE382"/>
          <cell r="DF382"/>
          <cell r="DG382" t="str">
            <v>ACTIVO</v>
          </cell>
          <cell r="DH382" t="str">
            <v>B</v>
          </cell>
          <cell r="DI382"/>
          <cell r="DJ382">
            <v>88.944444444444443</v>
          </cell>
          <cell r="DK382">
            <v>14.824074074074074</v>
          </cell>
          <cell r="DL382">
            <v>64.705428310383567</v>
          </cell>
          <cell r="DM382">
            <v>380</v>
          </cell>
          <cell r="DN382">
            <v>2203889.7999999998</v>
          </cell>
          <cell r="DO382">
            <v>4.2723297938788258</v>
          </cell>
          <cell r="DP382" t="str">
            <v>OK</v>
          </cell>
          <cell r="DQ382">
            <v>29.648148148148149</v>
          </cell>
        </row>
        <row r="383">
          <cell r="B383"/>
          <cell r="C383"/>
          <cell r="D383">
            <v>1595</v>
          </cell>
          <cell r="E383">
            <v>1940</v>
          </cell>
          <cell r="F383">
            <v>2145</v>
          </cell>
          <cell r="G383">
            <v>1650</v>
          </cell>
          <cell r="H383">
            <v>2350</v>
          </cell>
          <cell r="I383">
            <v>1905</v>
          </cell>
          <cell r="J383">
            <v>2010</v>
          </cell>
          <cell r="K383">
            <v>1900</v>
          </cell>
          <cell r="L383">
            <v>2840</v>
          </cell>
          <cell r="M383">
            <v>2345</v>
          </cell>
          <cell r="N383">
            <v>2385</v>
          </cell>
          <cell r="O383">
            <v>1045</v>
          </cell>
          <cell r="P383">
            <v>2075.3200000000002</v>
          </cell>
          <cell r="Q383">
            <v>2300</v>
          </cell>
          <cell r="R383">
            <v>2865</v>
          </cell>
          <cell r="S383">
            <v>3020</v>
          </cell>
          <cell r="T383">
            <v>1925</v>
          </cell>
          <cell r="U383">
            <v>2325</v>
          </cell>
          <cell r="V383">
            <v>2455</v>
          </cell>
          <cell r="W383">
            <v>1625</v>
          </cell>
          <cell r="X383">
            <v>3065</v>
          </cell>
          <cell r="Y383">
            <v>3125</v>
          </cell>
          <cell r="Z383">
            <v>1655</v>
          </cell>
          <cell r="AA383">
            <v>1040</v>
          </cell>
          <cell r="AB383">
            <v>1930</v>
          </cell>
          <cell r="AC383">
            <v>1015</v>
          </cell>
          <cell r="AD383">
            <v>655</v>
          </cell>
          <cell r="AE383">
            <v>535</v>
          </cell>
          <cell r="AF383">
            <v>2805</v>
          </cell>
          <cell r="AG383">
            <v>2005</v>
          </cell>
          <cell r="AH383">
            <v>2035</v>
          </cell>
          <cell r="AI383">
            <v>2925</v>
          </cell>
          <cell r="AJ383">
            <v>1685</v>
          </cell>
          <cell r="AK383">
            <v>1680</v>
          </cell>
          <cell r="AL383">
            <v>1470</v>
          </cell>
          <cell r="AM383">
            <v>1515</v>
          </cell>
          <cell r="AN383">
            <v>1595</v>
          </cell>
          <cell r="AO383">
            <v>1960</v>
          </cell>
          <cell r="AP383">
            <v>1625</v>
          </cell>
          <cell r="AQ383">
            <v>1951</v>
          </cell>
          <cell r="AR383">
            <v>2785</v>
          </cell>
          <cell r="AS383">
            <v>1985</v>
          </cell>
          <cell r="AT383">
            <v>2130</v>
          </cell>
          <cell r="AU383">
            <v>2110</v>
          </cell>
          <cell r="AV383">
            <v>2630</v>
          </cell>
          <cell r="AW383">
            <v>2365</v>
          </cell>
          <cell r="AX383">
            <v>2865</v>
          </cell>
          <cell r="AY383">
            <v>1675</v>
          </cell>
          <cell r="AZ383">
            <v>2025</v>
          </cell>
          <cell r="BA383">
            <v>2765</v>
          </cell>
          <cell r="BB383">
            <v>2045</v>
          </cell>
          <cell r="BC383">
            <v>2590</v>
          </cell>
          <cell r="BD383">
            <v>2120</v>
          </cell>
          <cell r="BE383">
            <v>2300</v>
          </cell>
          <cell r="BF383">
            <v>2220</v>
          </cell>
          <cell r="BG383">
            <v>2110</v>
          </cell>
          <cell r="BH383">
            <v>2755</v>
          </cell>
          <cell r="BI383">
            <v>2440</v>
          </cell>
          <cell r="BJ383">
            <v>2505</v>
          </cell>
          <cell r="BK383">
            <v>1850</v>
          </cell>
          <cell r="BL383">
            <v>2375</v>
          </cell>
          <cell r="BM383">
            <v>2430</v>
          </cell>
          <cell r="BN383">
            <v>2290</v>
          </cell>
          <cell r="BO383">
            <v>2100</v>
          </cell>
          <cell r="BP383">
            <v>1095</v>
          </cell>
          <cell r="BQ383">
            <v>2655</v>
          </cell>
          <cell r="BR383">
            <v>1660</v>
          </cell>
          <cell r="BS383">
            <v>2475</v>
          </cell>
          <cell r="BT383">
            <v>1940</v>
          </cell>
          <cell r="BU383">
            <v>2075</v>
          </cell>
          <cell r="BV383">
            <v>1795</v>
          </cell>
          <cell r="BW383">
            <v>1550</v>
          </cell>
          <cell r="BX383">
            <v>1615</v>
          </cell>
          <cell r="BY383">
            <v>1385</v>
          </cell>
          <cell r="BZ383">
            <v>1980</v>
          </cell>
          <cell r="CA383">
            <v>2030</v>
          </cell>
          <cell r="CB383">
            <v>475</v>
          </cell>
          <cell r="CC383">
            <v>1375</v>
          </cell>
          <cell r="CD383">
            <v>1055</v>
          </cell>
          <cell r="CE383">
            <v>765</v>
          </cell>
          <cell r="CF383">
            <v>450</v>
          </cell>
          <cell r="CG383">
            <v>1560</v>
          </cell>
          <cell r="CH383">
            <v>1978</v>
          </cell>
          <cell r="CI383">
            <v>1905</v>
          </cell>
          <cell r="CJ383">
            <v>1660</v>
          </cell>
          <cell r="CK383">
            <v>2200</v>
          </cell>
          <cell r="CL383">
            <v>1250</v>
          </cell>
          <cell r="CM383">
            <v>1770</v>
          </cell>
          <cell r="CN383">
            <v>1945</v>
          </cell>
          <cell r="CO383">
            <v>1495</v>
          </cell>
          <cell r="CP383">
            <v>1165</v>
          </cell>
          <cell r="CQ383">
            <v>1070</v>
          </cell>
          <cell r="CR383">
            <v>1155</v>
          </cell>
          <cell r="CS383">
            <v>790</v>
          </cell>
          <cell r="CT383">
            <v>1635</v>
          </cell>
          <cell r="CU383">
            <v>1670</v>
          </cell>
          <cell r="CV383">
            <v>1985</v>
          </cell>
          <cell r="CW383">
            <v>1790</v>
          </cell>
          <cell r="CX383">
            <v>1695</v>
          </cell>
          <cell r="CY383">
            <v>1585</v>
          </cell>
          <cell r="CZ383">
            <v>895</v>
          </cell>
          <cell r="DA383">
            <v>1250</v>
          </cell>
          <cell r="DB383">
            <v>1245</v>
          </cell>
          <cell r="DC383">
            <v>990</v>
          </cell>
          <cell r="DD383">
            <v>2290</v>
          </cell>
          <cell r="DE383">
            <v>1640</v>
          </cell>
          <cell r="DF383">
            <v>295</v>
          </cell>
          <cell r="DG383" t="str">
            <v>ACTIVO</v>
          </cell>
          <cell r="DH383" t="str">
            <v/>
          </cell>
          <cell r="DI383"/>
          <cell r="DJ383">
            <v>1496.92</v>
          </cell>
          <cell r="DK383">
            <v>249.48666666666668</v>
          </cell>
          <cell r="DL383">
            <v>567.73953149030922</v>
          </cell>
          <cell r="DM383">
            <v>0</v>
          </cell>
          <cell r="DN383" t="str">
            <v>0</v>
          </cell>
          <cell r="DO383">
            <v>0</v>
          </cell>
          <cell r="DP383" t="str">
            <v>INACTIVO</v>
          </cell>
          <cell r="DQ383">
            <v>0</v>
          </cell>
        </row>
        <row r="384">
          <cell r="B384">
            <v>107226</v>
          </cell>
          <cell r="C384" t="str">
            <v>HUEVO LIQUIDO BALDE ARIZONA</v>
          </cell>
          <cell r="D384"/>
          <cell r="E384"/>
          <cell r="F384"/>
          <cell r="G384"/>
          <cell r="H384"/>
          <cell r="I384"/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>
            <v>620</v>
          </cell>
          <cell r="CW384">
            <v>2020</v>
          </cell>
          <cell r="CX384">
            <v>2400</v>
          </cell>
          <cell r="CY384">
            <v>2260</v>
          </cell>
          <cell r="CZ384">
            <v>2000</v>
          </cell>
          <cell r="DA384">
            <v>2160</v>
          </cell>
          <cell r="DB384">
            <v>2260</v>
          </cell>
          <cell r="DC384">
            <v>2570</v>
          </cell>
          <cell r="DD384">
            <v>2210</v>
          </cell>
          <cell r="DE384">
            <v>2180</v>
          </cell>
          <cell r="DF384">
            <v>460</v>
          </cell>
          <cell r="DG384" t="str">
            <v>ACTIVO</v>
          </cell>
          <cell r="DH384" t="str">
            <v/>
          </cell>
          <cell r="DI384"/>
          <cell r="DJ384">
            <v>2055.5555555555557</v>
          </cell>
          <cell r="DK384">
            <v>342.59259259259261</v>
          </cell>
          <cell r="DL384">
            <v>0</v>
          </cell>
          <cell r="DM384">
            <v>980</v>
          </cell>
          <cell r="DN384">
            <v>2254000</v>
          </cell>
          <cell r="DO384">
            <v>0.47675675675675672</v>
          </cell>
          <cell r="DP384" t="str">
            <v>OK</v>
          </cell>
          <cell r="DQ384">
            <v>685.18518518518522</v>
          </cell>
        </row>
        <row r="385">
          <cell r="B385">
            <v>201005</v>
          </cell>
          <cell r="C385" t="str">
            <v>HUEVO LIQUIDO TOTEM 1000 LT AGRICOVIAL</v>
          </cell>
          <cell r="D385"/>
          <cell r="E385"/>
          <cell r="F385">
            <v>4000</v>
          </cell>
          <cell r="G385"/>
          <cell r="H385"/>
          <cell r="I385">
            <v>4000</v>
          </cell>
          <cell r="J385"/>
          <cell r="K385">
            <v>4000</v>
          </cell>
          <cell r="L385"/>
          <cell r="M385">
            <v>2000</v>
          </cell>
          <cell r="N385">
            <v>2010</v>
          </cell>
          <cell r="O385">
            <v>390</v>
          </cell>
          <cell r="P385">
            <v>5130</v>
          </cell>
          <cell r="Q385"/>
          <cell r="R385"/>
          <cell r="S385">
            <v>4000</v>
          </cell>
          <cell r="T385"/>
          <cell r="U385"/>
          <cell r="V385">
            <v>3000</v>
          </cell>
          <cell r="W385">
            <v>2000</v>
          </cell>
          <cell r="X385"/>
          <cell r="Y385">
            <v>2000</v>
          </cell>
          <cell r="Z385"/>
          <cell r="AA385">
            <v>2000</v>
          </cell>
          <cell r="AB385"/>
          <cell r="AC385"/>
          <cell r="AD385"/>
          <cell r="AE385"/>
          <cell r="AF385"/>
          <cell r="AG385">
            <v>2000</v>
          </cell>
          <cell r="AH385"/>
          <cell r="AI385"/>
          <cell r="AJ385"/>
          <cell r="AK385"/>
          <cell r="AL385">
            <v>2000</v>
          </cell>
          <cell r="AM385"/>
          <cell r="AN385"/>
          <cell r="AO385">
            <v>2000</v>
          </cell>
          <cell r="AP385"/>
          <cell r="AQ385"/>
          <cell r="AR385">
            <v>4000</v>
          </cell>
          <cell r="AS385"/>
          <cell r="AT385"/>
          <cell r="AU385">
            <v>3000</v>
          </cell>
          <cell r="AV385">
            <v>2000</v>
          </cell>
          <cell r="AW385">
            <v>2000</v>
          </cell>
          <cell r="AX385"/>
          <cell r="AY385"/>
          <cell r="AZ385">
            <v>3000</v>
          </cell>
          <cell r="BA385"/>
          <cell r="BB385">
            <v>2000</v>
          </cell>
          <cell r="BC385">
            <v>3000</v>
          </cell>
          <cell r="BD385">
            <v>5000</v>
          </cell>
          <cell r="BE385">
            <v>4000</v>
          </cell>
          <cell r="BF385"/>
          <cell r="BG385">
            <v>4000</v>
          </cell>
          <cell r="BH385">
            <v>1000</v>
          </cell>
          <cell r="BI385"/>
          <cell r="BJ385">
            <v>6000</v>
          </cell>
          <cell r="BK385">
            <v>4000</v>
          </cell>
          <cell r="BL385">
            <v>9000</v>
          </cell>
          <cell r="BM385">
            <v>4000</v>
          </cell>
          <cell r="BN385">
            <v>4000</v>
          </cell>
          <cell r="BO385">
            <v>4000</v>
          </cell>
          <cell r="BP385">
            <v>2000</v>
          </cell>
          <cell r="BQ385">
            <v>6000</v>
          </cell>
          <cell r="BR385">
            <v>4000</v>
          </cell>
          <cell r="BS385">
            <v>4000</v>
          </cell>
          <cell r="BT385">
            <v>2000</v>
          </cell>
          <cell r="BU385">
            <v>4000</v>
          </cell>
          <cell r="BV385"/>
          <cell r="BW385">
            <v>4000</v>
          </cell>
          <cell r="BX385">
            <v>4000</v>
          </cell>
          <cell r="BY385"/>
          <cell r="BZ385">
            <v>2000</v>
          </cell>
          <cell r="CA385"/>
          <cell r="CB385">
            <v>4000</v>
          </cell>
          <cell r="CC385">
            <v>4000</v>
          </cell>
          <cell r="CD385">
            <v>7000</v>
          </cell>
          <cell r="CE385">
            <v>3000</v>
          </cell>
          <cell r="CF385">
            <v>1000</v>
          </cell>
          <cell r="CG385">
            <v>4000</v>
          </cell>
          <cell r="CH385">
            <v>2000</v>
          </cell>
          <cell r="CI385">
            <v>2000</v>
          </cell>
          <cell r="CJ385">
            <v>2000</v>
          </cell>
          <cell r="CK385">
            <v>5000</v>
          </cell>
          <cell r="CL385">
            <v>2000</v>
          </cell>
          <cell r="CM385">
            <v>6420</v>
          </cell>
          <cell r="CN385">
            <v>6060</v>
          </cell>
          <cell r="CO385">
            <v>4000</v>
          </cell>
          <cell r="CP385">
            <v>5000</v>
          </cell>
          <cell r="CQ385">
            <v>8000</v>
          </cell>
          <cell r="CR385">
            <v>6000</v>
          </cell>
          <cell r="CS385">
            <v>4000</v>
          </cell>
          <cell r="CT385">
            <v>7000</v>
          </cell>
          <cell r="CU385">
            <v>4000</v>
          </cell>
          <cell r="CV385">
            <v>4000</v>
          </cell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 t="str">
            <v>ACTIVO</v>
          </cell>
          <cell r="DH385" t="str">
            <v>A</v>
          </cell>
          <cell r="DI385"/>
          <cell r="DJ385">
            <v>4263.5294117647063</v>
          </cell>
          <cell r="DK385">
            <v>710.58823529411768</v>
          </cell>
          <cell r="DL385">
            <v>1654.8825830361388</v>
          </cell>
          <cell r="DM385">
            <v>0</v>
          </cell>
          <cell r="DN385" t="str">
            <v>0</v>
          </cell>
          <cell r="DO385">
            <v>0</v>
          </cell>
          <cell r="DP385" t="str">
            <v>COMPRAR</v>
          </cell>
          <cell r="DQ385">
            <v>1421.1764705882354</v>
          </cell>
        </row>
        <row r="386">
          <cell r="B386">
            <v>105001</v>
          </cell>
          <cell r="C386" t="str">
            <v>HUEVO LIQUIDO LAS RASTRAS</v>
          </cell>
          <cell r="D386">
            <v>2290</v>
          </cell>
          <cell r="E386">
            <v>3010</v>
          </cell>
          <cell r="F386">
            <v>2180</v>
          </cell>
          <cell r="G386">
            <v>1890</v>
          </cell>
          <cell r="H386">
            <v>3130</v>
          </cell>
          <cell r="I386">
            <v>6470</v>
          </cell>
          <cell r="J386">
            <v>2260</v>
          </cell>
          <cell r="K386">
            <v>1920</v>
          </cell>
          <cell r="L386">
            <v>2410</v>
          </cell>
          <cell r="M386">
            <v>2140</v>
          </cell>
          <cell r="N386">
            <v>2120</v>
          </cell>
          <cell r="O386">
            <v>1150</v>
          </cell>
          <cell r="P386">
            <v>1630</v>
          </cell>
          <cell r="Q386">
            <v>2220</v>
          </cell>
          <cell r="R386">
            <v>1720</v>
          </cell>
          <cell r="S386">
            <v>1900</v>
          </cell>
          <cell r="T386">
            <v>1480</v>
          </cell>
          <cell r="U386">
            <v>2480</v>
          </cell>
          <cell r="V386">
            <v>2260</v>
          </cell>
          <cell r="W386">
            <v>1250</v>
          </cell>
          <cell r="X386">
            <v>1890</v>
          </cell>
          <cell r="Y386">
            <v>1320</v>
          </cell>
          <cell r="Z386">
            <v>1650</v>
          </cell>
          <cell r="AA386">
            <v>1650</v>
          </cell>
          <cell r="AB386">
            <v>2880</v>
          </cell>
          <cell r="AC386">
            <v>1550</v>
          </cell>
          <cell r="AD386">
            <v>840</v>
          </cell>
          <cell r="AE386">
            <v>520</v>
          </cell>
          <cell r="AF386">
            <v>1970</v>
          </cell>
          <cell r="AG386">
            <v>1600</v>
          </cell>
          <cell r="AH386">
            <v>1490</v>
          </cell>
          <cell r="AI386">
            <v>2380</v>
          </cell>
          <cell r="AJ386">
            <v>1750</v>
          </cell>
          <cell r="AK386">
            <v>1580</v>
          </cell>
          <cell r="AL386">
            <v>1820</v>
          </cell>
          <cell r="AM386">
            <v>1340</v>
          </cell>
          <cell r="AN386">
            <v>1850</v>
          </cell>
          <cell r="AO386">
            <v>1820</v>
          </cell>
          <cell r="AP386">
            <v>1790</v>
          </cell>
          <cell r="AQ386">
            <v>1880</v>
          </cell>
          <cell r="AR386">
            <v>4170</v>
          </cell>
          <cell r="AS386">
            <v>3296</v>
          </cell>
          <cell r="AT386">
            <v>1980</v>
          </cell>
          <cell r="AU386">
            <v>1670</v>
          </cell>
          <cell r="AV386">
            <v>2000</v>
          </cell>
          <cell r="AW386">
            <v>2300</v>
          </cell>
          <cell r="AX386">
            <v>2000</v>
          </cell>
          <cell r="AY386">
            <v>2000</v>
          </cell>
          <cell r="AZ386">
            <v>2180</v>
          </cell>
          <cell r="BA386">
            <v>2120</v>
          </cell>
          <cell r="BB386">
            <v>1690</v>
          </cell>
          <cell r="BC386">
            <v>2330</v>
          </cell>
          <cell r="BD386">
            <v>1960</v>
          </cell>
          <cell r="BE386">
            <v>2510</v>
          </cell>
          <cell r="BF386">
            <v>1490</v>
          </cell>
          <cell r="BG386">
            <v>2170</v>
          </cell>
          <cell r="BH386">
            <v>2350</v>
          </cell>
          <cell r="BI386">
            <v>2010</v>
          </cell>
          <cell r="BJ386">
            <v>1960</v>
          </cell>
          <cell r="BK386">
            <v>2040</v>
          </cell>
          <cell r="BL386">
            <v>1870</v>
          </cell>
          <cell r="BM386">
            <v>2020</v>
          </cell>
          <cell r="BN386">
            <v>2100</v>
          </cell>
          <cell r="BO386">
            <v>2100</v>
          </cell>
          <cell r="BP386">
            <v>770</v>
          </cell>
          <cell r="BQ386">
            <v>2860</v>
          </cell>
          <cell r="BR386">
            <v>1470</v>
          </cell>
          <cell r="BS386">
            <v>2120</v>
          </cell>
          <cell r="BT386">
            <v>2680</v>
          </cell>
          <cell r="BU386">
            <v>1990</v>
          </cell>
          <cell r="BV386">
            <v>1350</v>
          </cell>
          <cell r="BW386">
            <v>1860</v>
          </cell>
          <cell r="BX386">
            <v>1450</v>
          </cell>
          <cell r="BY386">
            <v>1720</v>
          </cell>
          <cell r="BZ386">
            <v>2410</v>
          </cell>
          <cell r="CA386">
            <v>1990</v>
          </cell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 t="str">
            <v>ACTIVO</v>
          </cell>
          <cell r="DH386" t="str">
            <v>A</v>
          </cell>
          <cell r="DI386"/>
          <cell r="DJ386">
            <v>0</v>
          </cell>
          <cell r="DK386">
            <v>0</v>
          </cell>
          <cell r="DL386">
            <v>560.8854788708328</v>
          </cell>
          <cell r="DM386">
            <v>0</v>
          </cell>
          <cell r="DN386" t="str">
            <v>0</v>
          </cell>
          <cell r="DO386">
            <v>0</v>
          </cell>
          <cell r="DP386" t="str">
            <v>COMPRAR</v>
          </cell>
          <cell r="DQ386">
            <v>0</v>
          </cell>
        </row>
        <row r="387">
          <cell r="B387">
            <v>105002</v>
          </cell>
          <cell r="C387" t="str">
            <v>HUEVO LIQUIDO TOTEM ARIZONA</v>
          </cell>
          <cell r="D387">
            <v>2000</v>
          </cell>
          <cell r="E387">
            <v>3000</v>
          </cell>
          <cell r="F387"/>
          <cell r="G387">
            <v>2000</v>
          </cell>
          <cell r="H387">
            <v>4000</v>
          </cell>
          <cell r="I387"/>
          <cell r="J387">
            <v>2000</v>
          </cell>
          <cell r="K387">
            <v>2000</v>
          </cell>
          <cell r="L387">
            <v>2000</v>
          </cell>
          <cell r="M387">
            <v>2000</v>
          </cell>
          <cell r="N387">
            <v>3000</v>
          </cell>
          <cell r="O387"/>
          <cell r="P387"/>
          <cell r="Q387"/>
          <cell r="R387">
            <v>4000</v>
          </cell>
          <cell r="S387"/>
          <cell r="T387">
            <v>2000</v>
          </cell>
          <cell r="U387"/>
          <cell r="V387">
            <v>4000</v>
          </cell>
          <cell r="W387"/>
          <cell r="X387">
            <v>4000</v>
          </cell>
          <cell r="Y387"/>
          <cell r="Z387">
            <v>2000</v>
          </cell>
          <cell r="AA387">
            <v>2000</v>
          </cell>
          <cell r="AB387">
            <v>2000</v>
          </cell>
          <cell r="AC387"/>
          <cell r="AD387"/>
          <cell r="AE387"/>
          <cell r="AF387">
            <v>4000</v>
          </cell>
          <cell r="AG387"/>
          <cell r="AH387"/>
          <cell r="AI387">
            <v>2000</v>
          </cell>
          <cell r="AJ387"/>
          <cell r="AK387"/>
          <cell r="AL387">
            <v>2000</v>
          </cell>
          <cell r="AM387"/>
          <cell r="AN387">
            <v>2000</v>
          </cell>
          <cell r="AO387"/>
          <cell r="AP387"/>
          <cell r="AQ387"/>
          <cell r="AR387">
            <v>2000</v>
          </cell>
          <cell r="AS387">
            <v>2000</v>
          </cell>
          <cell r="AT387"/>
          <cell r="AU387">
            <v>2000</v>
          </cell>
          <cell r="AV387"/>
          <cell r="AW387"/>
          <cell r="AX387">
            <v>2000</v>
          </cell>
          <cell r="AY387"/>
          <cell r="AZ387"/>
          <cell r="BA387">
            <v>2000</v>
          </cell>
          <cell r="BB387"/>
          <cell r="BC387">
            <v>3000</v>
          </cell>
          <cell r="BD387"/>
          <cell r="BE387"/>
          <cell r="BF387">
            <v>4000</v>
          </cell>
          <cell r="BG387"/>
          <cell r="BH387">
            <v>4000</v>
          </cell>
          <cell r="BI387">
            <v>4000</v>
          </cell>
          <cell r="BJ387">
            <v>5000</v>
          </cell>
          <cell r="BK387">
            <v>2000</v>
          </cell>
          <cell r="BL387">
            <v>5000</v>
          </cell>
          <cell r="BM387">
            <v>7000</v>
          </cell>
          <cell r="BN387">
            <v>7000</v>
          </cell>
          <cell r="BO387">
            <v>4000</v>
          </cell>
          <cell r="BP387">
            <v>8000</v>
          </cell>
          <cell r="BQ387">
            <v>4000</v>
          </cell>
          <cell r="BR387">
            <v>3000</v>
          </cell>
          <cell r="BS387">
            <v>8000</v>
          </cell>
          <cell r="BT387">
            <v>4000</v>
          </cell>
          <cell r="BU387">
            <v>5000</v>
          </cell>
          <cell r="BV387">
            <v>2000</v>
          </cell>
          <cell r="BW387">
            <v>6000</v>
          </cell>
          <cell r="BX387">
            <v>4000</v>
          </cell>
          <cell r="BY387">
            <v>4000</v>
          </cell>
          <cell r="BZ387">
            <v>2000</v>
          </cell>
          <cell r="CA387">
            <v>5000</v>
          </cell>
          <cell r="CB387">
            <v>3000</v>
          </cell>
          <cell r="CC387">
            <v>4000</v>
          </cell>
          <cell r="CD387">
            <v>4000</v>
          </cell>
          <cell r="CE387">
            <v>3000</v>
          </cell>
          <cell r="CF387"/>
          <cell r="CG387">
            <v>6000</v>
          </cell>
          <cell r="CH387">
            <v>5000</v>
          </cell>
          <cell r="CI387">
            <v>5000</v>
          </cell>
          <cell r="CJ387">
            <v>4000</v>
          </cell>
          <cell r="CK387">
            <v>4000</v>
          </cell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>
            <v>3000</v>
          </cell>
          <cell r="CW387">
            <v>4000</v>
          </cell>
          <cell r="CX387">
            <v>4000</v>
          </cell>
          <cell r="CY387">
            <v>4000</v>
          </cell>
          <cell r="CZ387">
            <v>2000</v>
          </cell>
          <cell r="DA387">
            <v>5000</v>
          </cell>
          <cell r="DB387">
            <v>5000</v>
          </cell>
          <cell r="DC387">
            <v>4000</v>
          </cell>
          <cell r="DD387">
            <v>6000</v>
          </cell>
          <cell r="DE387">
            <v>5000</v>
          </cell>
          <cell r="DF387"/>
          <cell r="DG387" t="str">
            <v>ACTIVO</v>
          </cell>
          <cell r="DH387" t="str">
            <v>A</v>
          </cell>
          <cell r="DI387"/>
          <cell r="DJ387">
            <v>4357.1428571428569</v>
          </cell>
          <cell r="DK387">
            <v>726.19047619047615</v>
          </cell>
          <cell r="DL387">
            <v>1757.0984485745794</v>
          </cell>
          <cell r="DM387">
            <v>0</v>
          </cell>
          <cell r="DN387" t="str">
            <v>0</v>
          </cell>
          <cell r="DO387">
            <v>0</v>
          </cell>
          <cell r="DP387" t="str">
            <v>OK</v>
          </cell>
          <cell r="DQ387">
            <v>1452.3809523809523</v>
          </cell>
        </row>
        <row r="388">
          <cell r="B388">
            <v>405685</v>
          </cell>
          <cell r="C388" t="str">
            <v>HUEVO LIQUIDO BOLSA 20 KG AGRICOVIAL</v>
          </cell>
          <cell r="D388"/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>
            <v>1800</v>
          </cell>
          <cell r="CC388">
            <v>2300</v>
          </cell>
          <cell r="CD388">
            <v>1700</v>
          </cell>
          <cell r="CE388">
            <v>1000</v>
          </cell>
          <cell r="CF388">
            <v>760</v>
          </cell>
          <cell r="CG388">
            <v>1660</v>
          </cell>
          <cell r="CH388">
            <v>1860</v>
          </cell>
          <cell r="CI388">
            <v>2320</v>
          </cell>
          <cell r="CJ388">
            <v>1550</v>
          </cell>
          <cell r="CK388">
            <v>2190</v>
          </cell>
          <cell r="CL388">
            <v>2000</v>
          </cell>
          <cell r="CM388">
            <v>2380</v>
          </cell>
          <cell r="CN388">
            <v>2000</v>
          </cell>
          <cell r="CO388">
            <v>2160</v>
          </cell>
          <cell r="CP388">
            <v>2700</v>
          </cell>
          <cell r="CQ388">
            <v>2100</v>
          </cell>
          <cell r="CR388">
            <v>2090</v>
          </cell>
          <cell r="CS388">
            <v>1660</v>
          </cell>
          <cell r="CT388">
            <v>2940</v>
          </cell>
          <cell r="CU388">
            <v>2200</v>
          </cell>
          <cell r="CV388">
            <v>2200</v>
          </cell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 t="str">
            <v>ACTIVO</v>
          </cell>
          <cell r="DH388" t="str">
            <v>B</v>
          </cell>
          <cell r="DI388"/>
          <cell r="DJ388">
            <v>2045.2941176470588</v>
          </cell>
          <cell r="DK388">
            <v>340.88235294117646</v>
          </cell>
          <cell r="DL388">
            <v>535.41261347363366</v>
          </cell>
          <cell r="DM388">
            <v>0</v>
          </cell>
          <cell r="DN388" t="str">
            <v>0</v>
          </cell>
          <cell r="DO388">
            <v>0</v>
          </cell>
          <cell r="DP388" t="str">
            <v>COMPRAR</v>
          </cell>
          <cell r="DQ388">
            <v>681.76470588235293</v>
          </cell>
        </row>
        <row r="389">
          <cell r="B389">
            <v>107287</v>
          </cell>
          <cell r="C389" t="str">
            <v>HUEVO LIQUIDO TOTE LAS RASTRAS</v>
          </cell>
          <cell r="D389">
            <v>8000</v>
          </cell>
          <cell r="E389">
            <v>6000</v>
          </cell>
          <cell r="F389">
            <v>6700</v>
          </cell>
          <cell r="G389">
            <v>8000</v>
          </cell>
          <cell r="H389">
            <v>7000</v>
          </cell>
          <cell r="I389">
            <v>3000</v>
          </cell>
          <cell r="J389">
            <v>6000</v>
          </cell>
          <cell r="K389">
            <v>8000</v>
          </cell>
          <cell r="L389">
            <v>5000</v>
          </cell>
          <cell r="M389">
            <v>10000</v>
          </cell>
          <cell r="N389">
            <v>7000</v>
          </cell>
          <cell r="O389">
            <v>3000</v>
          </cell>
          <cell r="P389">
            <v>9000</v>
          </cell>
          <cell r="Q389">
            <v>5000</v>
          </cell>
          <cell r="R389">
            <v>10000</v>
          </cell>
          <cell r="S389">
            <v>9000</v>
          </cell>
          <cell r="T389">
            <v>8000</v>
          </cell>
          <cell r="U389"/>
          <cell r="V389">
            <v>12000</v>
          </cell>
          <cell r="W389">
            <v>3000</v>
          </cell>
          <cell r="X389">
            <v>14000</v>
          </cell>
          <cell r="Y389">
            <v>7000</v>
          </cell>
          <cell r="Z389">
            <v>7000</v>
          </cell>
          <cell r="AA389">
            <v>7000</v>
          </cell>
          <cell r="AB389">
            <v>5000</v>
          </cell>
          <cell r="AC389">
            <v>9000</v>
          </cell>
          <cell r="AD389"/>
          <cell r="AE389">
            <v>5000</v>
          </cell>
          <cell r="AF389">
            <v>2000</v>
          </cell>
          <cell r="AG389">
            <v>6000</v>
          </cell>
          <cell r="AH389">
            <v>3000</v>
          </cell>
          <cell r="AI389">
            <v>6000</v>
          </cell>
          <cell r="AJ389">
            <v>6000</v>
          </cell>
          <cell r="AK389">
            <v>10000</v>
          </cell>
          <cell r="AL389">
            <v>6000</v>
          </cell>
          <cell r="AM389">
            <v>6000</v>
          </cell>
          <cell r="AN389">
            <v>6000</v>
          </cell>
          <cell r="AO389">
            <v>8000</v>
          </cell>
          <cell r="AP389">
            <v>8000</v>
          </cell>
          <cell r="AQ389">
            <v>8000</v>
          </cell>
          <cell r="AR389">
            <v>4300</v>
          </cell>
          <cell r="AS389">
            <v>10000</v>
          </cell>
          <cell r="AT389">
            <v>6000</v>
          </cell>
          <cell r="AU389">
            <v>11000</v>
          </cell>
          <cell r="AV389">
            <v>8000</v>
          </cell>
          <cell r="AW389">
            <v>10000</v>
          </cell>
          <cell r="AX389">
            <v>9000</v>
          </cell>
          <cell r="AY389">
            <v>7000</v>
          </cell>
          <cell r="AZ389">
            <v>8000</v>
          </cell>
          <cell r="BA389">
            <v>8000</v>
          </cell>
          <cell r="BB389">
            <v>8000</v>
          </cell>
          <cell r="BC389">
            <v>9000</v>
          </cell>
          <cell r="BD389">
            <v>7000</v>
          </cell>
          <cell r="BE389">
            <v>6000</v>
          </cell>
          <cell r="BF389">
            <v>5000</v>
          </cell>
          <cell r="BG389">
            <v>5000</v>
          </cell>
          <cell r="BH389">
            <v>4000</v>
          </cell>
          <cell r="BI389">
            <v>7000</v>
          </cell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>
            <v>5000</v>
          </cell>
          <cell r="CM389">
            <v>5000</v>
          </cell>
          <cell r="CN389">
            <v>2000</v>
          </cell>
          <cell r="CO389">
            <v>2000</v>
          </cell>
          <cell r="CP389">
            <v>4000</v>
          </cell>
          <cell r="CQ389"/>
          <cell r="CR389">
            <v>4000</v>
          </cell>
          <cell r="CS389">
            <v>5000</v>
          </cell>
          <cell r="CT389"/>
          <cell r="CU389">
            <v>5000</v>
          </cell>
          <cell r="CV389">
            <v>2000</v>
          </cell>
          <cell r="CW389">
            <v>2000</v>
          </cell>
          <cell r="CX389">
            <v>2000</v>
          </cell>
          <cell r="CY389">
            <v>3000</v>
          </cell>
          <cell r="CZ389">
            <v>5000</v>
          </cell>
          <cell r="DA389">
            <v>8000</v>
          </cell>
          <cell r="DB389">
            <v>7000</v>
          </cell>
          <cell r="DC389">
            <v>4000</v>
          </cell>
          <cell r="DD389">
            <v>4000</v>
          </cell>
          <cell r="DE389">
            <v>7000</v>
          </cell>
          <cell r="DF389"/>
          <cell r="DG389" t="str">
            <v>ACTIVO</v>
          </cell>
          <cell r="DH389" t="str">
            <v>A</v>
          </cell>
          <cell r="DI389"/>
          <cell r="DJ389">
            <v>4058.8235294117649</v>
          </cell>
          <cell r="DK389">
            <v>676.47058823529414</v>
          </cell>
          <cell r="DL389">
            <v>2117.9976342042073</v>
          </cell>
          <cell r="DM389">
            <v>0</v>
          </cell>
          <cell r="DN389" t="str">
            <v>0</v>
          </cell>
          <cell r="DO389">
            <v>0</v>
          </cell>
          <cell r="DP389" t="str">
            <v>OK</v>
          </cell>
          <cell r="DQ389">
            <v>2029.4117647058824</v>
          </cell>
        </row>
        <row r="390">
          <cell r="B390"/>
          <cell r="C390"/>
          <cell r="D390">
            <v>12290</v>
          </cell>
          <cell r="E390">
            <v>12010</v>
          </cell>
          <cell r="F390">
            <v>12880</v>
          </cell>
          <cell r="G390">
            <v>11890</v>
          </cell>
          <cell r="H390">
            <v>14130</v>
          </cell>
          <cell r="I390">
            <v>13470</v>
          </cell>
          <cell r="J390">
            <v>10260</v>
          </cell>
          <cell r="K390">
            <v>15920</v>
          </cell>
          <cell r="L390">
            <v>9410</v>
          </cell>
          <cell r="M390">
            <v>16140</v>
          </cell>
          <cell r="N390">
            <v>14130</v>
          </cell>
          <cell r="O390">
            <v>4540</v>
          </cell>
          <cell r="P390">
            <v>15760</v>
          </cell>
          <cell r="Q390">
            <v>7220</v>
          </cell>
          <cell r="R390">
            <v>15720</v>
          </cell>
          <cell r="S390">
            <v>14900</v>
          </cell>
          <cell r="T390">
            <v>11480</v>
          </cell>
          <cell r="U390">
            <v>2480</v>
          </cell>
          <cell r="V390">
            <v>21260</v>
          </cell>
          <cell r="W390">
            <v>6250</v>
          </cell>
          <cell r="X390">
            <v>19890</v>
          </cell>
          <cell r="Y390">
            <v>10320</v>
          </cell>
          <cell r="Z390">
            <v>10650</v>
          </cell>
          <cell r="AA390">
            <v>12650</v>
          </cell>
          <cell r="AB390">
            <v>9880</v>
          </cell>
          <cell r="AC390">
            <v>10550</v>
          </cell>
          <cell r="AD390">
            <v>840</v>
          </cell>
          <cell r="AE390">
            <v>5520</v>
          </cell>
          <cell r="AF390">
            <v>7970</v>
          </cell>
          <cell r="AG390">
            <v>9600</v>
          </cell>
          <cell r="AH390">
            <v>4490</v>
          </cell>
          <cell r="AI390">
            <v>10380</v>
          </cell>
          <cell r="AJ390">
            <v>7750</v>
          </cell>
          <cell r="AK390">
            <v>11580</v>
          </cell>
          <cell r="AL390">
            <v>11820</v>
          </cell>
          <cell r="AM390">
            <v>7340</v>
          </cell>
          <cell r="AN390">
            <v>9850</v>
          </cell>
          <cell r="AO390">
            <v>11820</v>
          </cell>
          <cell r="AP390">
            <v>9790</v>
          </cell>
          <cell r="AQ390">
            <v>9880</v>
          </cell>
          <cell r="AR390">
            <v>14470</v>
          </cell>
          <cell r="AS390">
            <v>15296</v>
          </cell>
          <cell r="AT390">
            <v>7980</v>
          </cell>
          <cell r="AU390">
            <v>17670</v>
          </cell>
          <cell r="AV390">
            <v>12000</v>
          </cell>
          <cell r="AW390">
            <v>14300</v>
          </cell>
          <cell r="AX390">
            <v>13000</v>
          </cell>
          <cell r="AY390">
            <v>9000</v>
          </cell>
          <cell r="AZ390">
            <v>13180</v>
          </cell>
          <cell r="BA390">
            <v>12120</v>
          </cell>
          <cell r="BB390">
            <v>11690</v>
          </cell>
          <cell r="BC390">
            <v>17330</v>
          </cell>
          <cell r="BD390">
            <v>13960</v>
          </cell>
          <cell r="BE390">
            <v>12510</v>
          </cell>
          <cell r="BF390">
            <v>10490</v>
          </cell>
          <cell r="BG390">
            <v>11170</v>
          </cell>
          <cell r="BH390">
            <v>11350</v>
          </cell>
          <cell r="BI390">
            <v>13010</v>
          </cell>
          <cell r="BJ390">
            <v>12960</v>
          </cell>
          <cell r="BK390">
            <v>8040</v>
          </cell>
          <cell r="BL390">
            <v>15870</v>
          </cell>
          <cell r="BM390">
            <v>13020</v>
          </cell>
          <cell r="BN390">
            <v>13100</v>
          </cell>
          <cell r="BO390">
            <v>10100</v>
          </cell>
          <cell r="BP390">
            <v>10770</v>
          </cell>
          <cell r="BQ390">
            <v>12860</v>
          </cell>
          <cell r="BR390">
            <v>8470</v>
          </cell>
          <cell r="BS390">
            <v>14120</v>
          </cell>
          <cell r="BT390">
            <v>8680</v>
          </cell>
          <cell r="BU390">
            <v>10990</v>
          </cell>
          <cell r="BV390">
            <v>3350</v>
          </cell>
          <cell r="BW390">
            <v>11860</v>
          </cell>
          <cell r="BX390">
            <v>9450</v>
          </cell>
          <cell r="BY390">
            <v>5720</v>
          </cell>
          <cell r="BZ390">
            <v>6410</v>
          </cell>
          <cell r="CA390">
            <v>6990</v>
          </cell>
          <cell r="CB390">
            <v>8800</v>
          </cell>
          <cell r="CC390">
            <v>10300</v>
          </cell>
          <cell r="CD390">
            <v>12700</v>
          </cell>
          <cell r="CE390">
            <v>7000</v>
          </cell>
          <cell r="CF390">
            <v>1760</v>
          </cell>
          <cell r="CG390">
            <v>11660</v>
          </cell>
          <cell r="CH390">
            <v>8860</v>
          </cell>
          <cell r="CI390">
            <v>9320</v>
          </cell>
          <cell r="CJ390">
            <v>7550</v>
          </cell>
          <cell r="CK390">
            <v>11190</v>
          </cell>
          <cell r="CL390">
            <v>9000</v>
          </cell>
          <cell r="CM390">
            <v>13800</v>
          </cell>
          <cell r="CN390">
            <v>10060</v>
          </cell>
          <cell r="CO390">
            <v>8160</v>
          </cell>
          <cell r="CP390">
            <v>11700</v>
          </cell>
          <cell r="CQ390">
            <v>10100</v>
          </cell>
          <cell r="CR390">
            <v>12090</v>
          </cell>
          <cell r="CS390">
            <v>10660</v>
          </cell>
          <cell r="CT390">
            <v>9940</v>
          </cell>
          <cell r="CU390">
            <v>11200</v>
          </cell>
          <cell r="CV390">
            <v>11820</v>
          </cell>
          <cell r="CW390">
            <v>8020</v>
          </cell>
          <cell r="CX390">
            <v>8400</v>
          </cell>
          <cell r="CY390">
            <v>9260</v>
          </cell>
          <cell r="CZ390">
            <v>9000</v>
          </cell>
          <cell r="DA390">
            <v>15160</v>
          </cell>
          <cell r="DB390">
            <v>14260</v>
          </cell>
          <cell r="DC390">
            <v>10570</v>
          </cell>
          <cell r="DD390">
            <v>12210</v>
          </cell>
          <cell r="DE390">
            <v>14180</v>
          </cell>
          <cell r="DF390">
            <v>460</v>
          </cell>
          <cell r="DG390" t="str">
            <v>ACTIVO</v>
          </cell>
          <cell r="DH390" t="str">
            <v/>
          </cell>
          <cell r="DI390"/>
          <cell r="DJ390">
            <v>10230</v>
          </cell>
          <cell r="DK390">
            <v>1705</v>
          </cell>
          <cell r="DL390">
            <v>3094.5647651376357</v>
          </cell>
          <cell r="DM390">
            <v>0</v>
          </cell>
          <cell r="DN390" t="str">
            <v>0</v>
          </cell>
          <cell r="DO390">
            <v>0</v>
          </cell>
          <cell r="DP390" t="str">
            <v>INACTIVO</v>
          </cell>
          <cell r="DQ390">
            <v>0</v>
          </cell>
        </row>
        <row r="391">
          <cell r="B391">
            <v>405320</v>
          </cell>
          <cell r="C391" t="str">
            <v>JUGO DE LIMÓN CONGELADO WATT</v>
          </cell>
          <cell r="D391"/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>
            <v>2</v>
          </cell>
          <cell r="BI391"/>
          <cell r="BJ391"/>
          <cell r="BK391"/>
          <cell r="BL391"/>
          <cell r="BM391"/>
          <cell r="BN391">
            <v>3</v>
          </cell>
          <cell r="BO391"/>
          <cell r="BP391">
            <v>3</v>
          </cell>
          <cell r="BQ391"/>
          <cell r="BR391">
            <v>3</v>
          </cell>
          <cell r="BS391">
            <v>3</v>
          </cell>
          <cell r="BT391">
            <v>2</v>
          </cell>
          <cell r="BU391">
            <v>1</v>
          </cell>
          <cell r="BV391">
            <v>3</v>
          </cell>
          <cell r="BW391">
            <v>5</v>
          </cell>
          <cell r="BX391">
            <v>4</v>
          </cell>
          <cell r="BY391">
            <v>1</v>
          </cell>
          <cell r="BZ391">
            <v>5</v>
          </cell>
          <cell r="CA391"/>
          <cell r="CB391">
            <v>1</v>
          </cell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 t="str">
            <v>ACTIVO</v>
          </cell>
          <cell r="DH391" t="str">
            <v>C</v>
          </cell>
          <cell r="DI391"/>
          <cell r="DJ391">
            <v>0</v>
          </cell>
          <cell r="DK391">
            <v>0</v>
          </cell>
          <cell r="DL391">
            <v>1.3634420996046583</v>
          </cell>
          <cell r="DM391">
            <v>0</v>
          </cell>
          <cell r="DN391" t="str">
            <v>0</v>
          </cell>
          <cell r="DO391">
            <v>0</v>
          </cell>
          <cell r="DP391" t="str">
            <v>COMPRAR</v>
          </cell>
          <cell r="DQ391">
            <v>0</v>
          </cell>
        </row>
        <row r="392">
          <cell r="B392">
            <v>405331</v>
          </cell>
          <cell r="C392" t="str">
            <v>JUGO EN POLVO DURAZNO</v>
          </cell>
          <cell r="D392"/>
          <cell r="E392"/>
          <cell r="F392"/>
          <cell r="G392">
            <v>4.5400000000000009</v>
          </cell>
          <cell r="H392">
            <v>0.34</v>
          </cell>
          <cell r="I392">
            <v>0.62</v>
          </cell>
          <cell r="J392">
            <v>0.86</v>
          </cell>
          <cell r="K392">
            <v>6.3400000000000007</v>
          </cell>
          <cell r="L392">
            <v>1.02</v>
          </cell>
          <cell r="M392">
            <v>2.5800000000000005</v>
          </cell>
          <cell r="N392">
            <v>2.6</v>
          </cell>
          <cell r="O392">
            <v>0.22</v>
          </cell>
          <cell r="P392">
            <v>2.08</v>
          </cell>
          <cell r="Q392">
            <v>3.6599999999999997</v>
          </cell>
          <cell r="R392">
            <v>2.5100000000000002</v>
          </cell>
          <cell r="S392">
            <v>1.4</v>
          </cell>
          <cell r="T392">
            <v>1.165</v>
          </cell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>
            <v>1</v>
          </cell>
          <cell r="AI392">
            <v>17.399999999999999</v>
          </cell>
          <cell r="AJ392">
            <v>5.0999999999999996</v>
          </cell>
          <cell r="AK392"/>
          <cell r="AL392"/>
          <cell r="AM392"/>
          <cell r="AN392"/>
          <cell r="AO392">
            <v>1.2</v>
          </cell>
          <cell r="AP392">
            <v>6.4</v>
          </cell>
          <cell r="AQ392">
            <v>0.4</v>
          </cell>
          <cell r="AR392">
            <v>0.35</v>
          </cell>
          <cell r="AS392">
            <v>3.5600000000000005</v>
          </cell>
          <cell r="AT392">
            <v>23</v>
          </cell>
          <cell r="AU392">
            <v>0.24000000000000002</v>
          </cell>
          <cell r="AV392">
            <v>4</v>
          </cell>
          <cell r="AW392">
            <v>2.75</v>
          </cell>
          <cell r="AX392">
            <v>0.32</v>
          </cell>
          <cell r="AY392">
            <v>5.5</v>
          </cell>
          <cell r="AZ392">
            <v>0.2</v>
          </cell>
          <cell r="BA392">
            <v>1</v>
          </cell>
          <cell r="BB392">
            <v>7.1</v>
          </cell>
          <cell r="BC392">
            <v>4.8000000000000007</v>
          </cell>
          <cell r="BD392">
            <v>8.15</v>
          </cell>
          <cell r="BE392">
            <v>34.5</v>
          </cell>
          <cell r="BF392"/>
          <cell r="BG392">
            <v>2.1</v>
          </cell>
          <cell r="BH392">
            <v>4.8000000000000007</v>
          </cell>
          <cell r="BI392">
            <v>4.8</v>
          </cell>
          <cell r="BJ392">
            <v>0.315</v>
          </cell>
          <cell r="BK392">
            <v>2.1750000000000003</v>
          </cell>
          <cell r="BL392">
            <v>1.7999999999999998</v>
          </cell>
          <cell r="BM392">
            <v>1.2</v>
          </cell>
          <cell r="BN392">
            <v>0.3</v>
          </cell>
          <cell r="BO392">
            <v>2.5499999999999998</v>
          </cell>
          <cell r="BP392">
            <v>0.3</v>
          </cell>
          <cell r="BQ392">
            <v>0.75</v>
          </cell>
          <cell r="BR392">
            <v>0.44999999999999996</v>
          </cell>
          <cell r="BS392">
            <v>2.6999999999999997</v>
          </cell>
          <cell r="BT392">
            <v>1.9500000000000002</v>
          </cell>
          <cell r="BU392">
            <v>1.4999999999999998</v>
          </cell>
          <cell r="BV392">
            <v>0.82500000000000007</v>
          </cell>
          <cell r="BW392">
            <v>1.6499999999999997</v>
          </cell>
          <cell r="BX392">
            <v>0.6</v>
          </cell>
          <cell r="BY392">
            <v>0.3</v>
          </cell>
          <cell r="BZ392">
            <v>10.875</v>
          </cell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 t="str">
            <v>ACTIVO</v>
          </cell>
          <cell r="DH392" t="str">
            <v>C</v>
          </cell>
          <cell r="DI392"/>
          <cell r="DJ392">
            <v>0</v>
          </cell>
          <cell r="DK392">
            <v>0</v>
          </cell>
          <cell r="DL392">
            <v>6.7726921464257028</v>
          </cell>
          <cell r="DM392">
            <v>0</v>
          </cell>
          <cell r="DN392" t="str">
            <v>0</v>
          </cell>
          <cell r="DO392">
            <v>0</v>
          </cell>
          <cell r="DP392" t="str">
            <v>COMPRAR</v>
          </cell>
          <cell r="DQ392">
            <v>0</v>
          </cell>
        </row>
        <row r="393">
          <cell r="B393">
            <v>405593</v>
          </cell>
          <cell r="C393" t="str">
            <v>JUGO EN POLVO ZUKO DURAZNO</v>
          </cell>
          <cell r="D393"/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>
            <v>0.15</v>
          </cell>
          <cell r="BX393"/>
          <cell r="BY393"/>
          <cell r="BZ393">
            <v>8</v>
          </cell>
          <cell r="CA393">
            <v>5.9</v>
          </cell>
          <cell r="CB393">
            <v>2.7800000000000002</v>
          </cell>
          <cell r="CC393">
            <v>2.1</v>
          </cell>
          <cell r="CD393">
            <v>1.5</v>
          </cell>
          <cell r="CE393">
            <v>0.46500000000000002</v>
          </cell>
          <cell r="CF393">
            <v>1.4999999999999999E-2</v>
          </cell>
          <cell r="CG393">
            <v>17.25</v>
          </cell>
          <cell r="CH393">
            <v>0.9</v>
          </cell>
          <cell r="CI393">
            <v>1.3499999999999996</v>
          </cell>
          <cell r="CJ393">
            <v>2.4</v>
          </cell>
          <cell r="CK393">
            <v>0.15</v>
          </cell>
          <cell r="CL393">
            <v>0.44999999999999996</v>
          </cell>
          <cell r="CM393">
            <v>2.5500000000000003</v>
          </cell>
          <cell r="CN393">
            <v>0.44999999999999996</v>
          </cell>
          <cell r="CO393">
            <v>0.75</v>
          </cell>
          <cell r="CP393">
            <v>2.25</v>
          </cell>
          <cell r="CQ393">
            <v>0.44999999999999996</v>
          </cell>
          <cell r="CR393">
            <v>0.75</v>
          </cell>
          <cell r="CS393">
            <v>3.15</v>
          </cell>
          <cell r="CT393">
            <v>1.9500000000000002</v>
          </cell>
          <cell r="CU393">
            <v>1.6499999999999997</v>
          </cell>
          <cell r="CV393">
            <v>2.9</v>
          </cell>
          <cell r="CW393">
            <v>0.9</v>
          </cell>
          <cell r="CX393">
            <v>1.7999999999999998</v>
          </cell>
          <cell r="CY393">
            <v>3.0599999999999996</v>
          </cell>
          <cell r="CZ393">
            <v>1.75</v>
          </cell>
          <cell r="DA393">
            <v>1.9499999999999997</v>
          </cell>
          <cell r="DB393">
            <v>4</v>
          </cell>
          <cell r="DC393">
            <v>1.6500000000000001</v>
          </cell>
          <cell r="DD393">
            <v>1.5799999999999998</v>
          </cell>
          <cell r="DE393">
            <v>5.4500000000000011</v>
          </cell>
          <cell r="DF393">
            <v>0.08</v>
          </cell>
          <cell r="DG393" t="str">
            <v>ACTIVO</v>
          </cell>
          <cell r="DH393" t="str">
            <v>C</v>
          </cell>
          <cell r="DI393"/>
          <cell r="DJ393">
            <v>2.2421999999999995</v>
          </cell>
          <cell r="DK393">
            <v>0.37369999999999992</v>
          </cell>
          <cell r="DL393">
            <v>2.917348967813072</v>
          </cell>
          <cell r="DM393">
            <v>11.67</v>
          </cell>
          <cell r="DN393">
            <v>86345.046300000002</v>
          </cell>
          <cell r="DO393">
            <v>5.2047096601552054</v>
          </cell>
          <cell r="DP393" t="str">
            <v>OK</v>
          </cell>
          <cell r="DQ393">
            <v>1.1210999999999998</v>
          </cell>
        </row>
        <row r="394">
          <cell r="B394">
            <v>405330</v>
          </cell>
          <cell r="C394" t="str">
            <v>JUGO EN POLVO FRUTILLA</v>
          </cell>
          <cell r="D394"/>
          <cell r="E394"/>
          <cell r="F394"/>
          <cell r="G394">
            <v>0.1</v>
          </cell>
          <cell r="H394">
            <v>1.1900000000000002</v>
          </cell>
          <cell r="I394">
            <v>0.43</v>
          </cell>
          <cell r="J394">
            <v>0.58499999999999996</v>
          </cell>
          <cell r="K394">
            <v>1.7050000000000001</v>
          </cell>
          <cell r="L394">
            <v>0.09</v>
          </cell>
          <cell r="M394"/>
          <cell r="N394">
            <v>1.1100000000000001</v>
          </cell>
          <cell r="O394">
            <v>0.24</v>
          </cell>
          <cell r="P394">
            <v>0.39</v>
          </cell>
          <cell r="Q394">
            <v>1.6850000000000001</v>
          </cell>
          <cell r="R394">
            <v>0.18</v>
          </cell>
          <cell r="S394">
            <v>0.48000000000000004</v>
          </cell>
          <cell r="T394">
            <v>1.0349999999999999</v>
          </cell>
          <cell r="U394">
            <v>0.60000000000000009</v>
          </cell>
          <cell r="V394">
            <v>0.44999999999999996</v>
          </cell>
          <cell r="W394">
            <v>0.96</v>
          </cell>
          <cell r="X394">
            <v>1.095</v>
          </cell>
          <cell r="Y394"/>
          <cell r="Z394">
            <v>0.15</v>
          </cell>
          <cell r="AA394">
            <v>1.65</v>
          </cell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>
            <v>0.15</v>
          </cell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 t="str">
            <v>SIN USO</v>
          </cell>
          <cell r="DH394">
            <v>0</v>
          </cell>
          <cell r="DI394"/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N394" t="str">
            <v>0</v>
          </cell>
          <cell r="DO394">
            <v>0</v>
          </cell>
          <cell r="DP394" t="str">
            <v>INACTIVO</v>
          </cell>
          <cell r="DQ394">
            <v>0</v>
          </cell>
        </row>
        <row r="395">
          <cell r="B395">
            <v>107404</v>
          </cell>
          <cell r="C395" t="str">
            <v>JUGO EN POLVO SABOR FRUTILLA</v>
          </cell>
          <cell r="D395"/>
          <cell r="E395"/>
          <cell r="F395"/>
          <cell r="G395"/>
          <cell r="H395"/>
          <cell r="I395"/>
          <cell r="J395"/>
          <cell r="K395">
            <v>1.5449999999999999</v>
          </cell>
          <cell r="L395">
            <v>0.55499999999999994</v>
          </cell>
          <cell r="M395">
            <v>0.76500000000000001</v>
          </cell>
          <cell r="N395"/>
          <cell r="O395"/>
          <cell r="P395">
            <v>0.63</v>
          </cell>
          <cell r="Q395"/>
          <cell r="R395">
            <v>0.15</v>
          </cell>
          <cell r="S395">
            <v>0.28500000000000003</v>
          </cell>
          <cell r="T395">
            <v>0.21</v>
          </cell>
          <cell r="U395"/>
          <cell r="V395"/>
          <cell r="W395">
            <v>0.15</v>
          </cell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>
            <v>0.02</v>
          </cell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 t="str">
            <v>SIN USO</v>
          </cell>
          <cell r="DH395">
            <v>0</v>
          </cell>
          <cell r="DI395"/>
          <cell r="DJ395">
            <v>0</v>
          </cell>
          <cell r="DK395">
            <v>0</v>
          </cell>
          <cell r="DL395">
            <v>0</v>
          </cell>
          <cell r="DM395">
            <v>0</v>
          </cell>
          <cell r="DN395" t="str">
            <v>0</v>
          </cell>
          <cell r="DO395">
            <v>0</v>
          </cell>
          <cell r="DP395" t="str">
            <v>INACTIVO</v>
          </cell>
          <cell r="DQ395">
            <v>0</v>
          </cell>
        </row>
        <row r="396">
          <cell r="B396">
            <v>405446</v>
          </cell>
          <cell r="C396" t="str">
            <v>JUGO POLVO DURAZNO</v>
          </cell>
          <cell r="D396"/>
          <cell r="E396"/>
          <cell r="F396"/>
          <cell r="G396"/>
          <cell r="H396"/>
          <cell r="I396"/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>
            <v>0.60000000000000009</v>
          </cell>
          <cell r="V396">
            <v>2.6000000000000005</v>
          </cell>
          <cell r="W396">
            <v>3.0999999999999996</v>
          </cell>
          <cell r="X396">
            <v>0.9</v>
          </cell>
          <cell r="Y396">
            <v>1.4</v>
          </cell>
          <cell r="Z396">
            <v>3.7</v>
          </cell>
          <cell r="AA396">
            <v>0.25</v>
          </cell>
          <cell r="AB396"/>
          <cell r="AC396"/>
          <cell r="AD396">
            <v>0.4</v>
          </cell>
          <cell r="AE396"/>
          <cell r="AF396">
            <v>1.66</v>
          </cell>
          <cell r="AG396">
            <v>0.66</v>
          </cell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 t="str">
            <v>SIN USO</v>
          </cell>
          <cell r="DH396" t="str">
            <v>C</v>
          </cell>
          <cell r="DI396"/>
          <cell r="DJ396">
            <v>0</v>
          </cell>
          <cell r="DK396">
            <v>0</v>
          </cell>
          <cell r="DL396">
            <v>0.70710678118654757</v>
          </cell>
          <cell r="DM396">
            <v>0</v>
          </cell>
          <cell r="DN396" t="str">
            <v>0</v>
          </cell>
          <cell r="DO396">
            <v>0</v>
          </cell>
          <cell r="DP396" t="str">
            <v>INACTIVO</v>
          </cell>
          <cell r="DQ396">
            <v>0</v>
          </cell>
        </row>
        <row r="397">
          <cell r="B397">
            <v>405465</v>
          </cell>
          <cell r="C397" t="str">
            <v>JUGO POLVO FRUTILLA</v>
          </cell>
          <cell r="D397"/>
          <cell r="E397"/>
          <cell r="F397"/>
          <cell r="G397"/>
          <cell r="H397"/>
          <cell r="I397"/>
          <cell r="J397"/>
          <cell r="K397"/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>
            <v>2.1</v>
          </cell>
          <cell r="BR397">
            <v>3.75</v>
          </cell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 t="str">
            <v>SIN USO</v>
          </cell>
          <cell r="DH397" t="str">
            <v>C</v>
          </cell>
          <cell r="DI397"/>
          <cell r="DJ397">
            <v>0</v>
          </cell>
          <cell r="DK397">
            <v>0</v>
          </cell>
          <cell r="DL397">
            <v>1.1667261889578042</v>
          </cell>
          <cell r="DM397">
            <v>0</v>
          </cell>
          <cell r="DN397" t="str">
            <v>0</v>
          </cell>
          <cell r="DO397">
            <v>0</v>
          </cell>
          <cell r="DP397" t="str">
            <v>INACTIVO</v>
          </cell>
          <cell r="DQ397">
            <v>0</v>
          </cell>
        </row>
        <row r="398">
          <cell r="B398"/>
          <cell r="C398"/>
          <cell r="D398"/>
          <cell r="E398"/>
          <cell r="F398"/>
          <cell r="G398">
            <v>4.6400000000000006</v>
          </cell>
          <cell r="H398">
            <v>1.5300000000000002</v>
          </cell>
          <cell r="I398">
            <v>1.05</v>
          </cell>
          <cell r="J398">
            <v>1.4449999999999998</v>
          </cell>
          <cell r="K398">
            <v>9.5900000000000016</v>
          </cell>
          <cell r="L398">
            <v>1.665</v>
          </cell>
          <cell r="M398">
            <v>3.3450000000000006</v>
          </cell>
          <cell r="N398">
            <v>3.71</v>
          </cell>
          <cell r="O398">
            <v>0.45999999999999996</v>
          </cell>
          <cell r="P398">
            <v>3.1</v>
          </cell>
          <cell r="Q398">
            <v>5.3449999999999998</v>
          </cell>
          <cell r="R398">
            <v>2.8400000000000003</v>
          </cell>
          <cell r="S398">
            <v>2.165</v>
          </cell>
          <cell r="T398">
            <v>2.41</v>
          </cell>
          <cell r="U398">
            <v>1.2000000000000002</v>
          </cell>
          <cell r="V398">
            <v>3.0500000000000007</v>
          </cell>
          <cell r="W398">
            <v>4.2099999999999991</v>
          </cell>
          <cell r="X398">
            <v>1.9950000000000001</v>
          </cell>
          <cell r="Y398">
            <v>1.4</v>
          </cell>
          <cell r="Z398">
            <v>3.85</v>
          </cell>
          <cell r="AA398">
            <v>1.9</v>
          </cell>
          <cell r="AB398"/>
          <cell r="AC398"/>
          <cell r="AD398">
            <v>0.4</v>
          </cell>
          <cell r="AE398"/>
          <cell r="AF398">
            <v>1.66</v>
          </cell>
          <cell r="AG398">
            <v>0.66</v>
          </cell>
          <cell r="AH398">
            <v>1.02</v>
          </cell>
          <cell r="AI398">
            <v>17.399999999999999</v>
          </cell>
          <cell r="AJ398">
            <v>5.0999999999999996</v>
          </cell>
          <cell r="AK398"/>
          <cell r="AL398"/>
          <cell r="AM398"/>
          <cell r="AN398"/>
          <cell r="AO398">
            <v>1.2</v>
          </cell>
          <cell r="AP398">
            <v>6.4</v>
          </cell>
          <cell r="AQ398">
            <v>0.4</v>
          </cell>
          <cell r="AR398">
            <v>0.35</v>
          </cell>
          <cell r="AS398">
            <v>3.5600000000000005</v>
          </cell>
          <cell r="AT398">
            <v>23.15</v>
          </cell>
          <cell r="AU398">
            <v>0.24000000000000002</v>
          </cell>
          <cell r="AV398">
            <v>4</v>
          </cell>
          <cell r="AW398">
            <v>2.75</v>
          </cell>
          <cell r="AX398">
            <v>0.32</v>
          </cell>
          <cell r="AY398">
            <v>5.5</v>
          </cell>
          <cell r="AZ398">
            <v>0.2</v>
          </cell>
          <cell r="BA398">
            <v>1</v>
          </cell>
          <cell r="BB398">
            <v>7.1</v>
          </cell>
          <cell r="BC398">
            <v>4.8000000000000007</v>
          </cell>
          <cell r="BD398">
            <v>8.15</v>
          </cell>
          <cell r="BE398">
            <v>34.5</v>
          </cell>
          <cell r="BF398"/>
          <cell r="BG398">
            <v>2.1</v>
          </cell>
          <cell r="BH398">
            <v>6.8000000000000007</v>
          </cell>
          <cell r="BI398">
            <v>4.8</v>
          </cell>
          <cell r="BJ398">
            <v>0.315</v>
          </cell>
          <cell r="BK398">
            <v>2.1750000000000003</v>
          </cell>
          <cell r="BL398">
            <v>1.7999999999999998</v>
          </cell>
          <cell r="BM398">
            <v>1.2</v>
          </cell>
          <cell r="BN398">
            <v>3.3</v>
          </cell>
          <cell r="BO398">
            <v>2.5499999999999998</v>
          </cell>
          <cell r="BP398">
            <v>3.3</v>
          </cell>
          <cell r="BQ398">
            <v>2.85</v>
          </cell>
          <cell r="BR398">
            <v>7.2</v>
          </cell>
          <cell r="BS398">
            <v>5.6999999999999993</v>
          </cell>
          <cell r="BT398">
            <v>3.95</v>
          </cell>
          <cell r="BU398">
            <v>2.5</v>
          </cell>
          <cell r="BV398">
            <v>3.8250000000000002</v>
          </cell>
          <cell r="BW398">
            <v>6.8</v>
          </cell>
          <cell r="BX398">
            <v>4.5999999999999996</v>
          </cell>
          <cell r="BY398">
            <v>1.3</v>
          </cell>
          <cell r="BZ398">
            <v>23.875</v>
          </cell>
          <cell r="CA398">
            <v>5.9</v>
          </cell>
          <cell r="CB398">
            <v>3.7800000000000002</v>
          </cell>
          <cell r="CC398">
            <v>2.1</v>
          </cell>
          <cell r="CD398">
            <v>1.5</v>
          </cell>
          <cell r="CE398">
            <v>0.46500000000000002</v>
          </cell>
          <cell r="CF398">
            <v>1.4999999999999999E-2</v>
          </cell>
          <cell r="CG398">
            <v>17.25</v>
          </cell>
          <cell r="CH398">
            <v>0.9</v>
          </cell>
          <cell r="CI398">
            <v>1.3499999999999996</v>
          </cell>
          <cell r="CJ398">
            <v>2.4</v>
          </cell>
          <cell r="CK398">
            <v>0.15</v>
          </cell>
          <cell r="CL398">
            <v>0.44999999999999996</v>
          </cell>
          <cell r="CM398">
            <v>2.5500000000000003</v>
          </cell>
          <cell r="CN398">
            <v>0.44999999999999996</v>
          </cell>
          <cell r="CO398">
            <v>0.75</v>
          </cell>
          <cell r="CP398">
            <v>2.25</v>
          </cell>
          <cell r="CQ398">
            <v>0.44999999999999996</v>
          </cell>
          <cell r="CR398">
            <v>0.75</v>
          </cell>
          <cell r="CS398">
            <v>3.15</v>
          </cell>
          <cell r="CT398">
            <v>1.9500000000000002</v>
          </cell>
          <cell r="CU398">
            <v>1.6499999999999997</v>
          </cell>
          <cell r="CV398">
            <v>2.9</v>
          </cell>
          <cell r="CW398">
            <v>0.9</v>
          </cell>
          <cell r="CX398">
            <v>1.7999999999999998</v>
          </cell>
          <cell r="CY398">
            <v>3.0599999999999996</v>
          </cell>
          <cell r="CZ398">
            <v>1.75</v>
          </cell>
          <cell r="DA398">
            <v>1.9499999999999997</v>
          </cell>
          <cell r="DB398">
            <v>4</v>
          </cell>
          <cell r="DC398">
            <v>1.6500000000000001</v>
          </cell>
          <cell r="DD398">
            <v>1.5799999999999998</v>
          </cell>
          <cell r="DE398">
            <v>5.4500000000000011</v>
          </cell>
          <cell r="DF398">
            <v>0.08</v>
          </cell>
          <cell r="DG398" t="str">
            <v>ACTIVO</v>
          </cell>
          <cell r="DH398" t="str">
            <v/>
          </cell>
          <cell r="DI398"/>
          <cell r="DJ398">
            <v>2.2421999999999995</v>
          </cell>
          <cell r="DK398">
            <v>0.37369999999999992</v>
          </cell>
          <cell r="DL398">
            <v>6.7218784112462284</v>
          </cell>
          <cell r="DM398">
            <v>0</v>
          </cell>
          <cell r="DN398" t="str">
            <v>0</v>
          </cell>
          <cell r="DO398">
            <v>0</v>
          </cell>
          <cell r="DP398" t="str">
            <v>INACTIVO</v>
          </cell>
          <cell r="DQ398">
            <v>0</v>
          </cell>
        </row>
        <row r="399">
          <cell r="B399">
            <v>402255</v>
          </cell>
          <cell r="C399" t="str">
            <v>CINTA DE EMBALAJE 72x100 SOLUTION</v>
          </cell>
          <cell r="D399">
            <v>85</v>
          </cell>
          <cell r="E399">
            <v>140</v>
          </cell>
          <cell r="F399">
            <v>114</v>
          </cell>
          <cell r="G399">
            <v>117</v>
          </cell>
          <cell r="H399">
            <v>106</v>
          </cell>
          <cell r="I399">
            <v>136</v>
          </cell>
          <cell r="J399">
            <v>108</v>
          </cell>
          <cell r="K399">
            <v>84</v>
          </cell>
          <cell r="L399"/>
          <cell r="M399"/>
          <cell r="N399"/>
          <cell r="O399"/>
          <cell r="P399"/>
          <cell r="Q399"/>
          <cell r="R399"/>
          <cell r="S399"/>
          <cell r="T399"/>
          <cell r="U399">
            <v>6</v>
          </cell>
          <cell r="V399">
            <v>148</v>
          </cell>
          <cell r="W399">
            <v>38</v>
          </cell>
          <cell r="X399">
            <v>323</v>
          </cell>
          <cell r="Y399">
            <v>70</v>
          </cell>
          <cell r="Z399">
            <v>93</v>
          </cell>
          <cell r="AA399">
            <v>73</v>
          </cell>
          <cell r="AB399">
            <v>93</v>
          </cell>
          <cell r="AC399">
            <v>104</v>
          </cell>
          <cell r="AD399">
            <v>20</v>
          </cell>
          <cell r="AE399">
            <v>15</v>
          </cell>
          <cell r="AF399">
            <v>58</v>
          </cell>
          <cell r="AG399">
            <v>128</v>
          </cell>
          <cell r="AH399">
            <v>100</v>
          </cell>
          <cell r="AI399">
            <v>80</v>
          </cell>
          <cell r="AJ399">
            <v>311</v>
          </cell>
          <cell r="AK399">
            <v>65</v>
          </cell>
          <cell r="AL399">
            <v>79</v>
          </cell>
          <cell r="AM399">
            <v>71</v>
          </cell>
          <cell r="AN399">
            <v>69</v>
          </cell>
          <cell r="AO399">
            <v>73</v>
          </cell>
          <cell r="AP399">
            <v>35</v>
          </cell>
          <cell r="AQ399">
            <v>348</v>
          </cell>
          <cell r="AR399">
            <v>62</v>
          </cell>
          <cell r="AS399">
            <v>43</v>
          </cell>
          <cell r="AT399">
            <v>89</v>
          </cell>
          <cell r="AU399">
            <v>60</v>
          </cell>
          <cell r="AV399">
            <v>62</v>
          </cell>
          <cell r="AW399">
            <v>64</v>
          </cell>
          <cell r="AX399">
            <v>76</v>
          </cell>
          <cell r="AY399">
            <v>47</v>
          </cell>
          <cell r="AZ399">
            <v>53</v>
          </cell>
          <cell r="BA399">
            <v>65</v>
          </cell>
          <cell r="BB399">
            <v>78</v>
          </cell>
          <cell r="BC399">
            <v>62</v>
          </cell>
          <cell r="BD399">
            <v>55</v>
          </cell>
          <cell r="BE399">
            <v>36</v>
          </cell>
          <cell r="BF399">
            <v>65</v>
          </cell>
          <cell r="BG399">
            <v>78</v>
          </cell>
          <cell r="BH399">
            <v>74</v>
          </cell>
          <cell r="BI399">
            <v>779</v>
          </cell>
          <cell r="BJ399">
            <v>59</v>
          </cell>
          <cell r="BK399">
            <v>94</v>
          </cell>
          <cell r="BL399">
            <v>73</v>
          </cell>
          <cell r="BM399">
            <v>64</v>
          </cell>
          <cell r="BN399">
            <v>46</v>
          </cell>
          <cell r="BO399">
            <v>53</v>
          </cell>
          <cell r="BP399">
            <v>353</v>
          </cell>
          <cell r="BQ399">
            <v>71</v>
          </cell>
          <cell r="BR399">
            <v>65</v>
          </cell>
          <cell r="BS399">
            <v>68</v>
          </cell>
          <cell r="BT399">
            <v>35</v>
          </cell>
          <cell r="BU399">
            <v>74</v>
          </cell>
          <cell r="BV399">
            <v>47</v>
          </cell>
          <cell r="BW399">
            <v>48</v>
          </cell>
          <cell r="BX399">
            <v>50</v>
          </cell>
          <cell r="BY399">
            <v>45</v>
          </cell>
          <cell r="BZ399">
            <v>84</v>
          </cell>
          <cell r="CA399">
            <v>48</v>
          </cell>
          <cell r="CB399">
            <v>59</v>
          </cell>
          <cell r="CC399">
            <v>49</v>
          </cell>
          <cell r="CD399">
            <v>58</v>
          </cell>
          <cell r="CE399">
            <v>22</v>
          </cell>
          <cell r="CF399">
            <v>8</v>
          </cell>
          <cell r="CG399">
            <v>29</v>
          </cell>
          <cell r="CH399">
            <v>44</v>
          </cell>
          <cell r="CI399">
            <v>70</v>
          </cell>
          <cell r="CJ399">
            <v>56</v>
          </cell>
          <cell r="CK399">
            <v>81</v>
          </cell>
          <cell r="CL399">
            <v>66</v>
          </cell>
          <cell r="CM399">
            <v>58</v>
          </cell>
          <cell r="CN399">
            <v>47</v>
          </cell>
          <cell r="CO399">
            <v>79</v>
          </cell>
          <cell r="CP399">
            <v>57</v>
          </cell>
          <cell r="CQ399">
            <v>665</v>
          </cell>
          <cell r="CR399">
            <v>62</v>
          </cell>
          <cell r="CS399">
            <v>63</v>
          </cell>
          <cell r="CT399">
            <v>44</v>
          </cell>
          <cell r="CU399">
            <v>62</v>
          </cell>
          <cell r="CV399">
            <v>62</v>
          </cell>
          <cell r="CW399">
            <v>52</v>
          </cell>
          <cell r="CX399">
            <v>55</v>
          </cell>
          <cell r="CY399">
            <v>62</v>
          </cell>
          <cell r="CZ399">
            <v>40</v>
          </cell>
          <cell r="DA399">
            <v>80</v>
          </cell>
          <cell r="DB399">
            <v>49</v>
          </cell>
          <cell r="DC399">
            <v>59</v>
          </cell>
          <cell r="DD399">
            <v>54</v>
          </cell>
          <cell r="DE399">
            <v>61</v>
          </cell>
          <cell r="DF399">
            <v>3</v>
          </cell>
          <cell r="DG399" t="str">
            <v>ACTIVO</v>
          </cell>
          <cell r="DH399" t="str">
            <v>C</v>
          </cell>
          <cell r="DI399"/>
          <cell r="DJ399">
            <v>80.16</v>
          </cell>
          <cell r="DK399">
            <v>13.36</v>
          </cell>
          <cell r="DL399">
            <v>117.27325650316151</v>
          </cell>
          <cell r="DM399">
            <v>966</v>
          </cell>
          <cell r="DN399">
            <v>1246140</v>
          </cell>
          <cell r="DO399">
            <v>12.050898203592816</v>
          </cell>
          <cell r="DP399" t="str">
            <v>OK</v>
          </cell>
          <cell r="DQ399">
            <v>40.08</v>
          </cell>
        </row>
        <row r="400">
          <cell r="B400">
            <v>405336</v>
          </cell>
          <cell r="C400" t="str">
            <v>CINTA DE EMBALAJE 72x100 REMINISEN</v>
          </cell>
          <cell r="D400"/>
          <cell r="E400"/>
          <cell r="F400"/>
          <cell r="G400"/>
          <cell r="H400"/>
          <cell r="I400"/>
          <cell r="J400"/>
          <cell r="K400">
            <v>47</v>
          </cell>
          <cell r="L400">
            <v>111</v>
          </cell>
          <cell r="M400">
            <v>99</v>
          </cell>
          <cell r="N400">
            <v>115</v>
          </cell>
          <cell r="O400">
            <v>53</v>
          </cell>
          <cell r="P400">
            <v>118</v>
          </cell>
          <cell r="Q400">
            <v>108</v>
          </cell>
          <cell r="R400">
            <v>125</v>
          </cell>
          <cell r="S400">
            <v>83</v>
          </cell>
          <cell r="T400">
            <v>151</v>
          </cell>
          <cell r="U400">
            <v>84</v>
          </cell>
          <cell r="V400">
            <v>106</v>
          </cell>
          <cell r="W400">
            <v>55</v>
          </cell>
          <cell r="X400">
            <v>10</v>
          </cell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 t="str">
            <v>ACTIVO</v>
          </cell>
          <cell r="DH400" t="str">
            <v/>
          </cell>
          <cell r="DI400"/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 t="str">
            <v>0</v>
          </cell>
          <cell r="DO400">
            <v>0</v>
          </cell>
          <cell r="DP400" t="str">
            <v>COMPRAR</v>
          </cell>
          <cell r="DQ400">
            <v>0</v>
          </cell>
        </row>
        <row r="401">
          <cell r="B401"/>
          <cell r="C401"/>
          <cell r="D401">
            <v>85</v>
          </cell>
          <cell r="E401">
            <v>140</v>
          </cell>
          <cell r="F401">
            <v>114</v>
          </cell>
          <cell r="G401">
            <v>117</v>
          </cell>
          <cell r="H401">
            <v>106</v>
          </cell>
          <cell r="I401">
            <v>136</v>
          </cell>
          <cell r="J401">
            <v>108</v>
          </cell>
          <cell r="K401">
            <v>131</v>
          </cell>
          <cell r="L401">
            <v>111</v>
          </cell>
          <cell r="M401">
            <v>99</v>
          </cell>
          <cell r="N401">
            <v>115</v>
          </cell>
          <cell r="O401">
            <v>53</v>
          </cell>
          <cell r="P401">
            <v>118</v>
          </cell>
          <cell r="Q401">
            <v>108</v>
          </cell>
          <cell r="R401">
            <v>125</v>
          </cell>
          <cell r="S401">
            <v>83</v>
          </cell>
          <cell r="T401">
            <v>151</v>
          </cell>
          <cell r="U401">
            <v>90</v>
          </cell>
          <cell r="V401">
            <v>254</v>
          </cell>
          <cell r="W401">
            <v>93</v>
          </cell>
          <cell r="X401">
            <v>333</v>
          </cell>
          <cell r="Y401">
            <v>70</v>
          </cell>
          <cell r="Z401">
            <v>93</v>
          </cell>
          <cell r="AA401">
            <v>73</v>
          </cell>
          <cell r="AB401">
            <v>93</v>
          </cell>
          <cell r="AC401">
            <v>104</v>
          </cell>
          <cell r="AD401">
            <v>20</v>
          </cell>
          <cell r="AE401">
            <v>15</v>
          </cell>
          <cell r="AF401">
            <v>58</v>
          </cell>
          <cell r="AG401">
            <v>128</v>
          </cell>
          <cell r="AH401">
            <v>100</v>
          </cell>
          <cell r="AI401">
            <v>80</v>
          </cell>
          <cell r="AJ401">
            <v>311</v>
          </cell>
          <cell r="AK401">
            <v>65</v>
          </cell>
          <cell r="AL401">
            <v>79</v>
          </cell>
          <cell r="AM401">
            <v>71</v>
          </cell>
          <cell r="AN401">
            <v>69</v>
          </cell>
          <cell r="AO401">
            <v>73</v>
          </cell>
          <cell r="AP401">
            <v>35</v>
          </cell>
          <cell r="AQ401">
            <v>348</v>
          </cell>
          <cell r="AR401">
            <v>62</v>
          </cell>
          <cell r="AS401">
            <v>43</v>
          </cell>
          <cell r="AT401">
            <v>89</v>
          </cell>
          <cell r="AU401">
            <v>60</v>
          </cell>
          <cell r="AV401">
            <v>62</v>
          </cell>
          <cell r="AW401">
            <v>64</v>
          </cell>
          <cell r="AX401">
            <v>76</v>
          </cell>
          <cell r="AY401">
            <v>47</v>
          </cell>
          <cell r="AZ401">
            <v>53</v>
          </cell>
          <cell r="BA401">
            <v>65</v>
          </cell>
          <cell r="BB401">
            <v>78</v>
          </cell>
          <cell r="BC401">
            <v>62</v>
          </cell>
          <cell r="BD401">
            <v>55</v>
          </cell>
          <cell r="BE401">
            <v>36</v>
          </cell>
          <cell r="BF401">
            <v>65</v>
          </cell>
          <cell r="BG401">
            <v>78</v>
          </cell>
          <cell r="BH401">
            <v>74</v>
          </cell>
          <cell r="BI401">
            <v>779</v>
          </cell>
          <cell r="BJ401">
            <v>59</v>
          </cell>
          <cell r="BK401">
            <v>94</v>
          </cell>
          <cell r="BL401">
            <v>73</v>
          </cell>
          <cell r="BM401">
            <v>64</v>
          </cell>
          <cell r="BN401">
            <v>46</v>
          </cell>
          <cell r="BO401">
            <v>53</v>
          </cell>
          <cell r="BP401">
            <v>353</v>
          </cell>
          <cell r="BQ401">
            <v>71</v>
          </cell>
          <cell r="BR401">
            <v>65</v>
          </cell>
          <cell r="BS401">
            <v>68</v>
          </cell>
          <cell r="BT401">
            <v>35</v>
          </cell>
          <cell r="BU401">
            <v>74</v>
          </cell>
          <cell r="BV401">
            <v>47</v>
          </cell>
          <cell r="BW401">
            <v>48</v>
          </cell>
          <cell r="BX401">
            <v>50</v>
          </cell>
          <cell r="BY401">
            <v>45</v>
          </cell>
          <cell r="BZ401">
            <v>84</v>
          </cell>
          <cell r="CA401">
            <v>48</v>
          </cell>
          <cell r="CB401">
            <v>59</v>
          </cell>
          <cell r="CC401">
            <v>49</v>
          </cell>
          <cell r="CD401">
            <v>58</v>
          </cell>
          <cell r="CE401">
            <v>22</v>
          </cell>
          <cell r="CF401">
            <v>8</v>
          </cell>
          <cell r="CG401">
            <v>29</v>
          </cell>
          <cell r="CH401">
            <v>44</v>
          </cell>
          <cell r="CI401">
            <v>70</v>
          </cell>
          <cell r="CJ401">
            <v>56</v>
          </cell>
          <cell r="CK401">
            <v>81</v>
          </cell>
          <cell r="CL401">
            <v>66</v>
          </cell>
          <cell r="CM401">
            <v>58</v>
          </cell>
          <cell r="CN401">
            <v>47</v>
          </cell>
          <cell r="CO401">
            <v>79</v>
          </cell>
          <cell r="CP401">
            <v>57</v>
          </cell>
          <cell r="CQ401">
            <v>665</v>
          </cell>
          <cell r="CR401">
            <v>62</v>
          </cell>
          <cell r="CS401">
            <v>63</v>
          </cell>
          <cell r="CT401">
            <v>44</v>
          </cell>
          <cell r="CU401">
            <v>62</v>
          </cell>
          <cell r="CV401">
            <v>62</v>
          </cell>
          <cell r="CW401">
            <v>52</v>
          </cell>
          <cell r="CX401">
            <v>55</v>
          </cell>
          <cell r="CY401">
            <v>62</v>
          </cell>
          <cell r="CZ401">
            <v>40</v>
          </cell>
          <cell r="DA401">
            <v>80</v>
          </cell>
          <cell r="DB401">
            <v>49</v>
          </cell>
          <cell r="DC401">
            <v>59</v>
          </cell>
          <cell r="DD401">
            <v>54</v>
          </cell>
          <cell r="DE401">
            <v>61</v>
          </cell>
          <cell r="DF401">
            <v>3</v>
          </cell>
          <cell r="DG401" t="str">
            <v>ACTIVO</v>
          </cell>
          <cell r="DH401" t="str">
            <v/>
          </cell>
          <cell r="DI401"/>
          <cell r="DJ401">
            <v>80.16</v>
          </cell>
          <cell r="DK401">
            <v>13.36</v>
          </cell>
          <cell r="DL401">
            <v>117.27325650316151</v>
          </cell>
          <cell r="DM401">
            <v>0</v>
          </cell>
          <cell r="DN401" t="str">
            <v>0</v>
          </cell>
          <cell r="DO401">
            <v>0</v>
          </cell>
          <cell r="DP401" t="str">
            <v>INACTIVO</v>
          </cell>
          <cell r="DQ401">
            <v>0</v>
          </cell>
        </row>
        <row r="402">
          <cell r="B402">
            <v>103105</v>
          </cell>
          <cell r="C402" t="str">
            <v>ACEITE VEGETAL 1000 CC. EGC</v>
          </cell>
          <cell r="D402"/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>
            <v>12</v>
          </cell>
          <cell r="CI402"/>
          <cell r="CJ402">
            <v>27</v>
          </cell>
          <cell r="CK402">
            <v>258</v>
          </cell>
          <cell r="CL402">
            <v>68</v>
          </cell>
          <cell r="CM402">
            <v>6</v>
          </cell>
          <cell r="CN402"/>
          <cell r="CO402">
            <v>17</v>
          </cell>
          <cell r="CP402"/>
          <cell r="CQ402"/>
          <cell r="CR402"/>
          <cell r="CS402"/>
          <cell r="CT402">
            <v>35</v>
          </cell>
          <cell r="CU402">
            <v>75</v>
          </cell>
          <cell r="CV402">
            <v>40</v>
          </cell>
          <cell r="CW402">
            <v>25</v>
          </cell>
          <cell r="CX402">
            <v>25</v>
          </cell>
          <cell r="CY402"/>
          <cell r="CZ402"/>
          <cell r="DA402"/>
          <cell r="DB402"/>
          <cell r="DC402"/>
          <cell r="DD402"/>
          <cell r="DE402"/>
          <cell r="DF402"/>
          <cell r="DG402" t="str">
            <v>ACTIVO</v>
          </cell>
          <cell r="DH402" t="str">
            <v/>
          </cell>
          <cell r="DI402"/>
          <cell r="DJ402">
            <v>53.454545454545453</v>
          </cell>
          <cell r="DK402">
            <v>8.9090909090909083</v>
          </cell>
          <cell r="DL402">
            <v>0</v>
          </cell>
          <cell r="DM402">
            <v>0</v>
          </cell>
          <cell r="DN402" t="str">
            <v>0</v>
          </cell>
          <cell r="DO402">
            <v>0</v>
          </cell>
          <cell r="DP402" t="str">
            <v>COMPRAR</v>
          </cell>
          <cell r="DQ402">
            <v>17.818181818181817</v>
          </cell>
        </row>
        <row r="403">
          <cell r="B403">
            <v>103104</v>
          </cell>
          <cell r="C403" t="str">
            <v>ACEITE VEGETAL 5000 CC. EGC</v>
          </cell>
          <cell r="D403">
            <v>145</v>
          </cell>
          <cell r="E403">
            <v>215</v>
          </cell>
          <cell r="F403">
            <v>260</v>
          </cell>
          <cell r="G403">
            <v>165</v>
          </cell>
          <cell r="H403">
            <v>90</v>
          </cell>
          <cell r="I403">
            <v>130</v>
          </cell>
          <cell r="J403">
            <v>65</v>
          </cell>
          <cell r="K403">
            <v>100</v>
          </cell>
          <cell r="L403">
            <v>215</v>
          </cell>
          <cell r="M403">
            <v>95</v>
          </cell>
          <cell r="N403">
            <v>85</v>
          </cell>
          <cell r="O403">
            <v>10</v>
          </cell>
          <cell r="P403">
            <v>135</v>
          </cell>
          <cell r="Q403">
            <v>70</v>
          </cell>
          <cell r="R403">
            <v>120</v>
          </cell>
          <cell r="S403">
            <v>120</v>
          </cell>
          <cell r="T403">
            <v>110</v>
          </cell>
          <cell r="U403">
            <v>135</v>
          </cell>
          <cell r="V403">
            <v>90</v>
          </cell>
          <cell r="W403">
            <v>75</v>
          </cell>
          <cell r="X403">
            <v>110</v>
          </cell>
          <cell r="Y403">
            <v>70</v>
          </cell>
          <cell r="Z403">
            <v>20</v>
          </cell>
          <cell r="AA403">
            <v>100</v>
          </cell>
          <cell r="AB403">
            <v>105</v>
          </cell>
          <cell r="AC403">
            <v>40</v>
          </cell>
          <cell r="AD403">
            <v>10</v>
          </cell>
          <cell r="AE403">
            <v>65</v>
          </cell>
          <cell r="AF403">
            <v>71</v>
          </cell>
          <cell r="AG403">
            <v>89</v>
          </cell>
          <cell r="AH403">
            <v>110</v>
          </cell>
          <cell r="AI403">
            <v>175</v>
          </cell>
          <cell r="AJ403">
            <v>110</v>
          </cell>
          <cell r="AK403">
            <v>140</v>
          </cell>
          <cell r="AL403">
            <v>110</v>
          </cell>
          <cell r="AM403">
            <v>95</v>
          </cell>
          <cell r="AN403">
            <v>155</v>
          </cell>
          <cell r="AO403">
            <v>65</v>
          </cell>
          <cell r="AP403">
            <v>45</v>
          </cell>
          <cell r="AQ403">
            <v>150</v>
          </cell>
          <cell r="AR403">
            <v>105</v>
          </cell>
          <cell r="AS403">
            <v>135</v>
          </cell>
          <cell r="AT403">
            <v>145</v>
          </cell>
          <cell r="AU403">
            <v>180</v>
          </cell>
          <cell r="AV403">
            <v>140</v>
          </cell>
          <cell r="AW403">
            <v>60</v>
          </cell>
          <cell r="AX403">
            <v>115</v>
          </cell>
          <cell r="AY403">
            <v>50</v>
          </cell>
          <cell r="AZ403">
            <v>60</v>
          </cell>
          <cell r="BA403">
            <v>100</v>
          </cell>
          <cell r="BB403">
            <v>80</v>
          </cell>
          <cell r="BC403">
            <v>95</v>
          </cell>
          <cell r="BD403">
            <v>85</v>
          </cell>
          <cell r="BE403">
            <v>160</v>
          </cell>
          <cell r="BF403">
            <v>55</v>
          </cell>
          <cell r="BG403">
            <v>120</v>
          </cell>
          <cell r="BH403">
            <v>140</v>
          </cell>
          <cell r="BI403">
            <v>45</v>
          </cell>
          <cell r="BJ403">
            <v>130</v>
          </cell>
          <cell r="BK403">
            <v>65</v>
          </cell>
          <cell r="BL403">
            <v>190</v>
          </cell>
          <cell r="BM403">
            <v>165</v>
          </cell>
          <cell r="BN403">
            <v>145</v>
          </cell>
          <cell r="BO403">
            <v>205</v>
          </cell>
          <cell r="BP403">
            <v>95</v>
          </cell>
          <cell r="BQ403">
            <v>125</v>
          </cell>
          <cell r="BR403">
            <v>245</v>
          </cell>
          <cell r="BS403">
            <v>250</v>
          </cell>
          <cell r="BT403">
            <v>190</v>
          </cell>
          <cell r="BU403">
            <v>225</v>
          </cell>
          <cell r="BV403">
            <v>145</v>
          </cell>
          <cell r="BW403">
            <v>160</v>
          </cell>
          <cell r="BX403">
            <v>155</v>
          </cell>
          <cell r="BY403">
            <v>195</v>
          </cell>
          <cell r="BZ403">
            <v>185</v>
          </cell>
          <cell r="CA403">
            <v>253.5</v>
          </cell>
          <cell r="CB403">
            <v>105</v>
          </cell>
          <cell r="CC403">
            <v>185</v>
          </cell>
          <cell r="CD403">
            <v>266.5</v>
          </cell>
          <cell r="CE403">
            <v>100</v>
          </cell>
          <cell r="CF403">
            <v>20</v>
          </cell>
          <cell r="CG403">
            <v>235</v>
          </cell>
          <cell r="CH403">
            <v>179</v>
          </cell>
          <cell r="CI403">
            <v>202</v>
          </cell>
          <cell r="CJ403">
            <v>188</v>
          </cell>
          <cell r="CK403">
            <v>68</v>
          </cell>
          <cell r="CL403">
            <v>209</v>
          </cell>
          <cell r="CM403">
            <v>127</v>
          </cell>
          <cell r="CN403">
            <v>225</v>
          </cell>
          <cell r="CO403">
            <v>181</v>
          </cell>
          <cell r="CP403">
            <v>222</v>
          </cell>
          <cell r="CQ403">
            <v>188</v>
          </cell>
          <cell r="CR403">
            <v>203</v>
          </cell>
          <cell r="CS403">
            <v>157</v>
          </cell>
          <cell r="CT403">
            <v>243</v>
          </cell>
          <cell r="CU403">
            <v>231</v>
          </cell>
          <cell r="CV403">
            <v>315</v>
          </cell>
          <cell r="CW403">
            <v>310</v>
          </cell>
          <cell r="CX403">
            <v>145</v>
          </cell>
          <cell r="CY403">
            <v>390</v>
          </cell>
          <cell r="CZ403">
            <v>225</v>
          </cell>
          <cell r="DA403">
            <v>215</v>
          </cell>
          <cell r="DB403">
            <v>290</v>
          </cell>
          <cell r="DC403">
            <v>250</v>
          </cell>
          <cell r="DD403">
            <v>190</v>
          </cell>
          <cell r="DE403">
            <v>190</v>
          </cell>
          <cell r="DF403">
            <v>75</v>
          </cell>
          <cell r="DG403" t="str">
            <v>ACTIVO</v>
          </cell>
          <cell r="DH403" t="str">
            <v>B</v>
          </cell>
          <cell r="DI403"/>
          <cell r="DJ403">
            <v>208.32</v>
          </cell>
          <cell r="DK403">
            <v>34.72</v>
          </cell>
          <cell r="DL403">
            <v>57.240499493742881</v>
          </cell>
          <cell r="DM403">
            <v>2380</v>
          </cell>
          <cell r="DN403">
            <v>3808000</v>
          </cell>
          <cell r="DO403">
            <v>11.4247311827957</v>
          </cell>
          <cell r="DP403" t="str">
            <v>OK</v>
          </cell>
          <cell r="DQ403">
            <v>69.44</v>
          </cell>
        </row>
        <row r="404">
          <cell r="B404"/>
          <cell r="C404"/>
          <cell r="D404">
            <v>145</v>
          </cell>
          <cell r="E404">
            <v>215</v>
          </cell>
          <cell r="F404">
            <v>260</v>
          </cell>
          <cell r="G404">
            <v>165</v>
          </cell>
          <cell r="H404">
            <v>90</v>
          </cell>
          <cell r="I404">
            <v>130</v>
          </cell>
          <cell r="J404">
            <v>65</v>
          </cell>
          <cell r="K404">
            <v>100</v>
          </cell>
          <cell r="L404">
            <v>215</v>
          </cell>
          <cell r="M404">
            <v>95</v>
          </cell>
          <cell r="N404">
            <v>85</v>
          </cell>
          <cell r="O404">
            <v>10</v>
          </cell>
          <cell r="P404">
            <v>135</v>
          </cell>
          <cell r="Q404">
            <v>70</v>
          </cell>
          <cell r="R404">
            <v>120</v>
          </cell>
          <cell r="S404">
            <v>120</v>
          </cell>
          <cell r="T404">
            <v>110</v>
          </cell>
          <cell r="U404">
            <v>135</v>
          </cell>
          <cell r="V404">
            <v>90</v>
          </cell>
          <cell r="W404">
            <v>75</v>
          </cell>
          <cell r="X404">
            <v>110</v>
          </cell>
          <cell r="Y404">
            <v>70</v>
          </cell>
          <cell r="Z404">
            <v>20</v>
          </cell>
          <cell r="AA404">
            <v>100</v>
          </cell>
          <cell r="AB404">
            <v>105</v>
          </cell>
          <cell r="AC404">
            <v>40</v>
          </cell>
          <cell r="AD404">
            <v>10</v>
          </cell>
          <cell r="AE404">
            <v>65</v>
          </cell>
          <cell r="AF404">
            <v>71</v>
          </cell>
          <cell r="AG404">
            <v>89</v>
          </cell>
          <cell r="AH404">
            <v>110</v>
          </cell>
          <cell r="AI404">
            <v>175</v>
          </cell>
          <cell r="AJ404">
            <v>110</v>
          </cell>
          <cell r="AK404">
            <v>140</v>
          </cell>
          <cell r="AL404">
            <v>110</v>
          </cell>
          <cell r="AM404">
            <v>95</v>
          </cell>
          <cell r="AN404">
            <v>155</v>
          </cell>
          <cell r="AO404">
            <v>65</v>
          </cell>
          <cell r="AP404">
            <v>45</v>
          </cell>
          <cell r="AQ404">
            <v>150</v>
          </cell>
          <cell r="AR404">
            <v>105</v>
          </cell>
          <cell r="AS404">
            <v>135</v>
          </cell>
          <cell r="AT404">
            <v>145</v>
          </cell>
          <cell r="AU404">
            <v>180</v>
          </cell>
          <cell r="AV404">
            <v>140</v>
          </cell>
          <cell r="AW404">
            <v>60</v>
          </cell>
          <cell r="AX404">
            <v>115</v>
          </cell>
          <cell r="AY404">
            <v>50</v>
          </cell>
          <cell r="AZ404">
            <v>60</v>
          </cell>
          <cell r="BA404">
            <v>100</v>
          </cell>
          <cell r="BB404">
            <v>80</v>
          </cell>
          <cell r="BC404">
            <v>95</v>
          </cell>
          <cell r="BD404">
            <v>85</v>
          </cell>
          <cell r="BE404">
            <v>160</v>
          </cell>
          <cell r="BF404">
            <v>55</v>
          </cell>
          <cell r="BG404">
            <v>120</v>
          </cell>
          <cell r="BH404">
            <v>140</v>
          </cell>
          <cell r="BI404">
            <v>45</v>
          </cell>
          <cell r="BJ404">
            <v>130</v>
          </cell>
          <cell r="BK404">
            <v>65</v>
          </cell>
          <cell r="BL404">
            <v>190</v>
          </cell>
          <cell r="BM404">
            <v>165</v>
          </cell>
          <cell r="BN404">
            <v>145</v>
          </cell>
          <cell r="BO404">
            <v>205</v>
          </cell>
          <cell r="BP404">
            <v>95</v>
          </cell>
          <cell r="BQ404">
            <v>125</v>
          </cell>
          <cell r="BR404">
            <v>245</v>
          </cell>
          <cell r="BS404">
            <v>250</v>
          </cell>
          <cell r="BT404">
            <v>190</v>
          </cell>
          <cell r="BU404">
            <v>225</v>
          </cell>
          <cell r="BV404">
            <v>145</v>
          </cell>
          <cell r="BW404">
            <v>160</v>
          </cell>
          <cell r="BX404">
            <v>155</v>
          </cell>
          <cell r="BY404">
            <v>195</v>
          </cell>
          <cell r="BZ404">
            <v>185</v>
          </cell>
          <cell r="CA404">
            <v>253.5</v>
          </cell>
          <cell r="CB404">
            <v>105</v>
          </cell>
          <cell r="CC404">
            <v>185</v>
          </cell>
          <cell r="CD404">
            <v>266.5</v>
          </cell>
          <cell r="CE404">
            <v>100</v>
          </cell>
          <cell r="CF404">
            <v>20</v>
          </cell>
          <cell r="CG404">
            <v>235</v>
          </cell>
          <cell r="CH404">
            <v>191</v>
          </cell>
          <cell r="CI404">
            <v>202</v>
          </cell>
          <cell r="CJ404">
            <v>215</v>
          </cell>
          <cell r="CK404">
            <v>326</v>
          </cell>
          <cell r="CL404">
            <v>277</v>
          </cell>
          <cell r="CM404">
            <v>133</v>
          </cell>
          <cell r="CN404">
            <v>225</v>
          </cell>
          <cell r="CO404">
            <v>198</v>
          </cell>
          <cell r="CP404">
            <v>222</v>
          </cell>
          <cell r="CQ404">
            <v>188</v>
          </cell>
          <cell r="CR404">
            <v>203</v>
          </cell>
          <cell r="CS404">
            <v>157</v>
          </cell>
          <cell r="CT404">
            <v>278</v>
          </cell>
          <cell r="CU404">
            <v>306</v>
          </cell>
          <cell r="CV404">
            <v>355</v>
          </cell>
          <cell r="CW404">
            <v>335</v>
          </cell>
          <cell r="CX404">
            <v>170</v>
          </cell>
          <cell r="CY404">
            <v>390</v>
          </cell>
          <cell r="CZ404">
            <v>225</v>
          </cell>
          <cell r="DA404">
            <v>215</v>
          </cell>
          <cell r="DB404">
            <v>290</v>
          </cell>
          <cell r="DC404">
            <v>250</v>
          </cell>
          <cell r="DD404">
            <v>190</v>
          </cell>
          <cell r="DE404">
            <v>190</v>
          </cell>
          <cell r="DF404">
            <v>75</v>
          </cell>
          <cell r="DG404" t="str">
            <v>ACTIVO</v>
          </cell>
          <cell r="DH404" t="str">
            <v/>
          </cell>
          <cell r="DI404"/>
          <cell r="DJ404">
            <v>231.84</v>
          </cell>
          <cell r="DK404">
            <v>38.64</v>
          </cell>
          <cell r="DL404">
            <v>57.240499493742881</v>
          </cell>
          <cell r="DM404">
            <v>0</v>
          </cell>
          <cell r="DN404" t="str">
            <v>0</v>
          </cell>
          <cell r="DO404">
            <v>0</v>
          </cell>
          <cell r="DP404" t="str">
            <v>INACTIVO</v>
          </cell>
          <cell r="DQ404">
            <v>0</v>
          </cell>
        </row>
        <row r="405">
          <cell r="B405">
            <v>107176</v>
          </cell>
          <cell r="C405" t="str">
            <v>RON TILICURA</v>
          </cell>
          <cell r="D405"/>
          <cell r="E405"/>
          <cell r="F405"/>
          <cell r="G405"/>
          <cell r="H405"/>
          <cell r="I405"/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>
            <v>20</v>
          </cell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>
            <v>16</v>
          </cell>
          <cell r="AP405">
            <v>4</v>
          </cell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 t="str">
            <v>SIN USO</v>
          </cell>
          <cell r="DH405" t="str">
            <v>C</v>
          </cell>
          <cell r="DI405"/>
          <cell r="DJ405">
            <v>0</v>
          </cell>
          <cell r="DK405">
            <v>0</v>
          </cell>
          <cell r="DL405">
            <v>8.4852813742385695</v>
          </cell>
          <cell r="DM405">
            <v>0</v>
          </cell>
          <cell r="DN405" t="str">
            <v>0</v>
          </cell>
          <cell r="DO405">
            <v>0</v>
          </cell>
          <cell r="DP405" t="str">
            <v>INACTIVO</v>
          </cell>
          <cell r="DQ405">
            <v>0</v>
          </cell>
        </row>
        <row r="406">
          <cell r="B406">
            <v>170174</v>
          </cell>
          <cell r="C406" t="str">
            <v>RON DORADO</v>
          </cell>
          <cell r="D406"/>
          <cell r="E406"/>
          <cell r="F406"/>
          <cell r="G406">
            <v>20</v>
          </cell>
          <cell r="H406">
            <v>8</v>
          </cell>
          <cell r="I406">
            <v>2</v>
          </cell>
          <cell r="J406">
            <v>8</v>
          </cell>
          <cell r="K406">
            <v>17</v>
          </cell>
          <cell r="L406"/>
          <cell r="M406"/>
          <cell r="N406">
            <v>10</v>
          </cell>
          <cell r="O406"/>
          <cell r="P406">
            <v>11</v>
          </cell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>
            <v>12</v>
          </cell>
          <cell r="AY406"/>
          <cell r="AZ406"/>
          <cell r="BA406">
            <v>9</v>
          </cell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 t="str">
            <v>SIN USO</v>
          </cell>
          <cell r="DH406" t="str">
            <v>C</v>
          </cell>
          <cell r="DI406"/>
          <cell r="DJ406">
            <v>0</v>
          </cell>
          <cell r="DK406">
            <v>0</v>
          </cell>
          <cell r="DL406">
            <v>2.1213203435596424</v>
          </cell>
          <cell r="DM406">
            <v>0</v>
          </cell>
          <cell r="DN406" t="str">
            <v>0</v>
          </cell>
          <cell r="DO406">
            <v>0</v>
          </cell>
          <cell r="DP406" t="str">
            <v>INACTIVO</v>
          </cell>
          <cell r="DQ406">
            <v>0</v>
          </cell>
        </row>
        <row r="407">
          <cell r="B407">
            <v>405398</v>
          </cell>
          <cell r="C407" t="str">
            <v>RON DORADO CABO VIEJO 750CC</v>
          </cell>
          <cell r="D407"/>
          <cell r="E407"/>
          <cell r="F407"/>
          <cell r="G407"/>
          <cell r="H407"/>
          <cell r="I407"/>
          <cell r="J407"/>
          <cell r="K407"/>
          <cell r="L407"/>
          <cell r="M407"/>
          <cell r="N407"/>
          <cell r="O407"/>
          <cell r="P407">
            <v>4</v>
          </cell>
          <cell r="Q407"/>
          <cell r="R407"/>
          <cell r="S407">
            <v>13</v>
          </cell>
          <cell r="T407">
            <v>14</v>
          </cell>
          <cell r="U407"/>
          <cell r="V407"/>
          <cell r="W407">
            <v>12</v>
          </cell>
          <cell r="X407">
            <v>8</v>
          </cell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>
            <v>15</v>
          </cell>
          <cell r="AV407"/>
          <cell r="AW407"/>
          <cell r="AX407"/>
          <cell r="AY407"/>
          <cell r="AZ407"/>
          <cell r="BA407">
            <v>1</v>
          </cell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 t="str">
            <v>SIN USO</v>
          </cell>
          <cell r="DH407" t="str">
            <v>C</v>
          </cell>
          <cell r="DI407"/>
          <cell r="DJ407">
            <v>0</v>
          </cell>
          <cell r="DK407">
            <v>0</v>
          </cell>
          <cell r="DL407">
            <v>9.8994949366116654</v>
          </cell>
          <cell r="DM407">
            <v>0</v>
          </cell>
          <cell r="DN407" t="str">
            <v>0</v>
          </cell>
          <cell r="DO407">
            <v>0</v>
          </cell>
          <cell r="DP407" t="str">
            <v>INACTIVO</v>
          </cell>
          <cell r="DQ407">
            <v>0</v>
          </cell>
        </row>
        <row r="408">
          <cell r="B408"/>
          <cell r="C408"/>
          <cell r="D408"/>
          <cell r="E408"/>
          <cell r="F408"/>
          <cell r="G408">
            <v>20</v>
          </cell>
          <cell r="H408">
            <v>8</v>
          </cell>
          <cell r="I408">
            <v>2</v>
          </cell>
          <cell r="J408">
            <v>8</v>
          </cell>
          <cell r="K408">
            <v>17</v>
          </cell>
          <cell r="L408"/>
          <cell r="M408"/>
          <cell r="N408">
            <v>10</v>
          </cell>
          <cell r="O408"/>
          <cell r="P408">
            <v>15</v>
          </cell>
          <cell r="Q408"/>
          <cell r="R408"/>
          <cell r="S408">
            <v>13</v>
          </cell>
          <cell r="T408">
            <v>14</v>
          </cell>
          <cell r="U408"/>
          <cell r="V408"/>
          <cell r="W408">
            <v>12</v>
          </cell>
          <cell r="X408">
            <v>8</v>
          </cell>
          <cell r="Y408"/>
          <cell r="Z408"/>
          <cell r="AA408"/>
          <cell r="AB408"/>
          <cell r="AC408">
            <v>20</v>
          </cell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>
            <v>16</v>
          </cell>
          <cell r="AP408">
            <v>4</v>
          </cell>
          <cell r="AQ408"/>
          <cell r="AR408"/>
          <cell r="AS408"/>
          <cell r="AT408"/>
          <cell r="AU408">
            <v>15</v>
          </cell>
          <cell r="AV408"/>
          <cell r="AW408"/>
          <cell r="AX408">
            <v>12</v>
          </cell>
          <cell r="AY408"/>
          <cell r="AZ408"/>
          <cell r="BA408">
            <v>10</v>
          </cell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 t="str">
            <v>ACTIVO</v>
          </cell>
          <cell r="DH408" t="str">
            <v/>
          </cell>
          <cell r="DI408"/>
          <cell r="DJ408">
            <v>0</v>
          </cell>
          <cell r="DK408">
            <v>0</v>
          </cell>
          <cell r="DL408">
            <v>4.7749345545253297</v>
          </cell>
          <cell r="DM408">
            <v>0</v>
          </cell>
          <cell r="DN408" t="str">
            <v>0</v>
          </cell>
          <cell r="DO408">
            <v>0</v>
          </cell>
          <cell r="DP408" t="str">
            <v>INACTIVO</v>
          </cell>
          <cell r="DQ408">
            <v>0</v>
          </cell>
        </row>
        <row r="409">
          <cell r="B409">
            <v>402130</v>
          </cell>
          <cell r="C409" t="str">
            <v>NUEZ PICADILLO LAS TRES ERRES</v>
          </cell>
          <cell r="D409"/>
          <cell r="E409"/>
          <cell r="F409">
            <v>35</v>
          </cell>
          <cell r="G409">
            <v>30</v>
          </cell>
          <cell r="H409">
            <v>20</v>
          </cell>
          <cell r="I409">
            <v>25</v>
          </cell>
          <cell r="J409">
            <v>35</v>
          </cell>
          <cell r="K409">
            <v>45</v>
          </cell>
          <cell r="L409">
            <v>50</v>
          </cell>
          <cell r="M409">
            <v>50</v>
          </cell>
          <cell r="N409">
            <v>80</v>
          </cell>
          <cell r="O409">
            <v>10</v>
          </cell>
          <cell r="P409">
            <v>25</v>
          </cell>
          <cell r="Q409">
            <v>65</v>
          </cell>
          <cell r="R409">
            <v>105</v>
          </cell>
          <cell r="S409">
            <v>35</v>
          </cell>
          <cell r="T409">
            <v>25</v>
          </cell>
          <cell r="U409">
            <v>25</v>
          </cell>
          <cell r="V409">
            <v>40</v>
          </cell>
          <cell r="W409">
            <v>40</v>
          </cell>
          <cell r="X409">
            <v>35</v>
          </cell>
          <cell r="Y409">
            <v>115</v>
          </cell>
          <cell r="Z409">
            <v>45</v>
          </cell>
          <cell r="AA409">
            <v>25</v>
          </cell>
          <cell r="AB409">
            <v>30</v>
          </cell>
          <cell r="AC409">
            <v>25</v>
          </cell>
          <cell r="AD409">
            <v>15</v>
          </cell>
          <cell r="AE409">
            <v>15</v>
          </cell>
          <cell r="AF409">
            <v>40</v>
          </cell>
          <cell r="AG409">
            <v>40</v>
          </cell>
          <cell r="AH409">
            <v>95</v>
          </cell>
          <cell r="AI409">
            <v>35</v>
          </cell>
          <cell r="AJ409">
            <v>55</v>
          </cell>
          <cell r="AK409">
            <v>35</v>
          </cell>
          <cell r="AL409">
            <v>40</v>
          </cell>
          <cell r="AM409">
            <v>35</v>
          </cell>
          <cell r="AN409">
            <v>25</v>
          </cell>
          <cell r="AO409">
            <v>30</v>
          </cell>
          <cell r="AP409">
            <v>55</v>
          </cell>
          <cell r="AQ409">
            <v>25</v>
          </cell>
          <cell r="AR409">
            <v>35</v>
          </cell>
          <cell r="AS409">
            <v>55</v>
          </cell>
          <cell r="AT409">
            <v>45</v>
          </cell>
          <cell r="AU409">
            <v>35</v>
          </cell>
          <cell r="AV409">
            <v>40</v>
          </cell>
          <cell r="AW409">
            <v>30</v>
          </cell>
          <cell r="AX409">
            <v>35</v>
          </cell>
          <cell r="AY409">
            <v>60</v>
          </cell>
          <cell r="AZ409">
            <v>45</v>
          </cell>
          <cell r="BA409">
            <v>20</v>
          </cell>
          <cell r="BB409"/>
          <cell r="BC409"/>
          <cell r="BD409"/>
          <cell r="BE409"/>
          <cell r="BF409"/>
          <cell r="BG409"/>
          <cell r="BH409"/>
          <cell r="BI409"/>
          <cell r="BJ409">
            <v>10</v>
          </cell>
          <cell r="BK409">
            <v>25</v>
          </cell>
          <cell r="BL409">
            <v>45</v>
          </cell>
          <cell r="BM409">
            <v>65</v>
          </cell>
          <cell r="BN409">
            <v>45</v>
          </cell>
          <cell r="BO409">
            <v>5</v>
          </cell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>
            <v>40</v>
          </cell>
          <cell r="CB409">
            <v>35</v>
          </cell>
          <cell r="CC409">
            <v>10</v>
          </cell>
          <cell r="CD409">
            <v>15</v>
          </cell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>
            <v>40</v>
          </cell>
          <cell r="CQ409">
            <v>55</v>
          </cell>
          <cell r="CR409">
            <v>55</v>
          </cell>
          <cell r="CS409">
            <v>20</v>
          </cell>
          <cell r="CT409">
            <v>15</v>
          </cell>
          <cell r="CU409">
            <v>55</v>
          </cell>
          <cell r="CV409">
            <v>50</v>
          </cell>
          <cell r="CW409">
            <v>45</v>
          </cell>
          <cell r="CX409">
            <v>40</v>
          </cell>
          <cell r="CY409">
            <v>60</v>
          </cell>
          <cell r="CZ409">
            <v>55</v>
          </cell>
          <cell r="DA409">
            <v>65</v>
          </cell>
          <cell r="DB409">
            <v>50</v>
          </cell>
          <cell r="DC409">
            <v>70</v>
          </cell>
          <cell r="DD409">
            <v>65</v>
          </cell>
          <cell r="DE409">
            <v>55</v>
          </cell>
          <cell r="DF409">
            <v>5</v>
          </cell>
          <cell r="DG409" t="str">
            <v>ACTIVO</v>
          </cell>
          <cell r="DH409" t="str">
            <v>C</v>
          </cell>
          <cell r="DI409"/>
          <cell r="DJ409">
            <v>49.333333333333336</v>
          </cell>
          <cell r="DK409">
            <v>8.2222222222222232</v>
          </cell>
          <cell r="DL409">
            <v>17.894630564230798</v>
          </cell>
          <cell r="DM409">
            <v>95</v>
          </cell>
          <cell r="DN409">
            <v>475000</v>
          </cell>
          <cell r="DO409">
            <v>1.9256756756756757</v>
          </cell>
          <cell r="DP409" t="str">
            <v>OK</v>
          </cell>
          <cell r="DQ409">
            <v>24.666666666666671</v>
          </cell>
        </row>
        <row r="410">
          <cell r="B410">
            <v>405543</v>
          </cell>
          <cell r="C410" t="str">
            <v>NUEZ PICADILLO CAMPOS</v>
          </cell>
          <cell r="D410"/>
          <cell r="E410"/>
          <cell r="F410"/>
          <cell r="G410"/>
          <cell r="H410"/>
          <cell r="I410"/>
          <cell r="J410"/>
          <cell r="K410"/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>
            <v>100</v>
          </cell>
          <cell r="BC410">
            <v>35</v>
          </cell>
          <cell r="BD410">
            <v>123.69</v>
          </cell>
          <cell r="BE410">
            <v>45</v>
          </cell>
          <cell r="BF410">
            <v>50</v>
          </cell>
          <cell r="BG410">
            <v>60</v>
          </cell>
          <cell r="BH410">
            <v>65</v>
          </cell>
          <cell r="BI410">
            <v>80</v>
          </cell>
          <cell r="BJ410">
            <v>50</v>
          </cell>
          <cell r="BK410">
            <v>20</v>
          </cell>
          <cell r="BL410">
            <v>20</v>
          </cell>
          <cell r="BM410"/>
          <cell r="BN410"/>
          <cell r="BO410">
            <v>65</v>
          </cell>
          <cell r="BP410">
            <v>20</v>
          </cell>
          <cell r="BQ410">
            <v>70</v>
          </cell>
          <cell r="BR410">
            <v>85</v>
          </cell>
          <cell r="BS410">
            <v>80</v>
          </cell>
          <cell r="BT410">
            <v>45</v>
          </cell>
          <cell r="BU410">
            <v>70</v>
          </cell>
          <cell r="BV410">
            <v>45</v>
          </cell>
          <cell r="BW410">
            <v>45</v>
          </cell>
          <cell r="BX410">
            <v>45</v>
          </cell>
          <cell r="BY410">
            <v>45</v>
          </cell>
          <cell r="BZ410">
            <v>60</v>
          </cell>
          <cell r="CA410">
            <v>15</v>
          </cell>
          <cell r="CB410">
            <v>5</v>
          </cell>
          <cell r="CC410">
            <v>55</v>
          </cell>
          <cell r="CD410">
            <v>25</v>
          </cell>
          <cell r="CE410">
            <v>25</v>
          </cell>
          <cell r="CF410">
            <v>10</v>
          </cell>
          <cell r="CG410">
            <v>50</v>
          </cell>
          <cell r="CH410">
            <v>45</v>
          </cell>
          <cell r="CI410">
            <v>110</v>
          </cell>
          <cell r="CJ410">
            <v>45</v>
          </cell>
          <cell r="CK410">
            <v>60</v>
          </cell>
          <cell r="CL410">
            <v>50</v>
          </cell>
          <cell r="CM410">
            <v>50</v>
          </cell>
          <cell r="CN410">
            <v>45</v>
          </cell>
          <cell r="CO410">
            <v>65</v>
          </cell>
          <cell r="CP410">
            <v>10</v>
          </cell>
          <cell r="CQ410">
            <v>5</v>
          </cell>
          <cell r="CR410"/>
          <cell r="CS410">
            <v>40</v>
          </cell>
          <cell r="CT410">
            <v>75</v>
          </cell>
          <cell r="CU410"/>
          <cell r="CV410">
            <v>5</v>
          </cell>
          <cell r="CW410">
            <v>10</v>
          </cell>
          <cell r="CX410">
            <v>10</v>
          </cell>
          <cell r="CY410"/>
          <cell r="CZ410"/>
          <cell r="DA410"/>
          <cell r="DB410"/>
          <cell r="DC410"/>
          <cell r="DD410"/>
          <cell r="DE410"/>
          <cell r="DF410"/>
          <cell r="DG410" t="str">
            <v>ACTIVO</v>
          </cell>
          <cell r="DH410" t="str">
            <v>B</v>
          </cell>
          <cell r="DI410"/>
          <cell r="DJ410">
            <v>40.294117647058826</v>
          </cell>
          <cell r="DK410">
            <v>6.715686274509804</v>
          </cell>
          <cell r="DL410">
            <v>27.162438435686997</v>
          </cell>
          <cell r="DM410">
            <v>0</v>
          </cell>
          <cell r="DN410" t="str">
            <v>0</v>
          </cell>
          <cell r="DO410">
            <v>0</v>
          </cell>
          <cell r="DP410" t="str">
            <v>COMPRAR</v>
          </cell>
          <cell r="DQ410">
            <v>20.147058823529413</v>
          </cell>
        </row>
        <row r="411">
          <cell r="B411">
            <v>107351</v>
          </cell>
          <cell r="C411" t="str">
            <v>PASA MORENA</v>
          </cell>
          <cell r="D411"/>
          <cell r="E411"/>
          <cell r="F411"/>
          <cell r="G411">
            <v>10</v>
          </cell>
          <cell r="H411">
            <v>20</v>
          </cell>
          <cell r="I411">
            <v>20</v>
          </cell>
          <cell r="J411">
            <v>20</v>
          </cell>
          <cell r="K411">
            <v>40</v>
          </cell>
          <cell r="L411">
            <v>30</v>
          </cell>
          <cell r="M411">
            <v>140</v>
          </cell>
          <cell r="N411">
            <v>50</v>
          </cell>
          <cell r="O411">
            <v>10</v>
          </cell>
          <cell r="P411">
            <v>61</v>
          </cell>
          <cell r="Q411">
            <v>80</v>
          </cell>
          <cell r="R411">
            <v>30</v>
          </cell>
          <cell r="S411">
            <v>60</v>
          </cell>
          <cell r="T411">
            <v>30</v>
          </cell>
          <cell r="U411">
            <v>50</v>
          </cell>
          <cell r="V411">
            <v>50</v>
          </cell>
          <cell r="W411">
            <v>40</v>
          </cell>
          <cell r="X411">
            <v>60</v>
          </cell>
          <cell r="Y411">
            <v>40</v>
          </cell>
          <cell r="Z411">
            <v>40</v>
          </cell>
          <cell r="AA411">
            <v>41</v>
          </cell>
          <cell r="AB411">
            <v>40</v>
          </cell>
          <cell r="AC411">
            <v>50</v>
          </cell>
          <cell r="AD411">
            <v>10</v>
          </cell>
          <cell r="AE411"/>
          <cell r="AF411">
            <v>70</v>
          </cell>
          <cell r="AG411">
            <v>40</v>
          </cell>
          <cell r="AH411">
            <v>20</v>
          </cell>
          <cell r="AI411">
            <v>42</v>
          </cell>
          <cell r="AJ411">
            <v>40</v>
          </cell>
          <cell r="AK411">
            <v>52</v>
          </cell>
          <cell r="AL411">
            <v>38</v>
          </cell>
          <cell r="AM411">
            <v>44</v>
          </cell>
          <cell r="AN411">
            <v>53</v>
          </cell>
          <cell r="AO411">
            <v>26</v>
          </cell>
          <cell r="AP411">
            <v>34</v>
          </cell>
          <cell r="AQ411">
            <v>60</v>
          </cell>
          <cell r="AR411">
            <v>26</v>
          </cell>
          <cell r="AS411">
            <v>58</v>
          </cell>
          <cell r="AT411">
            <v>50</v>
          </cell>
          <cell r="AU411">
            <v>70</v>
          </cell>
          <cell r="AV411">
            <v>30</v>
          </cell>
          <cell r="AW411">
            <v>46</v>
          </cell>
          <cell r="AX411">
            <v>25</v>
          </cell>
          <cell r="AY411">
            <v>19</v>
          </cell>
          <cell r="AZ411">
            <v>31</v>
          </cell>
          <cell r="BA411">
            <v>58</v>
          </cell>
          <cell r="BB411">
            <v>58</v>
          </cell>
          <cell r="BC411">
            <v>49</v>
          </cell>
          <cell r="BD411">
            <v>44</v>
          </cell>
          <cell r="BE411">
            <v>48</v>
          </cell>
          <cell r="BF411">
            <v>63</v>
          </cell>
          <cell r="BG411">
            <v>40</v>
          </cell>
          <cell r="BH411">
            <v>74</v>
          </cell>
          <cell r="BI411">
            <v>50</v>
          </cell>
          <cell r="BJ411">
            <v>41</v>
          </cell>
          <cell r="BK411">
            <v>48</v>
          </cell>
          <cell r="BL411">
            <v>53</v>
          </cell>
          <cell r="BM411">
            <v>47</v>
          </cell>
          <cell r="BN411">
            <v>45</v>
          </cell>
          <cell r="BO411">
            <v>50</v>
          </cell>
          <cell r="BP411">
            <v>6</v>
          </cell>
          <cell r="BQ411">
            <v>72</v>
          </cell>
          <cell r="BR411">
            <v>66</v>
          </cell>
          <cell r="BS411">
            <v>50</v>
          </cell>
          <cell r="BT411">
            <v>45</v>
          </cell>
          <cell r="BU411">
            <v>62</v>
          </cell>
          <cell r="BV411">
            <v>38</v>
          </cell>
          <cell r="BW411">
            <v>36</v>
          </cell>
          <cell r="BX411">
            <v>27</v>
          </cell>
          <cell r="BY411">
            <v>24</v>
          </cell>
          <cell r="BZ411">
            <v>133</v>
          </cell>
          <cell r="CA411">
            <v>35</v>
          </cell>
          <cell r="CB411">
            <v>40</v>
          </cell>
          <cell r="CC411">
            <v>22</v>
          </cell>
          <cell r="CD411">
            <v>29</v>
          </cell>
          <cell r="CE411">
            <v>20</v>
          </cell>
          <cell r="CF411">
            <v>10</v>
          </cell>
          <cell r="CG411">
            <v>40</v>
          </cell>
          <cell r="CH411">
            <v>30</v>
          </cell>
          <cell r="CI411">
            <v>30</v>
          </cell>
          <cell r="CJ411">
            <v>50</v>
          </cell>
          <cell r="CK411">
            <v>70</v>
          </cell>
          <cell r="CL411">
            <v>60</v>
          </cell>
          <cell r="CM411">
            <v>60</v>
          </cell>
          <cell r="CN411">
            <v>60</v>
          </cell>
          <cell r="CO411">
            <v>60</v>
          </cell>
          <cell r="CP411">
            <v>60</v>
          </cell>
          <cell r="CQ411">
            <v>60</v>
          </cell>
          <cell r="CR411">
            <v>60</v>
          </cell>
          <cell r="CS411">
            <v>50</v>
          </cell>
          <cell r="CT411">
            <v>70</v>
          </cell>
          <cell r="CU411">
            <v>60</v>
          </cell>
          <cell r="CV411">
            <v>60</v>
          </cell>
          <cell r="CW411">
            <v>51</v>
          </cell>
          <cell r="CX411">
            <v>60</v>
          </cell>
          <cell r="CY411">
            <v>70</v>
          </cell>
          <cell r="CZ411">
            <v>60</v>
          </cell>
          <cell r="DA411">
            <v>60</v>
          </cell>
          <cell r="DB411">
            <v>70</v>
          </cell>
          <cell r="DC411">
            <v>60</v>
          </cell>
          <cell r="DD411">
            <v>70</v>
          </cell>
          <cell r="DE411">
            <v>60</v>
          </cell>
          <cell r="DF411">
            <v>10</v>
          </cell>
          <cell r="DG411" t="str">
            <v>ACTIVO</v>
          </cell>
          <cell r="DH411" t="str">
            <v>C</v>
          </cell>
          <cell r="DI411"/>
          <cell r="DJ411">
            <v>55.64</v>
          </cell>
          <cell r="DK411">
            <v>9.2733333333333334</v>
          </cell>
          <cell r="DL411">
            <v>19.669852363605404</v>
          </cell>
          <cell r="DM411">
            <v>193</v>
          </cell>
          <cell r="DN411">
            <v>617598.06999999995</v>
          </cell>
          <cell r="DO411">
            <v>3.468727534148095</v>
          </cell>
          <cell r="DP411" t="str">
            <v>OK</v>
          </cell>
          <cell r="DQ411">
            <v>27.82</v>
          </cell>
        </row>
        <row r="412">
          <cell r="B412">
            <v>106302</v>
          </cell>
          <cell r="C412" t="str">
            <v>CANELA EN POLVO ALTO LA CRUZ</v>
          </cell>
          <cell r="D412"/>
          <cell r="E412"/>
          <cell r="F412">
            <v>1</v>
          </cell>
          <cell r="G412">
            <v>3</v>
          </cell>
          <cell r="H412">
            <v>1</v>
          </cell>
          <cell r="I412">
            <v>2</v>
          </cell>
          <cell r="J412">
            <v>2</v>
          </cell>
          <cell r="K412">
            <v>1</v>
          </cell>
          <cell r="L412">
            <v>2</v>
          </cell>
          <cell r="M412">
            <v>3</v>
          </cell>
          <cell r="N412">
            <v>2</v>
          </cell>
          <cell r="O412">
            <v>1</v>
          </cell>
          <cell r="P412">
            <v>3</v>
          </cell>
          <cell r="Q412">
            <v>3</v>
          </cell>
          <cell r="R412">
            <v>3</v>
          </cell>
          <cell r="S412">
            <v>1</v>
          </cell>
          <cell r="T412">
            <v>2</v>
          </cell>
          <cell r="U412">
            <v>3</v>
          </cell>
          <cell r="V412">
            <v>2</v>
          </cell>
          <cell r="W412">
            <v>1</v>
          </cell>
          <cell r="X412">
            <v>3</v>
          </cell>
          <cell r="Y412">
            <v>1</v>
          </cell>
          <cell r="Z412">
            <v>2</v>
          </cell>
          <cell r="AA412">
            <v>3</v>
          </cell>
          <cell r="AB412">
            <v>2</v>
          </cell>
          <cell r="AC412">
            <v>2</v>
          </cell>
          <cell r="AD412">
            <v>1</v>
          </cell>
          <cell r="AE412"/>
          <cell r="AF412">
            <v>2</v>
          </cell>
          <cell r="AG412">
            <v>1</v>
          </cell>
          <cell r="AH412">
            <v>1</v>
          </cell>
          <cell r="AI412">
            <v>3</v>
          </cell>
          <cell r="AJ412">
            <v>2</v>
          </cell>
          <cell r="AK412">
            <v>2</v>
          </cell>
          <cell r="AL412">
            <v>3</v>
          </cell>
          <cell r="AM412">
            <v>1</v>
          </cell>
          <cell r="AN412"/>
          <cell r="AO412">
            <v>1</v>
          </cell>
          <cell r="AP412">
            <v>3</v>
          </cell>
          <cell r="AQ412">
            <v>2</v>
          </cell>
          <cell r="AR412">
            <v>1</v>
          </cell>
          <cell r="AS412">
            <v>2</v>
          </cell>
          <cell r="AT412">
            <v>2</v>
          </cell>
          <cell r="AU412">
            <v>1</v>
          </cell>
          <cell r="AV412">
            <v>2</v>
          </cell>
          <cell r="AW412">
            <v>2</v>
          </cell>
          <cell r="AX412">
            <v>2</v>
          </cell>
          <cell r="AY412">
            <v>10</v>
          </cell>
          <cell r="AZ412">
            <v>1</v>
          </cell>
          <cell r="BA412">
            <v>2</v>
          </cell>
          <cell r="BB412">
            <v>2</v>
          </cell>
          <cell r="BC412">
            <v>6</v>
          </cell>
          <cell r="BD412">
            <v>2</v>
          </cell>
          <cell r="BE412">
            <v>2</v>
          </cell>
          <cell r="BF412">
            <v>1</v>
          </cell>
          <cell r="BG412">
            <v>3</v>
          </cell>
          <cell r="BH412">
            <v>2</v>
          </cell>
          <cell r="BI412">
            <v>3</v>
          </cell>
          <cell r="BJ412">
            <v>7</v>
          </cell>
          <cell r="BK412">
            <v>8</v>
          </cell>
          <cell r="BL412">
            <v>2</v>
          </cell>
          <cell r="BM412">
            <v>7</v>
          </cell>
          <cell r="BN412">
            <v>4</v>
          </cell>
          <cell r="BO412">
            <v>3</v>
          </cell>
          <cell r="BP412">
            <v>1</v>
          </cell>
          <cell r="BQ412">
            <v>4</v>
          </cell>
          <cell r="BR412">
            <v>5</v>
          </cell>
          <cell r="BS412">
            <v>3</v>
          </cell>
          <cell r="BT412">
            <v>2</v>
          </cell>
          <cell r="BU412">
            <v>6</v>
          </cell>
          <cell r="BV412">
            <v>2</v>
          </cell>
          <cell r="BW412">
            <v>3</v>
          </cell>
          <cell r="BX412">
            <v>3</v>
          </cell>
          <cell r="BY412">
            <v>1</v>
          </cell>
          <cell r="BZ412">
            <v>5</v>
          </cell>
          <cell r="CA412">
            <v>2</v>
          </cell>
          <cell r="CB412">
            <v>2</v>
          </cell>
          <cell r="CC412">
            <v>2</v>
          </cell>
          <cell r="CD412">
            <v>3</v>
          </cell>
          <cell r="CE412">
            <v>1</v>
          </cell>
          <cell r="CF412"/>
          <cell r="CG412">
            <v>2</v>
          </cell>
          <cell r="CH412">
            <v>2</v>
          </cell>
          <cell r="CI412">
            <v>2</v>
          </cell>
          <cell r="CJ412">
            <v>2</v>
          </cell>
          <cell r="CK412">
            <v>1</v>
          </cell>
          <cell r="CL412">
            <v>3</v>
          </cell>
          <cell r="CM412">
            <v>2</v>
          </cell>
          <cell r="CN412">
            <v>2</v>
          </cell>
          <cell r="CO412">
            <v>2</v>
          </cell>
          <cell r="CP412">
            <v>2</v>
          </cell>
          <cell r="CQ412">
            <v>4</v>
          </cell>
          <cell r="CR412">
            <v>4</v>
          </cell>
          <cell r="CS412">
            <v>6</v>
          </cell>
          <cell r="CT412">
            <v>2</v>
          </cell>
          <cell r="CU412">
            <v>3</v>
          </cell>
          <cell r="CV412">
            <v>2</v>
          </cell>
          <cell r="CW412">
            <v>3</v>
          </cell>
          <cell r="CX412">
            <v>3</v>
          </cell>
          <cell r="CY412">
            <v>2</v>
          </cell>
          <cell r="CZ412">
            <v>1</v>
          </cell>
          <cell r="DA412">
            <v>2</v>
          </cell>
          <cell r="DB412">
            <v>3</v>
          </cell>
          <cell r="DC412">
            <v>2</v>
          </cell>
          <cell r="DD412">
            <v>2</v>
          </cell>
          <cell r="DE412">
            <v>2</v>
          </cell>
          <cell r="DF412">
            <v>1</v>
          </cell>
          <cell r="DG412" t="str">
            <v>ACTIVO</v>
          </cell>
          <cell r="DH412" t="str">
            <v>C</v>
          </cell>
          <cell r="DI412"/>
          <cell r="DJ412">
            <v>2.4583333333333335</v>
          </cell>
          <cell r="DK412">
            <v>0.40972222222222227</v>
          </cell>
          <cell r="DL412">
            <v>1.9800970465422878</v>
          </cell>
          <cell r="DM412">
            <v>89</v>
          </cell>
          <cell r="DN412">
            <v>870239.33</v>
          </cell>
          <cell r="DO412">
            <v>36.20338983050847</v>
          </cell>
          <cell r="DP412" t="str">
            <v>OK</v>
          </cell>
          <cell r="DQ412">
            <v>1.2291666666666667</v>
          </cell>
        </row>
        <row r="413">
          <cell r="B413">
            <v>106401</v>
          </cell>
          <cell r="C413" t="str">
            <v>CAFE POLVO WINKLER</v>
          </cell>
          <cell r="D413"/>
          <cell r="E413"/>
          <cell r="F413"/>
          <cell r="G413">
            <v>10</v>
          </cell>
          <cell r="H413">
            <v>4</v>
          </cell>
          <cell r="I413">
            <v>1.5</v>
          </cell>
          <cell r="J413">
            <v>7</v>
          </cell>
          <cell r="K413">
            <v>23.5</v>
          </cell>
          <cell r="L413"/>
          <cell r="M413"/>
          <cell r="N413">
            <v>10</v>
          </cell>
          <cell r="O413"/>
          <cell r="P413">
            <v>15</v>
          </cell>
          <cell r="Q413"/>
          <cell r="R413"/>
          <cell r="S413">
            <v>18</v>
          </cell>
          <cell r="T413">
            <v>10</v>
          </cell>
          <cell r="U413"/>
          <cell r="V413"/>
          <cell r="W413">
            <v>1</v>
          </cell>
          <cell r="X413">
            <v>20</v>
          </cell>
          <cell r="Y413"/>
          <cell r="Z413"/>
          <cell r="AA413"/>
          <cell r="AB413">
            <v>23</v>
          </cell>
          <cell r="AC413"/>
          <cell r="AD413"/>
          <cell r="AE413"/>
          <cell r="AF413"/>
          <cell r="AG413"/>
          <cell r="AH413"/>
          <cell r="AI413">
            <v>120.5</v>
          </cell>
          <cell r="AJ413"/>
          <cell r="AK413"/>
          <cell r="AL413"/>
          <cell r="AM413"/>
          <cell r="AN413">
            <v>10</v>
          </cell>
          <cell r="AO413"/>
          <cell r="AP413"/>
          <cell r="AQ413"/>
          <cell r="AR413"/>
          <cell r="AS413"/>
          <cell r="AT413">
            <v>11</v>
          </cell>
          <cell r="AU413"/>
          <cell r="AV413"/>
          <cell r="AW413"/>
          <cell r="AX413">
            <v>11.5</v>
          </cell>
          <cell r="AY413">
            <v>1</v>
          </cell>
          <cell r="AZ413"/>
          <cell r="BA413">
            <v>11.5</v>
          </cell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>
            <v>70</v>
          </cell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>
            <v>47.5</v>
          </cell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 t="str">
            <v>ACTIVO</v>
          </cell>
          <cell r="DH413" t="str">
            <v>C</v>
          </cell>
          <cell r="DI413"/>
          <cell r="DJ413">
            <v>0</v>
          </cell>
          <cell r="DK413">
            <v>0</v>
          </cell>
          <cell r="DL413">
            <v>41.665119018876482</v>
          </cell>
          <cell r="DM413">
            <v>0</v>
          </cell>
          <cell r="DN413" t="str">
            <v>0</v>
          </cell>
          <cell r="DO413">
            <v>0</v>
          </cell>
          <cell r="DP413" t="str">
            <v>COMPRAR</v>
          </cell>
          <cell r="DQ413">
            <v>0</v>
          </cell>
        </row>
        <row r="414">
          <cell r="B414">
            <v>107134</v>
          </cell>
          <cell r="C414" t="str">
            <v>COCO RALLADO ALTO LA CRUZ</v>
          </cell>
          <cell r="D414">
            <v>80</v>
          </cell>
          <cell r="E414">
            <v>40</v>
          </cell>
          <cell r="F414">
            <v>90</v>
          </cell>
          <cell r="G414">
            <v>85</v>
          </cell>
          <cell r="H414">
            <v>45</v>
          </cell>
          <cell r="I414">
            <v>10</v>
          </cell>
          <cell r="J414">
            <v>35</v>
          </cell>
          <cell r="K414">
            <v>40</v>
          </cell>
          <cell r="L414">
            <v>110</v>
          </cell>
          <cell r="M414">
            <v>60</v>
          </cell>
          <cell r="N414">
            <v>50</v>
          </cell>
          <cell r="O414">
            <v>10</v>
          </cell>
          <cell r="P414">
            <v>25</v>
          </cell>
          <cell r="Q414">
            <v>10</v>
          </cell>
          <cell r="R414">
            <v>70</v>
          </cell>
          <cell r="S414">
            <v>55</v>
          </cell>
          <cell r="T414">
            <v>90</v>
          </cell>
          <cell r="U414">
            <v>125</v>
          </cell>
          <cell r="V414">
            <v>70</v>
          </cell>
          <cell r="W414">
            <v>15</v>
          </cell>
          <cell r="X414">
            <v>135</v>
          </cell>
          <cell r="Y414">
            <v>55</v>
          </cell>
          <cell r="Z414"/>
          <cell r="AA414">
            <v>60</v>
          </cell>
          <cell r="AB414">
            <v>70</v>
          </cell>
          <cell r="AC414">
            <v>20</v>
          </cell>
          <cell r="AD414">
            <v>30</v>
          </cell>
          <cell r="AE414">
            <v>10</v>
          </cell>
          <cell r="AF414">
            <v>75</v>
          </cell>
          <cell r="AG414">
            <v>75</v>
          </cell>
          <cell r="AH414">
            <v>110</v>
          </cell>
          <cell r="AI414">
            <v>116</v>
          </cell>
          <cell r="AJ414">
            <v>55</v>
          </cell>
          <cell r="AK414">
            <v>65</v>
          </cell>
          <cell r="AL414">
            <v>30</v>
          </cell>
          <cell r="AM414">
            <v>5</v>
          </cell>
          <cell r="AN414">
            <v>35</v>
          </cell>
          <cell r="AO414">
            <v>85</v>
          </cell>
          <cell r="AP414">
            <v>70</v>
          </cell>
          <cell r="AQ414">
            <v>40</v>
          </cell>
          <cell r="AR414">
            <v>20</v>
          </cell>
          <cell r="AS414">
            <v>15</v>
          </cell>
          <cell r="AT414"/>
          <cell r="AU414">
            <v>40</v>
          </cell>
          <cell r="AV414">
            <v>50</v>
          </cell>
          <cell r="AW414">
            <v>45</v>
          </cell>
          <cell r="AX414">
            <v>25</v>
          </cell>
          <cell r="AY414">
            <v>55</v>
          </cell>
          <cell r="AZ414">
            <v>10</v>
          </cell>
          <cell r="BA414">
            <v>20</v>
          </cell>
          <cell r="BB414">
            <v>101</v>
          </cell>
          <cell r="BC414">
            <v>45</v>
          </cell>
          <cell r="BD414">
            <v>25</v>
          </cell>
          <cell r="BE414">
            <v>35</v>
          </cell>
          <cell r="BF414">
            <v>35</v>
          </cell>
          <cell r="BG414">
            <v>55</v>
          </cell>
          <cell r="BH414">
            <v>35</v>
          </cell>
          <cell r="BI414">
            <v>20</v>
          </cell>
          <cell r="BJ414">
            <v>80</v>
          </cell>
          <cell r="BK414">
            <v>55</v>
          </cell>
          <cell r="BL414">
            <v>20</v>
          </cell>
          <cell r="BM414">
            <v>75</v>
          </cell>
          <cell r="BN414">
            <v>25</v>
          </cell>
          <cell r="BO414">
            <v>15</v>
          </cell>
          <cell r="BP414">
            <v>30</v>
          </cell>
          <cell r="BQ414">
            <v>50</v>
          </cell>
          <cell r="BR414">
            <v>50</v>
          </cell>
          <cell r="BS414">
            <v>35</v>
          </cell>
          <cell r="BT414">
            <v>60</v>
          </cell>
          <cell r="BU414">
            <v>55</v>
          </cell>
          <cell r="BV414">
            <v>5</v>
          </cell>
          <cell r="BW414">
            <v>70</v>
          </cell>
          <cell r="BX414">
            <v>5</v>
          </cell>
          <cell r="BY414">
            <v>30</v>
          </cell>
          <cell r="BZ414">
            <v>55</v>
          </cell>
          <cell r="CA414">
            <v>65</v>
          </cell>
          <cell r="CB414">
            <v>25</v>
          </cell>
          <cell r="CC414">
            <v>50</v>
          </cell>
          <cell r="CD414">
            <v>20</v>
          </cell>
          <cell r="CE414">
            <v>15</v>
          </cell>
          <cell r="CF414">
            <v>5</v>
          </cell>
          <cell r="CG414">
            <v>40</v>
          </cell>
          <cell r="CH414">
            <v>40</v>
          </cell>
          <cell r="CI414">
            <v>60</v>
          </cell>
          <cell r="CJ414">
            <v>40</v>
          </cell>
          <cell r="CK414">
            <v>110</v>
          </cell>
          <cell r="CL414">
            <v>15</v>
          </cell>
          <cell r="CM414"/>
          <cell r="CN414">
            <v>40</v>
          </cell>
          <cell r="CO414">
            <v>40</v>
          </cell>
          <cell r="CP414">
            <v>40</v>
          </cell>
          <cell r="CQ414">
            <v>25</v>
          </cell>
          <cell r="CR414">
            <v>40</v>
          </cell>
          <cell r="CS414">
            <v>20</v>
          </cell>
          <cell r="CT414">
            <v>40</v>
          </cell>
          <cell r="CU414">
            <v>80</v>
          </cell>
          <cell r="CV414">
            <v>55</v>
          </cell>
          <cell r="CW414">
            <v>10</v>
          </cell>
          <cell r="CX414">
            <v>75</v>
          </cell>
          <cell r="CY414">
            <v>60</v>
          </cell>
          <cell r="CZ414">
            <v>55</v>
          </cell>
          <cell r="DA414">
            <v>50</v>
          </cell>
          <cell r="DB414">
            <v>30</v>
          </cell>
          <cell r="DC414">
            <v>40</v>
          </cell>
          <cell r="DD414">
            <v>60</v>
          </cell>
          <cell r="DE414">
            <v>30</v>
          </cell>
          <cell r="DF414">
            <v>45</v>
          </cell>
          <cell r="DG414" t="str">
            <v>ACTIVO</v>
          </cell>
          <cell r="DH414" t="str">
            <v>C</v>
          </cell>
          <cell r="DI414"/>
          <cell r="DJ414">
            <v>44.583333333333336</v>
          </cell>
          <cell r="DK414">
            <v>7.4305555555555562</v>
          </cell>
          <cell r="DL414">
            <v>26.846583858225092</v>
          </cell>
          <cell r="DM414">
            <v>95</v>
          </cell>
          <cell r="DN414">
            <v>341997.15</v>
          </cell>
          <cell r="DO414">
            <v>2.1308411214953269</v>
          </cell>
          <cell r="DP414" t="str">
            <v>OK</v>
          </cell>
          <cell r="DQ414">
            <v>22.291666666666668</v>
          </cell>
        </row>
        <row r="415">
          <cell r="B415">
            <v>107148</v>
          </cell>
          <cell r="C415" t="str">
            <v>SABOR AROMA LUCUMA FRANCIAAROMA</v>
          </cell>
          <cell r="D415"/>
          <cell r="E415">
            <v>20</v>
          </cell>
          <cell r="F415"/>
          <cell r="G415"/>
          <cell r="H415"/>
          <cell r="I415">
            <v>20</v>
          </cell>
          <cell r="J415">
            <v>20</v>
          </cell>
          <cell r="K415">
            <v>20</v>
          </cell>
          <cell r="L415">
            <v>20</v>
          </cell>
          <cell r="M415">
            <v>20</v>
          </cell>
          <cell r="N415">
            <v>20</v>
          </cell>
          <cell r="O415"/>
          <cell r="P415">
            <v>20</v>
          </cell>
          <cell r="Q415"/>
          <cell r="R415">
            <v>20</v>
          </cell>
          <cell r="S415"/>
          <cell r="T415"/>
          <cell r="U415">
            <v>20</v>
          </cell>
          <cell r="V415"/>
          <cell r="W415"/>
          <cell r="X415">
            <v>20</v>
          </cell>
          <cell r="Y415"/>
          <cell r="Z415"/>
          <cell r="AA415"/>
          <cell r="AB415">
            <v>20</v>
          </cell>
          <cell r="AC415">
            <v>20</v>
          </cell>
          <cell r="AD415"/>
          <cell r="AE415"/>
          <cell r="AF415"/>
          <cell r="AG415"/>
          <cell r="AH415"/>
          <cell r="AI415">
            <v>40</v>
          </cell>
          <cell r="AJ415"/>
          <cell r="AK415"/>
          <cell r="AL415">
            <v>20</v>
          </cell>
          <cell r="AM415"/>
          <cell r="AN415"/>
          <cell r="AO415">
            <v>20</v>
          </cell>
          <cell r="AP415">
            <v>40</v>
          </cell>
          <cell r="AQ415"/>
          <cell r="AR415"/>
          <cell r="AS415"/>
          <cell r="AT415"/>
          <cell r="AU415"/>
          <cell r="AV415">
            <v>20</v>
          </cell>
          <cell r="AW415">
            <v>20</v>
          </cell>
          <cell r="AX415"/>
          <cell r="AY415">
            <v>20</v>
          </cell>
          <cell r="AZ415"/>
          <cell r="BA415"/>
          <cell r="BB415">
            <v>20</v>
          </cell>
          <cell r="BC415"/>
          <cell r="BD415"/>
          <cell r="BE415">
            <v>20</v>
          </cell>
          <cell r="BF415">
            <v>20</v>
          </cell>
          <cell r="BG415"/>
          <cell r="BH415"/>
          <cell r="BI415">
            <v>20</v>
          </cell>
          <cell r="BJ415"/>
          <cell r="BK415">
            <v>20</v>
          </cell>
          <cell r="BL415"/>
          <cell r="BM415"/>
          <cell r="BN415">
            <v>20</v>
          </cell>
          <cell r="BO415"/>
          <cell r="BP415"/>
          <cell r="BQ415">
            <v>20</v>
          </cell>
          <cell r="BR415"/>
          <cell r="BS415">
            <v>20</v>
          </cell>
          <cell r="BT415"/>
          <cell r="BU415"/>
          <cell r="BV415">
            <v>20</v>
          </cell>
          <cell r="BW415">
            <v>20</v>
          </cell>
          <cell r="BX415"/>
          <cell r="BY415"/>
          <cell r="BZ415">
            <v>20</v>
          </cell>
          <cell r="CA415"/>
          <cell r="CB415"/>
          <cell r="CC415">
            <v>20</v>
          </cell>
          <cell r="CD415"/>
          <cell r="CE415"/>
          <cell r="CF415"/>
          <cell r="CG415"/>
          <cell r="CH415">
            <v>20</v>
          </cell>
          <cell r="CI415"/>
          <cell r="CJ415">
            <v>20</v>
          </cell>
          <cell r="CK415"/>
          <cell r="CL415"/>
          <cell r="CM415">
            <v>20</v>
          </cell>
          <cell r="CN415"/>
          <cell r="CO415">
            <v>20</v>
          </cell>
          <cell r="CP415"/>
          <cell r="CQ415"/>
          <cell r="CR415"/>
          <cell r="CS415">
            <v>20</v>
          </cell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 t="str">
            <v>ACTIVO</v>
          </cell>
          <cell r="DH415" t="str">
            <v>C</v>
          </cell>
          <cell r="DI415"/>
          <cell r="DJ415">
            <v>20</v>
          </cell>
          <cell r="DK415">
            <v>3.3333333333333335</v>
          </cell>
          <cell r="DL415">
            <v>6.3060353528461128</v>
          </cell>
          <cell r="DM415">
            <v>40</v>
          </cell>
          <cell r="DN415">
            <v>836000</v>
          </cell>
          <cell r="DO415">
            <v>2</v>
          </cell>
          <cell r="DP415" t="str">
            <v>OK</v>
          </cell>
          <cell r="DQ415">
            <v>20</v>
          </cell>
        </row>
        <row r="416">
          <cell r="B416">
            <v>107326</v>
          </cell>
          <cell r="C416" t="str">
            <v>QUINOA PERLA DE COLORES ZUKKER</v>
          </cell>
          <cell r="D416">
            <v>11</v>
          </cell>
          <cell r="E416">
            <v>22</v>
          </cell>
          <cell r="F416">
            <v>22</v>
          </cell>
          <cell r="G416">
            <v>11</v>
          </cell>
          <cell r="H416">
            <v>11</v>
          </cell>
          <cell r="I416">
            <v>22</v>
          </cell>
          <cell r="J416"/>
          <cell r="K416">
            <v>26</v>
          </cell>
          <cell r="L416">
            <v>22</v>
          </cell>
          <cell r="M416"/>
          <cell r="N416">
            <v>11</v>
          </cell>
          <cell r="O416"/>
          <cell r="P416">
            <v>22</v>
          </cell>
          <cell r="Q416">
            <v>22</v>
          </cell>
          <cell r="R416">
            <v>11</v>
          </cell>
          <cell r="S416">
            <v>11</v>
          </cell>
          <cell r="T416"/>
          <cell r="U416"/>
          <cell r="V416">
            <v>11</v>
          </cell>
          <cell r="W416">
            <v>22</v>
          </cell>
          <cell r="X416"/>
          <cell r="Y416"/>
          <cell r="Z416">
            <v>11</v>
          </cell>
          <cell r="AA416">
            <v>11</v>
          </cell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>
            <v>66</v>
          </cell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 t="str">
            <v>SIN USO</v>
          </cell>
          <cell r="DH416" t="str">
            <v>C</v>
          </cell>
          <cell r="DI416"/>
          <cell r="DJ416">
            <v>0</v>
          </cell>
          <cell r="DK416">
            <v>0</v>
          </cell>
          <cell r="DL416">
            <v>0</v>
          </cell>
          <cell r="DM416">
            <v>0</v>
          </cell>
          <cell r="DN416" t="str">
            <v>0</v>
          </cell>
          <cell r="DO416">
            <v>0</v>
          </cell>
          <cell r="DP416" t="str">
            <v>INACTIVO</v>
          </cell>
          <cell r="DQ416">
            <v>0</v>
          </cell>
        </row>
        <row r="417">
          <cell r="B417">
            <v>107225</v>
          </cell>
          <cell r="C417" t="str">
            <v>CAFE POLVO ICB</v>
          </cell>
          <cell r="D417"/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/>
          <cell r="P417"/>
          <cell r="Q417"/>
          <cell r="R417"/>
          <cell r="S417"/>
          <cell r="T417">
            <v>1.5</v>
          </cell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 t="str">
            <v>SIN USO</v>
          </cell>
          <cell r="DH417" t="str">
            <v/>
          </cell>
          <cell r="DI417"/>
          <cell r="DJ417">
            <v>0</v>
          </cell>
          <cell r="DK417">
            <v>0</v>
          </cell>
          <cell r="DL417">
            <v>0</v>
          </cell>
          <cell r="DM417">
            <v>0</v>
          </cell>
          <cell r="DN417" t="str">
            <v>0</v>
          </cell>
          <cell r="DO417">
            <v>0</v>
          </cell>
          <cell r="DP417" t="str">
            <v>INACTIVO</v>
          </cell>
          <cell r="DQ417">
            <v>0</v>
          </cell>
        </row>
        <row r="418">
          <cell r="B418"/>
          <cell r="C418"/>
          <cell r="D418">
            <v>91</v>
          </cell>
          <cell r="E418">
            <v>82</v>
          </cell>
          <cell r="F418">
            <v>148</v>
          </cell>
          <cell r="G418">
            <v>149</v>
          </cell>
          <cell r="H418">
            <v>101</v>
          </cell>
          <cell r="I418">
            <v>100.5</v>
          </cell>
          <cell r="J418">
            <v>119</v>
          </cell>
          <cell r="K418">
            <v>195.5</v>
          </cell>
          <cell r="L418">
            <v>234</v>
          </cell>
          <cell r="M418">
            <v>273</v>
          </cell>
          <cell r="N418">
            <v>223</v>
          </cell>
          <cell r="O418">
            <v>31</v>
          </cell>
          <cell r="P418">
            <v>171</v>
          </cell>
          <cell r="Q418">
            <v>180</v>
          </cell>
          <cell r="R418">
            <v>239</v>
          </cell>
          <cell r="S418">
            <v>180</v>
          </cell>
          <cell r="T418">
            <v>158.5</v>
          </cell>
          <cell r="U418">
            <v>223</v>
          </cell>
          <cell r="V418">
            <v>173</v>
          </cell>
          <cell r="W418">
            <v>119</v>
          </cell>
          <cell r="X418">
            <v>273</v>
          </cell>
          <cell r="Y418">
            <v>211</v>
          </cell>
          <cell r="Z418">
            <v>98</v>
          </cell>
          <cell r="AA418">
            <v>140</v>
          </cell>
          <cell r="AB418">
            <v>185</v>
          </cell>
          <cell r="AC418">
            <v>117</v>
          </cell>
          <cell r="AD418">
            <v>56</v>
          </cell>
          <cell r="AE418">
            <v>25</v>
          </cell>
          <cell r="AF418">
            <v>187</v>
          </cell>
          <cell r="AG418">
            <v>156</v>
          </cell>
          <cell r="AH418">
            <v>226</v>
          </cell>
          <cell r="AI418">
            <v>356.5</v>
          </cell>
          <cell r="AJ418">
            <v>152</v>
          </cell>
          <cell r="AK418">
            <v>154</v>
          </cell>
          <cell r="AL418">
            <v>131</v>
          </cell>
          <cell r="AM418">
            <v>85</v>
          </cell>
          <cell r="AN418">
            <v>123</v>
          </cell>
          <cell r="AO418">
            <v>162</v>
          </cell>
          <cell r="AP418">
            <v>202</v>
          </cell>
          <cell r="AQ418">
            <v>127</v>
          </cell>
          <cell r="AR418">
            <v>82</v>
          </cell>
          <cell r="AS418">
            <v>130</v>
          </cell>
          <cell r="AT418">
            <v>108</v>
          </cell>
          <cell r="AU418">
            <v>146</v>
          </cell>
          <cell r="AV418">
            <v>142</v>
          </cell>
          <cell r="AW418">
            <v>143</v>
          </cell>
          <cell r="AX418">
            <v>98.5</v>
          </cell>
          <cell r="AY418">
            <v>165</v>
          </cell>
          <cell r="AZ418">
            <v>87</v>
          </cell>
          <cell r="BA418">
            <v>111.5</v>
          </cell>
          <cell r="BB418">
            <v>281</v>
          </cell>
          <cell r="BC418">
            <v>135</v>
          </cell>
          <cell r="BD418">
            <v>194.69</v>
          </cell>
          <cell r="BE418">
            <v>150</v>
          </cell>
          <cell r="BF418">
            <v>169</v>
          </cell>
          <cell r="BG418">
            <v>158</v>
          </cell>
          <cell r="BH418">
            <v>176</v>
          </cell>
          <cell r="BI418">
            <v>173</v>
          </cell>
          <cell r="BJ418">
            <v>188</v>
          </cell>
          <cell r="BK418">
            <v>176</v>
          </cell>
          <cell r="BL418">
            <v>210</v>
          </cell>
          <cell r="BM418">
            <v>194</v>
          </cell>
          <cell r="BN418">
            <v>139</v>
          </cell>
          <cell r="BO418">
            <v>138</v>
          </cell>
          <cell r="BP418">
            <v>57</v>
          </cell>
          <cell r="BQ418">
            <v>216</v>
          </cell>
          <cell r="BR418">
            <v>272</v>
          </cell>
          <cell r="BS418">
            <v>188</v>
          </cell>
          <cell r="BT418">
            <v>152</v>
          </cell>
          <cell r="BU418">
            <v>193</v>
          </cell>
          <cell r="BV418">
            <v>110</v>
          </cell>
          <cell r="BW418">
            <v>174</v>
          </cell>
          <cell r="BX418">
            <v>80</v>
          </cell>
          <cell r="BY418">
            <v>100</v>
          </cell>
          <cell r="BZ418">
            <v>273</v>
          </cell>
          <cell r="CA418">
            <v>157</v>
          </cell>
          <cell r="CB418">
            <v>107</v>
          </cell>
          <cell r="CC418">
            <v>206.5</v>
          </cell>
          <cell r="CD418">
            <v>92</v>
          </cell>
          <cell r="CE418">
            <v>61</v>
          </cell>
          <cell r="CF418">
            <v>25</v>
          </cell>
          <cell r="CG418">
            <v>132</v>
          </cell>
          <cell r="CH418">
            <v>137</v>
          </cell>
          <cell r="CI418">
            <v>202</v>
          </cell>
          <cell r="CJ418">
            <v>157</v>
          </cell>
          <cell r="CK418">
            <v>241</v>
          </cell>
          <cell r="CL418">
            <v>128</v>
          </cell>
          <cell r="CM418">
            <v>132</v>
          </cell>
          <cell r="CN418">
            <v>147</v>
          </cell>
          <cell r="CO418">
            <v>187</v>
          </cell>
          <cell r="CP418">
            <v>152</v>
          </cell>
          <cell r="CQ418">
            <v>149</v>
          </cell>
          <cell r="CR418">
            <v>159</v>
          </cell>
          <cell r="CS418">
            <v>156</v>
          </cell>
          <cell r="CT418">
            <v>202</v>
          </cell>
          <cell r="CU418">
            <v>198</v>
          </cell>
          <cell r="CV418">
            <v>172</v>
          </cell>
          <cell r="CW418">
            <v>119</v>
          </cell>
          <cell r="CX418">
            <v>188</v>
          </cell>
          <cell r="CY418">
            <v>192</v>
          </cell>
          <cell r="CZ418">
            <v>171</v>
          </cell>
          <cell r="DA418">
            <v>177</v>
          </cell>
          <cell r="DB418">
            <v>153</v>
          </cell>
          <cell r="DC418">
            <v>172</v>
          </cell>
          <cell r="DD418">
            <v>197</v>
          </cell>
          <cell r="DE418">
            <v>147</v>
          </cell>
          <cell r="DF418">
            <v>61</v>
          </cell>
          <cell r="DG418" t="str">
            <v>ACTIVO</v>
          </cell>
          <cell r="DH418" t="str">
            <v/>
          </cell>
          <cell r="DI418"/>
          <cell r="DJ418">
            <v>161.80000000000001</v>
          </cell>
          <cell r="DK418">
            <v>26.966666666666669</v>
          </cell>
          <cell r="DL418">
            <v>60.325061936791997</v>
          </cell>
          <cell r="DM418">
            <v>0</v>
          </cell>
          <cell r="DN418" t="str">
            <v>0</v>
          </cell>
          <cell r="DO418">
            <v>0</v>
          </cell>
          <cell r="DP418" t="str">
            <v>INACTIVO</v>
          </cell>
          <cell r="DQ418">
            <v>0</v>
          </cell>
        </row>
        <row r="419">
          <cell r="B419">
            <v>405507</v>
          </cell>
          <cell r="C419" t="str">
            <v>OREO MEDIUM CRUMBS (TROZOS) ALCA</v>
          </cell>
          <cell r="D419"/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>
            <v>60</v>
          </cell>
          <cell r="AP419">
            <v>12</v>
          </cell>
          <cell r="AQ419">
            <v>108</v>
          </cell>
          <cell r="AR419"/>
          <cell r="AS419"/>
          <cell r="AT419"/>
          <cell r="AU419">
            <v>56</v>
          </cell>
          <cell r="AV419"/>
          <cell r="AW419"/>
          <cell r="AX419"/>
          <cell r="AY419">
            <v>64</v>
          </cell>
          <cell r="AZ419">
            <v>60</v>
          </cell>
          <cell r="BA419"/>
          <cell r="BB419"/>
          <cell r="BC419"/>
          <cell r="BD419">
            <v>348</v>
          </cell>
          <cell r="BE419"/>
          <cell r="BF419">
            <v>52</v>
          </cell>
          <cell r="BG419">
            <v>36</v>
          </cell>
          <cell r="BH419"/>
          <cell r="BI419"/>
          <cell r="BJ419"/>
          <cell r="BK419"/>
          <cell r="BL419">
            <v>44</v>
          </cell>
          <cell r="BM419">
            <v>44</v>
          </cell>
          <cell r="BN419">
            <v>76</v>
          </cell>
          <cell r="BO419"/>
          <cell r="BP419"/>
          <cell r="BQ419">
            <v>80</v>
          </cell>
          <cell r="BR419">
            <v>80</v>
          </cell>
          <cell r="BS419"/>
          <cell r="BT419">
            <v>88</v>
          </cell>
          <cell r="BU419">
            <v>48</v>
          </cell>
          <cell r="BV419"/>
          <cell r="BW419"/>
          <cell r="BX419">
            <v>76</v>
          </cell>
          <cell r="BY419">
            <v>4</v>
          </cell>
          <cell r="BZ419"/>
          <cell r="CA419"/>
          <cell r="CB419">
            <v>40</v>
          </cell>
          <cell r="CC419"/>
          <cell r="CD419"/>
          <cell r="CE419"/>
          <cell r="CF419"/>
          <cell r="CG419">
            <v>40</v>
          </cell>
          <cell r="CH419"/>
          <cell r="CI419">
            <v>80</v>
          </cell>
          <cell r="CJ419"/>
          <cell r="CK419">
            <v>92</v>
          </cell>
          <cell r="CL419">
            <v>60</v>
          </cell>
          <cell r="CM419">
            <v>58.92</v>
          </cell>
          <cell r="CN419">
            <v>40</v>
          </cell>
          <cell r="CO419"/>
          <cell r="CP419">
            <v>130</v>
          </cell>
          <cell r="CQ419"/>
          <cell r="CR419">
            <v>60</v>
          </cell>
          <cell r="CS419">
            <v>80</v>
          </cell>
          <cell r="CT419">
            <v>40</v>
          </cell>
          <cell r="CU419"/>
          <cell r="CV419"/>
          <cell r="CW419"/>
          <cell r="CX419"/>
          <cell r="CY419">
            <v>80</v>
          </cell>
          <cell r="CZ419"/>
          <cell r="DA419"/>
          <cell r="DB419"/>
          <cell r="DC419"/>
          <cell r="DD419">
            <v>76</v>
          </cell>
          <cell r="DE419">
            <v>64</v>
          </cell>
          <cell r="DF419"/>
          <cell r="DG419" t="str">
            <v>ACTIVO</v>
          </cell>
          <cell r="DH419" t="str">
            <v>C</v>
          </cell>
          <cell r="DI419"/>
          <cell r="DJ419">
            <v>69.743333333333339</v>
          </cell>
          <cell r="DK419">
            <v>11.62388888888889</v>
          </cell>
          <cell r="DL419">
            <v>71.328906240717558</v>
          </cell>
          <cell r="DM419">
            <v>4</v>
          </cell>
          <cell r="DN419">
            <v>21250</v>
          </cell>
          <cell r="DO419">
            <v>5.735315203364718E-2</v>
          </cell>
          <cell r="DP419" t="str">
            <v>COMPRAR</v>
          </cell>
          <cell r="DQ419">
            <v>34.87166666666667</v>
          </cell>
        </row>
        <row r="420">
          <cell r="B420">
            <v>405506</v>
          </cell>
          <cell r="C420" t="str">
            <v>GALLETA OREO REGULAR ALCA</v>
          </cell>
          <cell r="D420"/>
          <cell r="E420"/>
          <cell r="F420"/>
          <cell r="G420"/>
          <cell r="H420"/>
          <cell r="I420"/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>
            <v>44</v>
          </cell>
          <cell r="BA420"/>
          <cell r="BB420"/>
          <cell r="BC420"/>
          <cell r="BD420">
            <v>204.12</v>
          </cell>
          <cell r="BE420"/>
          <cell r="BF420"/>
          <cell r="BG420"/>
          <cell r="BH420"/>
          <cell r="BI420"/>
          <cell r="BJ420"/>
          <cell r="BK420"/>
          <cell r="BL420">
            <v>64</v>
          </cell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 t="str">
            <v>ACTIVO</v>
          </cell>
          <cell r="DH420" t="str">
            <v>C</v>
          </cell>
          <cell r="DI420"/>
          <cell r="DJ420">
            <v>0</v>
          </cell>
          <cell r="DK420">
            <v>0</v>
          </cell>
          <cell r="DL420">
            <v>87.246803952924253</v>
          </cell>
          <cell r="DM420">
            <v>0</v>
          </cell>
          <cell r="DN420" t="str">
            <v>0</v>
          </cell>
          <cell r="DO420">
            <v>0</v>
          </cell>
          <cell r="DP420" t="str">
            <v>COMPRAR</v>
          </cell>
          <cell r="DQ420">
            <v>0</v>
          </cell>
        </row>
        <row r="421">
          <cell r="B421">
            <v>107335</v>
          </cell>
          <cell r="C421" t="str">
            <v>GALLETA VINO NESTLE</v>
          </cell>
          <cell r="D421"/>
          <cell r="E421"/>
          <cell r="F421"/>
          <cell r="G421"/>
          <cell r="H421"/>
          <cell r="I421"/>
          <cell r="J421"/>
          <cell r="K421"/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>
            <v>86.19</v>
          </cell>
          <cell r="BA421">
            <v>11.09</v>
          </cell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>
            <v>45.84</v>
          </cell>
          <cell r="BP421"/>
          <cell r="BQ421">
            <v>98.6</v>
          </cell>
          <cell r="BR421">
            <v>40</v>
          </cell>
          <cell r="BS421">
            <v>46.91</v>
          </cell>
          <cell r="BT421">
            <v>20</v>
          </cell>
          <cell r="BU421">
            <v>60</v>
          </cell>
          <cell r="BV421">
            <v>121.6</v>
          </cell>
          <cell r="BW421">
            <v>60</v>
          </cell>
          <cell r="BX421">
            <v>40</v>
          </cell>
          <cell r="BY421">
            <v>138.4</v>
          </cell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>
            <v>6.36</v>
          </cell>
          <cell r="CV421">
            <v>127.92</v>
          </cell>
          <cell r="CW421"/>
          <cell r="CX421"/>
          <cell r="CY421"/>
          <cell r="CZ421"/>
          <cell r="DA421"/>
          <cell r="DB421"/>
          <cell r="DC421"/>
          <cell r="DD421"/>
          <cell r="DE421">
            <v>29.92</v>
          </cell>
          <cell r="DF421"/>
          <cell r="DG421" t="str">
            <v>ACTIVO</v>
          </cell>
          <cell r="DH421" t="str">
            <v>C</v>
          </cell>
          <cell r="DI421"/>
          <cell r="DJ421">
            <v>67.14</v>
          </cell>
          <cell r="DK421">
            <v>11.19</v>
          </cell>
          <cell r="DL421">
            <v>39.409233833755721</v>
          </cell>
          <cell r="DM421">
            <v>364.56</v>
          </cell>
          <cell r="DN421">
            <v>1564079.0592</v>
          </cell>
          <cell r="DO421">
            <v>5.4298480786416441</v>
          </cell>
          <cell r="DP421" t="str">
            <v>OK</v>
          </cell>
          <cell r="DQ421">
            <v>22.38</v>
          </cell>
        </row>
        <row r="422">
          <cell r="B422">
            <v>405334</v>
          </cell>
          <cell r="C422" t="str">
            <v>OREO MEDIUM CRUMBS (TROZOS) BEZANILLA</v>
          </cell>
          <cell r="D422">
            <v>120</v>
          </cell>
          <cell r="E422">
            <v>172</v>
          </cell>
          <cell r="F422">
            <v>144</v>
          </cell>
          <cell r="G422">
            <v>132</v>
          </cell>
          <cell r="H422">
            <v>120</v>
          </cell>
          <cell r="I422">
            <v>24</v>
          </cell>
          <cell r="J422">
            <v>140</v>
          </cell>
          <cell r="K422">
            <v>148</v>
          </cell>
          <cell r="L422">
            <v>128</v>
          </cell>
          <cell r="M422">
            <v>64</v>
          </cell>
          <cell r="N422">
            <v>96</v>
          </cell>
          <cell r="O422">
            <v>44</v>
          </cell>
          <cell r="P422">
            <v>120</v>
          </cell>
          <cell r="Q422">
            <v>132</v>
          </cell>
          <cell r="R422">
            <v>84</v>
          </cell>
          <cell r="S422"/>
          <cell r="T422"/>
          <cell r="U422">
            <v>128</v>
          </cell>
          <cell r="V422">
            <v>96</v>
          </cell>
          <cell r="W422"/>
          <cell r="X422"/>
          <cell r="Y422">
            <v>120</v>
          </cell>
          <cell r="Z422">
            <v>120</v>
          </cell>
          <cell r="AA422"/>
          <cell r="AB422"/>
          <cell r="AC422"/>
          <cell r="AD422"/>
          <cell r="AE422">
            <v>56</v>
          </cell>
          <cell r="AF422"/>
          <cell r="AG422"/>
          <cell r="AH422">
            <v>40</v>
          </cell>
          <cell r="AI422"/>
          <cell r="AJ422"/>
          <cell r="AK422"/>
          <cell r="AL422">
            <v>40</v>
          </cell>
          <cell r="AM422"/>
          <cell r="AN422"/>
          <cell r="AO422">
            <v>20</v>
          </cell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 t="str">
            <v>ACTIVO</v>
          </cell>
          <cell r="DH422" t="str">
            <v>C</v>
          </cell>
          <cell r="DI422"/>
          <cell r="DJ422">
            <v>0</v>
          </cell>
          <cell r="DK422">
            <v>0</v>
          </cell>
          <cell r="DL422">
            <v>14.742229591663987</v>
          </cell>
          <cell r="DM422">
            <v>0</v>
          </cell>
          <cell r="DN422" t="str">
            <v>0</v>
          </cell>
          <cell r="DO422">
            <v>0</v>
          </cell>
          <cell r="DP422" t="str">
            <v>COMPRAR</v>
          </cell>
          <cell r="DQ422">
            <v>0</v>
          </cell>
        </row>
        <row r="423">
          <cell r="B423">
            <v>107336</v>
          </cell>
          <cell r="C423" t="str">
            <v>GALLETA VINO CAROZZI</v>
          </cell>
          <cell r="D423">
            <v>80</v>
          </cell>
          <cell r="E423"/>
          <cell r="F423">
            <v>60</v>
          </cell>
          <cell r="G423">
            <v>56.052</v>
          </cell>
          <cell r="H423">
            <v>3.24</v>
          </cell>
          <cell r="I423">
            <v>60</v>
          </cell>
          <cell r="J423">
            <v>140</v>
          </cell>
          <cell r="K423"/>
          <cell r="L423"/>
          <cell r="M423"/>
          <cell r="N423"/>
          <cell r="O423"/>
          <cell r="P423"/>
          <cell r="Q423"/>
          <cell r="R423"/>
          <cell r="S423"/>
          <cell r="T423">
            <v>19.52</v>
          </cell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>
            <v>94.88000000000001</v>
          </cell>
          <cell r="AJ423">
            <v>50</v>
          </cell>
          <cell r="AK423">
            <v>80</v>
          </cell>
          <cell r="AL423">
            <v>120</v>
          </cell>
          <cell r="AM423"/>
          <cell r="AN423">
            <v>200</v>
          </cell>
          <cell r="AO423"/>
          <cell r="AP423">
            <v>220</v>
          </cell>
          <cell r="AQ423">
            <v>79.84</v>
          </cell>
          <cell r="AR423"/>
          <cell r="AS423">
            <v>169.92000000000002</v>
          </cell>
          <cell r="AT423">
            <v>40</v>
          </cell>
          <cell r="AU423">
            <v>40</v>
          </cell>
          <cell r="AV423"/>
          <cell r="AW423"/>
          <cell r="AX423">
            <v>57.2</v>
          </cell>
          <cell r="AY423">
            <v>118.72</v>
          </cell>
          <cell r="AZ423">
            <v>53.92</v>
          </cell>
          <cell r="BA423">
            <v>49.92</v>
          </cell>
          <cell r="BB423">
            <v>64.959999999999994</v>
          </cell>
          <cell r="BC423">
            <v>114.875</v>
          </cell>
          <cell r="BD423">
            <v>34.880000000000003</v>
          </cell>
          <cell r="BE423">
            <v>34.880000000000003</v>
          </cell>
          <cell r="BF423">
            <v>94.88</v>
          </cell>
          <cell r="BG423">
            <v>20</v>
          </cell>
          <cell r="BH423"/>
          <cell r="BI423">
            <v>44.96</v>
          </cell>
          <cell r="BJ423">
            <v>174.92000000000002</v>
          </cell>
          <cell r="BK423">
            <v>44.96</v>
          </cell>
          <cell r="BL423"/>
          <cell r="BM423">
            <v>64.800000000000011</v>
          </cell>
          <cell r="BN423">
            <v>80</v>
          </cell>
          <cell r="BO423">
            <v>74.16</v>
          </cell>
          <cell r="BP423"/>
          <cell r="BQ423"/>
          <cell r="BR423">
            <v>20</v>
          </cell>
          <cell r="BS423">
            <v>23.32</v>
          </cell>
          <cell r="BT423"/>
          <cell r="BU423"/>
          <cell r="BV423"/>
          <cell r="BW423"/>
          <cell r="BX423">
            <v>60</v>
          </cell>
          <cell r="BY423">
            <v>121.6</v>
          </cell>
          <cell r="BZ423">
            <v>7.84</v>
          </cell>
          <cell r="CA423">
            <v>79.989999999999995</v>
          </cell>
          <cell r="CB423"/>
          <cell r="CC423"/>
          <cell r="CD423"/>
          <cell r="CE423">
            <v>40</v>
          </cell>
          <cell r="CF423"/>
          <cell r="CG423">
            <v>60</v>
          </cell>
          <cell r="CH423"/>
          <cell r="CI423">
            <v>40</v>
          </cell>
          <cell r="CJ423">
            <v>40</v>
          </cell>
          <cell r="CK423">
            <v>20</v>
          </cell>
          <cell r="CL423">
            <v>80</v>
          </cell>
          <cell r="CM423"/>
          <cell r="CN423">
            <v>40</v>
          </cell>
          <cell r="CO423"/>
          <cell r="CP423"/>
          <cell r="CQ423"/>
          <cell r="CR423"/>
          <cell r="CS423">
            <v>120.8</v>
          </cell>
          <cell r="CT423">
            <v>160</v>
          </cell>
          <cell r="CU423">
            <v>28.72</v>
          </cell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 t="str">
            <v>ACTIVO</v>
          </cell>
          <cell r="DH423" t="str">
            <v>C</v>
          </cell>
          <cell r="DI423"/>
          <cell r="DJ423">
            <v>65.502222222222215</v>
          </cell>
          <cell r="DK423">
            <v>10.917037037037035</v>
          </cell>
          <cell r="DL423">
            <v>52.530065733500713</v>
          </cell>
          <cell r="DM423">
            <v>0</v>
          </cell>
          <cell r="DN423" t="str">
            <v>0</v>
          </cell>
          <cell r="DO423">
            <v>0</v>
          </cell>
          <cell r="DP423" t="str">
            <v>COMPRAR</v>
          </cell>
          <cell r="DQ423">
            <v>32.751111111111108</v>
          </cell>
        </row>
        <row r="424">
          <cell r="B424">
            <v>107343</v>
          </cell>
          <cell r="C424" t="str">
            <v>OREO SMALL CRUMBS 500 GRS</v>
          </cell>
          <cell r="D424">
            <v>24</v>
          </cell>
          <cell r="E424"/>
          <cell r="F424"/>
          <cell r="G424"/>
          <cell r="H424"/>
          <cell r="I424"/>
          <cell r="J424"/>
          <cell r="K424"/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 t="str">
            <v>SIN USO</v>
          </cell>
          <cell r="DH424" t="str">
            <v/>
          </cell>
          <cell r="DI424"/>
          <cell r="DJ424">
            <v>0</v>
          </cell>
          <cell r="DK424">
            <v>0</v>
          </cell>
          <cell r="DL424">
            <v>0</v>
          </cell>
          <cell r="DM424">
            <v>0</v>
          </cell>
          <cell r="DN424" t="str">
            <v>0</v>
          </cell>
          <cell r="DO424">
            <v>0</v>
          </cell>
          <cell r="DP424" t="str">
            <v>INACTIVO</v>
          </cell>
          <cell r="DQ424">
            <v>0</v>
          </cell>
        </row>
        <row r="425">
          <cell r="B425">
            <v>405333</v>
          </cell>
          <cell r="C425" t="str">
            <v>GALLETA OREO REGULAR BEZANILLA</v>
          </cell>
          <cell r="D425">
            <v>60.263999999999996</v>
          </cell>
          <cell r="E425">
            <v>64.8</v>
          </cell>
          <cell r="F425">
            <v>64.8</v>
          </cell>
          <cell r="G425">
            <v>60.48</v>
          </cell>
          <cell r="H425">
            <v>54</v>
          </cell>
          <cell r="I425">
            <v>3.6720000000000002</v>
          </cell>
          <cell r="J425">
            <v>55.08</v>
          </cell>
          <cell r="K425">
            <v>54</v>
          </cell>
          <cell r="L425">
            <v>62.64</v>
          </cell>
          <cell r="M425">
            <v>47.52</v>
          </cell>
          <cell r="N425"/>
          <cell r="O425"/>
          <cell r="P425"/>
          <cell r="Q425">
            <v>45.36</v>
          </cell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 t="str">
            <v>SIN USO</v>
          </cell>
          <cell r="DH425" t="str">
            <v/>
          </cell>
          <cell r="DI425"/>
          <cell r="DJ425">
            <v>0</v>
          </cell>
          <cell r="DK425">
            <v>0</v>
          </cell>
          <cell r="DL425">
            <v>0</v>
          </cell>
          <cell r="DM425">
            <v>0</v>
          </cell>
          <cell r="DN425" t="str">
            <v>0</v>
          </cell>
          <cell r="DO425">
            <v>0</v>
          </cell>
          <cell r="DP425" t="str">
            <v>INACTIVO</v>
          </cell>
          <cell r="DQ425">
            <v>0</v>
          </cell>
        </row>
        <row r="426">
          <cell r="B426"/>
          <cell r="C426"/>
          <cell r="D426">
            <v>284.26400000000001</v>
          </cell>
          <cell r="E426">
            <v>236.8</v>
          </cell>
          <cell r="F426">
            <v>268.8</v>
          </cell>
          <cell r="G426">
            <v>248.53199999999998</v>
          </cell>
          <cell r="H426">
            <v>177.24</v>
          </cell>
          <cell r="I426">
            <v>87.671999999999997</v>
          </cell>
          <cell r="J426">
            <v>335.08</v>
          </cell>
          <cell r="K426">
            <v>202</v>
          </cell>
          <cell r="L426">
            <v>190.64</v>
          </cell>
          <cell r="M426">
            <v>111.52000000000001</v>
          </cell>
          <cell r="N426">
            <v>96</v>
          </cell>
          <cell r="O426">
            <v>44</v>
          </cell>
          <cell r="P426">
            <v>120</v>
          </cell>
          <cell r="Q426">
            <v>177.36</v>
          </cell>
          <cell r="R426">
            <v>84</v>
          </cell>
          <cell r="S426"/>
          <cell r="T426">
            <v>19.52</v>
          </cell>
          <cell r="U426">
            <v>128</v>
          </cell>
          <cell r="V426">
            <v>96</v>
          </cell>
          <cell r="W426"/>
          <cell r="X426"/>
          <cell r="Y426">
            <v>120</v>
          </cell>
          <cell r="Z426">
            <v>120</v>
          </cell>
          <cell r="AA426"/>
          <cell r="AB426"/>
          <cell r="AC426"/>
          <cell r="AD426"/>
          <cell r="AE426">
            <v>56</v>
          </cell>
          <cell r="AF426"/>
          <cell r="AG426"/>
          <cell r="AH426">
            <v>40</v>
          </cell>
          <cell r="AI426">
            <v>94.88000000000001</v>
          </cell>
          <cell r="AJ426">
            <v>50</v>
          </cell>
          <cell r="AK426">
            <v>80</v>
          </cell>
          <cell r="AL426">
            <v>160</v>
          </cell>
          <cell r="AM426"/>
          <cell r="AN426">
            <v>200</v>
          </cell>
          <cell r="AO426">
            <v>80</v>
          </cell>
          <cell r="AP426">
            <v>232</v>
          </cell>
          <cell r="AQ426">
            <v>187.84</v>
          </cell>
          <cell r="AR426"/>
          <cell r="AS426">
            <v>169.92000000000002</v>
          </cell>
          <cell r="AT426">
            <v>40</v>
          </cell>
          <cell r="AU426">
            <v>96</v>
          </cell>
          <cell r="AV426"/>
          <cell r="AW426"/>
          <cell r="AX426">
            <v>57.2</v>
          </cell>
          <cell r="AY426">
            <v>182.72</v>
          </cell>
          <cell r="AZ426">
            <v>244.11</v>
          </cell>
          <cell r="BA426">
            <v>61.010000000000005</v>
          </cell>
          <cell r="BB426">
            <v>64.959999999999994</v>
          </cell>
          <cell r="BC426">
            <v>114.875</v>
          </cell>
          <cell r="BD426">
            <v>587</v>
          </cell>
          <cell r="BE426">
            <v>34.880000000000003</v>
          </cell>
          <cell r="BF426">
            <v>146.88</v>
          </cell>
          <cell r="BG426">
            <v>56</v>
          </cell>
          <cell r="BH426"/>
          <cell r="BI426">
            <v>44.96</v>
          </cell>
          <cell r="BJ426">
            <v>174.92000000000002</v>
          </cell>
          <cell r="BK426">
            <v>44.96</v>
          </cell>
          <cell r="BL426">
            <v>108</v>
          </cell>
          <cell r="BM426">
            <v>108.80000000000001</v>
          </cell>
          <cell r="BN426">
            <v>156</v>
          </cell>
          <cell r="BO426">
            <v>120</v>
          </cell>
          <cell r="BP426"/>
          <cell r="BQ426">
            <v>178.6</v>
          </cell>
          <cell r="BR426">
            <v>140</v>
          </cell>
          <cell r="BS426">
            <v>70.22999999999999</v>
          </cell>
          <cell r="BT426">
            <v>108</v>
          </cell>
          <cell r="BU426">
            <v>108</v>
          </cell>
          <cell r="BV426">
            <v>121.6</v>
          </cell>
          <cell r="BW426">
            <v>60</v>
          </cell>
          <cell r="BX426">
            <v>176</v>
          </cell>
          <cell r="BY426">
            <v>264</v>
          </cell>
          <cell r="BZ426">
            <v>7.84</v>
          </cell>
          <cell r="CA426">
            <v>79.989999999999995</v>
          </cell>
          <cell r="CB426">
            <v>40</v>
          </cell>
          <cell r="CC426"/>
          <cell r="CD426"/>
          <cell r="CE426">
            <v>40</v>
          </cell>
          <cell r="CF426"/>
          <cell r="CG426">
            <v>100</v>
          </cell>
          <cell r="CH426"/>
          <cell r="CI426">
            <v>120</v>
          </cell>
          <cell r="CJ426">
            <v>40</v>
          </cell>
          <cell r="CK426">
            <v>112</v>
          </cell>
          <cell r="CL426">
            <v>140</v>
          </cell>
          <cell r="CM426">
            <v>58.92</v>
          </cell>
          <cell r="CN426">
            <v>80</v>
          </cell>
          <cell r="CO426"/>
          <cell r="CP426">
            <v>130</v>
          </cell>
          <cell r="CQ426"/>
          <cell r="CR426">
            <v>60</v>
          </cell>
          <cell r="CS426">
            <v>200.8</v>
          </cell>
          <cell r="CT426">
            <v>200</v>
          </cell>
          <cell r="CU426">
            <v>35.08</v>
          </cell>
          <cell r="CV426">
            <v>127.92</v>
          </cell>
          <cell r="CW426"/>
          <cell r="CX426"/>
          <cell r="CY426">
            <v>80</v>
          </cell>
          <cell r="CZ426"/>
          <cell r="DA426"/>
          <cell r="DB426"/>
          <cell r="DC426"/>
          <cell r="DD426">
            <v>76</v>
          </cell>
          <cell r="DE426">
            <v>93.92</v>
          </cell>
          <cell r="DF426"/>
          <cell r="DG426" t="str">
            <v>ACTIVO</v>
          </cell>
          <cell r="DH426" t="str">
            <v/>
          </cell>
          <cell r="DI426"/>
          <cell r="DJ426">
            <v>104.048</v>
          </cell>
          <cell r="DK426">
            <v>17.341333333333335</v>
          </cell>
          <cell r="DL426">
            <v>96.447627047221147</v>
          </cell>
          <cell r="DM426">
            <v>0</v>
          </cell>
          <cell r="DN426" t="str">
            <v>0</v>
          </cell>
          <cell r="DO426">
            <v>0</v>
          </cell>
          <cell r="DP426" t="str">
            <v>INACTIVO</v>
          </cell>
          <cell r="DQ426">
            <v>0</v>
          </cell>
        </row>
        <row r="427">
          <cell r="B427">
            <v>201002</v>
          </cell>
          <cell r="C427" t="str">
            <v>DESMOLDANTE PARA BATIDOS PURATOS</v>
          </cell>
          <cell r="D427">
            <v>560</v>
          </cell>
          <cell r="E427">
            <v>500</v>
          </cell>
          <cell r="F427">
            <v>600</v>
          </cell>
          <cell r="G427">
            <v>540</v>
          </cell>
          <cell r="H427">
            <v>650</v>
          </cell>
          <cell r="I427">
            <v>520</v>
          </cell>
          <cell r="J427">
            <v>560</v>
          </cell>
          <cell r="K427">
            <v>430</v>
          </cell>
          <cell r="L427">
            <v>610</v>
          </cell>
          <cell r="M427">
            <v>510</v>
          </cell>
          <cell r="N427">
            <v>540</v>
          </cell>
          <cell r="O427">
            <v>300</v>
          </cell>
          <cell r="P427">
            <v>410</v>
          </cell>
          <cell r="Q427">
            <v>610</v>
          </cell>
          <cell r="R427">
            <v>480</v>
          </cell>
          <cell r="S427">
            <v>490</v>
          </cell>
          <cell r="T427">
            <v>460</v>
          </cell>
          <cell r="U427">
            <v>630</v>
          </cell>
          <cell r="V427">
            <v>640</v>
          </cell>
          <cell r="W427">
            <v>390</v>
          </cell>
          <cell r="X427">
            <v>530</v>
          </cell>
          <cell r="Y427">
            <v>670</v>
          </cell>
          <cell r="Z427">
            <v>410</v>
          </cell>
          <cell r="AA427">
            <v>420</v>
          </cell>
          <cell r="AB427">
            <v>570</v>
          </cell>
          <cell r="AC427">
            <v>270</v>
          </cell>
          <cell r="AD427">
            <v>170</v>
          </cell>
          <cell r="AE427">
            <v>80</v>
          </cell>
          <cell r="AF427">
            <v>450</v>
          </cell>
          <cell r="AG427">
            <v>360</v>
          </cell>
          <cell r="AH427">
            <v>290</v>
          </cell>
          <cell r="AI427">
            <v>450</v>
          </cell>
          <cell r="AJ427">
            <v>430</v>
          </cell>
          <cell r="AK427">
            <v>400</v>
          </cell>
          <cell r="AL427">
            <v>490</v>
          </cell>
          <cell r="AM427">
            <v>380</v>
          </cell>
          <cell r="AN427">
            <v>390</v>
          </cell>
          <cell r="AO427">
            <v>490</v>
          </cell>
          <cell r="AP427">
            <v>350</v>
          </cell>
          <cell r="AQ427">
            <v>530</v>
          </cell>
          <cell r="AR427">
            <v>680</v>
          </cell>
          <cell r="AS427">
            <v>810</v>
          </cell>
          <cell r="AT427">
            <v>520</v>
          </cell>
          <cell r="AU427">
            <v>410</v>
          </cell>
          <cell r="AV427">
            <v>520</v>
          </cell>
          <cell r="AW427">
            <v>530</v>
          </cell>
          <cell r="AX427">
            <v>570</v>
          </cell>
          <cell r="AY427">
            <v>530</v>
          </cell>
          <cell r="AZ427">
            <v>600</v>
          </cell>
          <cell r="BA427">
            <v>650</v>
          </cell>
          <cell r="BB427">
            <v>630</v>
          </cell>
          <cell r="BC427">
            <v>600</v>
          </cell>
          <cell r="BD427">
            <v>530</v>
          </cell>
          <cell r="BE427">
            <v>620</v>
          </cell>
          <cell r="BF427">
            <v>410</v>
          </cell>
          <cell r="BG427">
            <v>470</v>
          </cell>
          <cell r="BH427">
            <v>590</v>
          </cell>
          <cell r="BI427">
            <v>480</v>
          </cell>
          <cell r="BJ427">
            <v>500</v>
          </cell>
          <cell r="BK427">
            <v>480</v>
          </cell>
          <cell r="BL427">
            <v>490</v>
          </cell>
          <cell r="BM427">
            <v>520</v>
          </cell>
          <cell r="BN427">
            <v>530</v>
          </cell>
          <cell r="BO427">
            <v>600</v>
          </cell>
          <cell r="BP427">
            <v>230</v>
          </cell>
          <cell r="BQ427">
            <v>640</v>
          </cell>
          <cell r="BR427">
            <v>390</v>
          </cell>
          <cell r="BS427">
            <v>560</v>
          </cell>
          <cell r="BT427">
            <v>310</v>
          </cell>
          <cell r="BU427">
            <v>320</v>
          </cell>
          <cell r="BV427">
            <v>210</v>
          </cell>
          <cell r="BW427">
            <v>420</v>
          </cell>
          <cell r="BX427">
            <v>220</v>
          </cell>
          <cell r="BY427">
            <v>270</v>
          </cell>
          <cell r="BZ427">
            <v>270</v>
          </cell>
          <cell r="CA427">
            <v>290</v>
          </cell>
          <cell r="CB427">
            <v>290</v>
          </cell>
          <cell r="CC427">
            <v>460</v>
          </cell>
          <cell r="CD427">
            <v>340</v>
          </cell>
          <cell r="CE427">
            <v>270</v>
          </cell>
          <cell r="CF427">
            <v>150</v>
          </cell>
          <cell r="CG427">
            <v>430</v>
          </cell>
          <cell r="CH427">
            <v>350</v>
          </cell>
          <cell r="CI427">
            <v>520</v>
          </cell>
          <cell r="CJ427">
            <v>370</v>
          </cell>
          <cell r="CK427">
            <v>450</v>
          </cell>
          <cell r="CL427">
            <v>430</v>
          </cell>
          <cell r="CM427">
            <v>390</v>
          </cell>
          <cell r="CN427">
            <v>410</v>
          </cell>
          <cell r="CO427">
            <v>340</v>
          </cell>
          <cell r="CP427">
            <v>390</v>
          </cell>
          <cell r="CQ427">
            <v>430</v>
          </cell>
          <cell r="CR427">
            <v>490</v>
          </cell>
          <cell r="CS427">
            <v>310</v>
          </cell>
          <cell r="CT427">
            <v>450</v>
          </cell>
          <cell r="CU427">
            <v>470</v>
          </cell>
          <cell r="CV427">
            <v>490</v>
          </cell>
          <cell r="CW427">
            <v>300</v>
          </cell>
          <cell r="CX427">
            <v>260</v>
          </cell>
          <cell r="CY427">
            <v>330</v>
          </cell>
          <cell r="CZ427">
            <v>430</v>
          </cell>
          <cell r="DA427">
            <v>540</v>
          </cell>
          <cell r="DB427">
            <v>470</v>
          </cell>
          <cell r="DC427">
            <v>490</v>
          </cell>
          <cell r="DD427">
            <v>400</v>
          </cell>
          <cell r="DE427">
            <v>390</v>
          </cell>
          <cell r="DF427">
            <v>90</v>
          </cell>
          <cell r="DG427" t="str">
            <v>ACTIVO</v>
          </cell>
          <cell r="DH427" t="str">
            <v>A</v>
          </cell>
          <cell r="DI427"/>
          <cell r="DJ427">
            <v>403.6</v>
          </cell>
          <cell r="DK427">
            <v>67.266666666666666</v>
          </cell>
          <cell r="DL427">
            <v>141.78803247751961</v>
          </cell>
          <cell r="DM427">
            <v>1020</v>
          </cell>
          <cell r="DN427">
            <v>3274200</v>
          </cell>
          <cell r="DO427">
            <v>2.5272547076313181</v>
          </cell>
          <cell r="DP427" t="str">
            <v>OK</v>
          </cell>
          <cell r="DQ427">
            <v>269.06666666666666</v>
          </cell>
        </row>
        <row r="428">
          <cell r="B428"/>
          <cell r="C428"/>
          <cell r="D428">
            <v>560</v>
          </cell>
          <cell r="E428">
            <v>500</v>
          </cell>
          <cell r="F428">
            <v>600</v>
          </cell>
          <cell r="G428">
            <v>540</v>
          </cell>
          <cell r="H428">
            <v>650</v>
          </cell>
          <cell r="I428">
            <v>520</v>
          </cell>
          <cell r="J428">
            <v>560</v>
          </cell>
          <cell r="K428">
            <v>430</v>
          </cell>
          <cell r="L428">
            <v>610</v>
          </cell>
          <cell r="M428">
            <v>510</v>
          </cell>
          <cell r="N428">
            <v>540</v>
          </cell>
          <cell r="O428">
            <v>300</v>
          </cell>
          <cell r="P428">
            <v>410</v>
          </cell>
          <cell r="Q428">
            <v>610</v>
          </cell>
          <cell r="R428">
            <v>480</v>
          </cell>
          <cell r="S428">
            <v>490</v>
          </cell>
          <cell r="T428">
            <v>460</v>
          </cell>
          <cell r="U428">
            <v>630</v>
          </cell>
          <cell r="V428">
            <v>640</v>
          </cell>
          <cell r="W428">
            <v>390</v>
          </cell>
          <cell r="X428">
            <v>530</v>
          </cell>
          <cell r="Y428">
            <v>670</v>
          </cell>
          <cell r="Z428">
            <v>410</v>
          </cell>
          <cell r="AA428">
            <v>420</v>
          </cell>
          <cell r="AB428">
            <v>570</v>
          </cell>
          <cell r="AC428">
            <v>270</v>
          </cell>
          <cell r="AD428">
            <v>170</v>
          </cell>
          <cell r="AE428">
            <v>80</v>
          </cell>
          <cell r="AF428">
            <v>450</v>
          </cell>
          <cell r="AG428">
            <v>360</v>
          </cell>
          <cell r="AH428">
            <v>290</v>
          </cell>
          <cell r="AI428">
            <v>450</v>
          </cell>
          <cell r="AJ428">
            <v>430</v>
          </cell>
          <cell r="AK428">
            <v>400</v>
          </cell>
          <cell r="AL428">
            <v>490</v>
          </cell>
          <cell r="AM428">
            <v>380</v>
          </cell>
          <cell r="AN428">
            <v>390</v>
          </cell>
          <cell r="AO428">
            <v>490</v>
          </cell>
          <cell r="AP428">
            <v>350</v>
          </cell>
          <cell r="AQ428">
            <v>530</v>
          </cell>
          <cell r="AR428">
            <v>680</v>
          </cell>
          <cell r="AS428">
            <v>810</v>
          </cell>
          <cell r="AT428">
            <v>520</v>
          </cell>
          <cell r="AU428">
            <v>410</v>
          </cell>
          <cell r="AV428">
            <v>520</v>
          </cell>
          <cell r="AW428">
            <v>530</v>
          </cell>
          <cell r="AX428">
            <v>570</v>
          </cell>
          <cell r="AY428">
            <v>530</v>
          </cell>
          <cell r="AZ428">
            <v>600</v>
          </cell>
          <cell r="BA428">
            <v>650</v>
          </cell>
          <cell r="BB428">
            <v>630</v>
          </cell>
          <cell r="BC428">
            <v>600</v>
          </cell>
          <cell r="BD428">
            <v>530</v>
          </cell>
          <cell r="BE428">
            <v>620</v>
          </cell>
          <cell r="BF428">
            <v>410</v>
          </cell>
          <cell r="BG428">
            <v>470</v>
          </cell>
          <cell r="BH428">
            <v>590</v>
          </cell>
          <cell r="BI428">
            <v>480</v>
          </cell>
          <cell r="BJ428">
            <v>500</v>
          </cell>
          <cell r="BK428">
            <v>480</v>
          </cell>
          <cell r="BL428">
            <v>490</v>
          </cell>
          <cell r="BM428">
            <v>520</v>
          </cell>
          <cell r="BN428">
            <v>530</v>
          </cell>
          <cell r="BO428">
            <v>600</v>
          </cell>
          <cell r="BP428">
            <v>230</v>
          </cell>
          <cell r="BQ428">
            <v>640</v>
          </cell>
          <cell r="BR428">
            <v>390</v>
          </cell>
          <cell r="BS428">
            <v>560</v>
          </cell>
          <cell r="BT428">
            <v>310</v>
          </cell>
          <cell r="BU428">
            <v>320</v>
          </cell>
          <cell r="BV428">
            <v>210</v>
          </cell>
          <cell r="BW428">
            <v>420</v>
          </cell>
          <cell r="BX428">
            <v>220</v>
          </cell>
          <cell r="BY428">
            <v>270</v>
          </cell>
          <cell r="BZ428">
            <v>270</v>
          </cell>
          <cell r="CA428">
            <v>290</v>
          </cell>
          <cell r="CB428">
            <v>290</v>
          </cell>
          <cell r="CC428">
            <v>460</v>
          </cell>
          <cell r="CD428">
            <v>340</v>
          </cell>
          <cell r="CE428">
            <v>270</v>
          </cell>
          <cell r="CF428">
            <v>150</v>
          </cell>
          <cell r="CG428">
            <v>430</v>
          </cell>
          <cell r="CH428">
            <v>350</v>
          </cell>
          <cell r="CI428">
            <v>520</v>
          </cell>
          <cell r="CJ428">
            <v>370</v>
          </cell>
          <cell r="CK428">
            <v>450</v>
          </cell>
          <cell r="CL428">
            <v>430</v>
          </cell>
          <cell r="CM428">
            <v>390</v>
          </cell>
          <cell r="CN428">
            <v>410</v>
          </cell>
          <cell r="CO428">
            <v>340</v>
          </cell>
          <cell r="CP428">
            <v>390</v>
          </cell>
          <cell r="CQ428">
            <v>430</v>
          </cell>
          <cell r="CR428">
            <v>490</v>
          </cell>
          <cell r="CS428">
            <v>310</v>
          </cell>
          <cell r="CT428">
            <v>450</v>
          </cell>
          <cell r="CU428">
            <v>470</v>
          </cell>
          <cell r="CV428">
            <v>490</v>
          </cell>
          <cell r="CW428">
            <v>300</v>
          </cell>
          <cell r="CX428">
            <v>260</v>
          </cell>
          <cell r="CY428">
            <v>330</v>
          </cell>
          <cell r="CZ428">
            <v>430</v>
          </cell>
          <cell r="DA428">
            <v>540</v>
          </cell>
          <cell r="DB428">
            <v>470</v>
          </cell>
          <cell r="DC428">
            <v>490</v>
          </cell>
          <cell r="DD428">
            <v>400</v>
          </cell>
          <cell r="DE428">
            <v>390</v>
          </cell>
          <cell r="DF428">
            <v>90</v>
          </cell>
          <cell r="DG428" t="str">
            <v>ACTIVO</v>
          </cell>
          <cell r="DH428" t="str">
            <v/>
          </cell>
          <cell r="DI428"/>
          <cell r="DJ428">
            <v>403.6</v>
          </cell>
          <cell r="DK428">
            <v>67.266666666666666</v>
          </cell>
          <cell r="DL428">
            <v>141.78803247751961</v>
          </cell>
          <cell r="DM428">
            <v>0</v>
          </cell>
          <cell r="DN428" t="str">
            <v>0</v>
          </cell>
          <cell r="DO428">
            <v>0</v>
          </cell>
          <cell r="DP428" t="str">
            <v>INACTIVO</v>
          </cell>
          <cell r="DQ428">
            <v>0</v>
          </cell>
        </row>
        <row r="429">
          <cell r="B429">
            <v>403269</v>
          </cell>
          <cell r="C429" t="str">
            <v>PROPIONATO DE CALCIO 14 KG WINKLER</v>
          </cell>
          <cell r="D429"/>
          <cell r="E429"/>
          <cell r="F429"/>
          <cell r="G429"/>
          <cell r="H429"/>
          <cell r="I429"/>
          <cell r="J429"/>
          <cell r="K429"/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>
            <v>3.04</v>
          </cell>
          <cell r="AP429">
            <v>1.5359999999999998</v>
          </cell>
          <cell r="AQ429">
            <v>2.8000000000000003</v>
          </cell>
          <cell r="AR429">
            <v>2.8000000000000003</v>
          </cell>
          <cell r="AS429">
            <v>2.56</v>
          </cell>
          <cell r="AT429">
            <v>3.04</v>
          </cell>
          <cell r="AU429">
            <v>2</v>
          </cell>
          <cell r="AV429">
            <v>2.4800000000000004</v>
          </cell>
          <cell r="AW429">
            <v>2.8000000000000003</v>
          </cell>
          <cell r="AX429">
            <v>3.7600000000000002</v>
          </cell>
          <cell r="AY429">
            <v>1.6800000000000002</v>
          </cell>
          <cell r="AZ429">
            <v>3.0000000000000004</v>
          </cell>
          <cell r="BA429">
            <v>3.9600000000000004</v>
          </cell>
          <cell r="BB429">
            <v>10.28</v>
          </cell>
          <cell r="BC429">
            <v>5.0000000000000009</v>
          </cell>
          <cell r="BD429">
            <v>3</v>
          </cell>
          <cell r="BE429">
            <v>2.68</v>
          </cell>
          <cell r="BF429">
            <v>3.08</v>
          </cell>
          <cell r="BG429">
            <v>3.4400000000000004</v>
          </cell>
          <cell r="BH429">
            <v>3.28</v>
          </cell>
          <cell r="BI429">
            <v>3.2800000000000002</v>
          </cell>
          <cell r="BJ429">
            <v>3.12</v>
          </cell>
          <cell r="BK429">
            <v>2.3200000000000003</v>
          </cell>
          <cell r="BL429">
            <v>3.44</v>
          </cell>
          <cell r="BM429">
            <v>4.28</v>
          </cell>
          <cell r="BN429">
            <v>2.9200000000000004</v>
          </cell>
          <cell r="BO429">
            <v>2.6</v>
          </cell>
          <cell r="BP429">
            <v>1.6800000000000002</v>
          </cell>
          <cell r="BQ429">
            <v>3.48</v>
          </cell>
          <cell r="BR429">
            <v>1.8399999999999999</v>
          </cell>
          <cell r="BS429">
            <v>4.28</v>
          </cell>
          <cell r="BT429">
            <v>3.8000000000000003</v>
          </cell>
          <cell r="BU429">
            <v>3</v>
          </cell>
          <cell r="BV429">
            <v>3.2800000000000002</v>
          </cell>
          <cell r="BW429">
            <v>1.8800000000000001</v>
          </cell>
          <cell r="BX429">
            <v>9.2800000000000011</v>
          </cell>
          <cell r="BY429">
            <v>2.7199999999999998</v>
          </cell>
          <cell r="BZ429">
            <v>7.12</v>
          </cell>
          <cell r="CA429">
            <v>2.2799999999999998</v>
          </cell>
          <cell r="CB429">
            <v>2.3200000000000003</v>
          </cell>
          <cell r="CC429">
            <v>2.2000000000000002</v>
          </cell>
          <cell r="CD429">
            <v>1.9600000000000002</v>
          </cell>
          <cell r="CE429"/>
          <cell r="CF429"/>
          <cell r="CG429">
            <v>3.9600000000000004</v>
          </cell>
          <cell r="CH429">
            <v>2.7600000000000002</v>
          </cell>
          <cell r="CI429">
            <v>3.12</v>
          </cell>
          <cell r="CJ429">
            <v>2.4000000000000004</v>
          </cell>
          <cell r="CK429">
            <v>2.9200000000000004</v>
          </cell>
          <cell r="CL429">
            <v>1.52</v>
          </cell>
          <cell r="CM429">
            <v>2.4000000000000004</v>
          </cell>
          <cell r="CN429">
            <v>3.0400000000000005</v>
          </cell>
          <cell r="CO429">
            <v>1.9200000000000004</v>
          </cell>
          <cell r="CP429">
            <v>1.9600000000000004</v>
          </cell>
          <cell r="CQ429">
            <v>2.0000000000000004</v>
          </cell>
          <cell r="CR429">
            <v>2.4800000000000004</v>
          </cell>
          <cell r="CS429">
            <v>1.4000000000000004</v>
          </cell>
          <cell r="CT429">
            <v>2.5600000000000005</v>
          </cell>
          <cell r="CU429">
            <v>2.4400000000000004</v>
          </cell>
          <cell r="CV429">
            <v>3.1200000000000006</v>
          </cell>
          <cell r="CW429">
            <v>3.16</v>
          </cell>
          <cell r="CX429">
            <v>2.72</v>
          </cell>
          <cell r="CY429">
            <v>3.8000000000000003</v>
          </cell>
          <cell r="CZ429">
            <v>1.9200000000000004</v>
          </cell>
          <cell r="DA429">
            <v>1.7600000000000002</v>
          </cell>
          <cell r="DB429">
            <v>2.7600000000000002</v>
          </cell>
          <cell r="DC429">
            <v>1.9200000000000004</v>
          </cell>
          <cell r="DD429">
            <v>2.3600000000000003</v>
          </cell>
          <cell r="DE429">
            <v>2.3600000000000003</v>
          </cell>
          <cell r="DF429">
            <v>0.84000000000000008</v>
          </cell>
          <cell r="DG429" t="str">
            <v>ACTIVO</v>
          </cell>
          <cell r="DH429" t="str">
            <v>C</v>
          </cell>
          <cell r="DI429"/>
          <cell r="DJ429">
            <v>2.5166666666666662</v>
          </cell>
          <cell r="DK429">
            <v>0.41944444444444434</v>
          </cell>
          <cell r="DL429">
            <v>1.7725478581430936</v>
          </cell>
          <cell r="DM429">
            <v>7.92</v>
          </cell>
          <cell r="DN429">
            <v>29214.979200000002</v>
          </cell>
          <cell r="DO429">
            <v>3.1470198675496697</v>
          </cell>
          <cell r="DP429" t="str">
            <v>OK</v>
          </cell>
          <cell r="DQ429">
            <v>1.2583333333333331</v>
          </cell>
        </row>
        <row r="430">
          <cell r="B430">
            <v>102103</v>
          </cell>
          <cell r="C430" t="str">
            <v>PROPIONATO DE SODIO WINKLER</v>
          </cell>
          <cell r="D430">
            <v>2.52</v>
          </cell>
          <cell r="E430">
            <v>1.7999999999999998</v>
          </cell>
          <cell r="F430">
            <v>2.4800000000000004</v>
          </cell>
          <cell r="G430">
            <v>1.7200000000000002</v>
          </cell>
          <cell r="H430">
            <v>2.3200000000000003</v>
          </cell>
          <cell r="I430">
            <v>1.6800000000000002</v>
          </cell>
          <cell r="J430">
            <v>1.8400000000000003</v>
          </cell>
          <cell r="K430">
            <v>2.3199999999999998</v>
          </cell>
          <cell r="L430">
            <v>4.24</v>
          </cell>
          <cell r="M430">
            <v>2.2000000000000002</v>
          </cell>
          <cell r="N430">
            <v>2.9200000000000004</v>
          </cell>
          <cell r="O430">
            <v>1.044</v>
          </cell>
          <cell r="P430">
            <v>2.8839999999999999</v>
          </cell>
          <cell r="Q430">
            <v>4.16</v>
          </cell>
          <cell r="R430">
            <v>3.9200000000000004</v>
          </cell>
          <cell r="S430">
            <v>3.9600000000000004</v>
          </cell>
          <cell r="T430">
            <v>2.2800000000000002</v>
          </cell>
          <cell r="U430">
            <v>3.3600000000000003</v>
          </cell>
          <cell r="V430">
            <v>3.4400000000000004</v>
          </cell>
          <cell r="W430">
            <v>1.7200000000000002</v>
          </cell>
          <cell r="X430">
            <v>4.5600000000000005</v>
          </cell>
          <cell r="Y430">
            <v>4.16</v>
          </cell>
          <cell r="Z430">
            <v>2.96</v>
          </cell>
          <cell r="AA430">
            <v>2</v>
          </cell>
          <cell r="AB430">
            <v>4.4400000000000004</v>
          </cell>
          <cell r="AC430">
            <v>1.4000000000000001</v>
          </cell>
          <cell r="AD430">
            <v>0.56000000000000005</v>
          </cell>
          <cell r="AE430">
            <v>1.04</v>
          </cell>
          <cell r="AF430">
            <v>10.120000000000001</v>
          </cell>
          <cell r="AG430">
            <v>5.160000000000001</v>
          </cell>
          <cell r="AH430">
            <v>0.04</v>
          </cell>
          <cell r="AI430">
            <v>3.6000000000000005</v>
          </cell>
          <cell r="AJ430">
            <v>1.56</v>
          </cell>
          <cell r="AK430">
            <v>1.1600000000000001</v>
          </cell>
          <cell r="AL430"/>
          <cell r="AM430"/>
          <cell r="AN430">
            <v>0.44</v>
          </cell>
          <cell r="AO430">
            <v>0.12</v>
          </cell>
          <cell r="AP430">
            <v>0.2</v>
          </cell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 t="str">
            <v>SIN USO</v>
          </cell>
          <cell r="DH430" t="str">
            <v>C</v>
          </cell>
          <cell r="DI430"/>
          <cell r="DJ430">
            <v>0</v>
          </cell>
          <cell r="DK430">
            <v>0</v>
          </cell>
          <cell r="DL430">
            <v>3.2001222198882067</v>
          </cell>
          <cell r="DM430">
            <v>0</v>
          </cell>
          <cell r="DN430" t="str">
            <v>0</v>
          </cell>
          <cell r="DO430">
            <v>0</v>
          </cell>
          <cell r="DP430" t="str">
            <v>INACTIVO</v>
          </cell>
          <cell r="DQ430">
            <v>0</v>
          </cell>
        </row>
        <row r="431">
          <cell r="B431"/>
          <cell r="C431"/>
          <cell r="D431">
            <v>2.52</v>
          </cell>
          <cell r="E431">
            <v>1.7999999999999998</v>
          </cell>
          <cell r="F431">
            <v>2.4800000000000004</v>
          </cell>
          <cell r="G431">
            <v>1.7200000000000002</v>
          </cell>
          <cell r="H431">
            <v>2.3200000000000003</v>
          </cell>
          <cell r="I431">
            <v>1.6800000000000002</v>
          </cell>
          <cell r="J431">
            <v>1.8400000000000003</v>
          </cell>
          <cell r="K431">
            <v>2.3199999999999998</v>
          </cell>
          <cell r="L431">
            <v>4.24</v>
          </cell>
          <cell r="M431">
            <v>2.2000000000000002</v>
          </cell>
          <cell r="N431">
            <v>2.9200000000000004</v>
          </cell>
          <cell r="O431">
            <v>1.044</v>
          </cell>
          <cell r="P431">
            <v>2.8839999999999999</v>
          </cell>
          <cell r="Q431">
            <v>4.16</v>
          </cell>
          <cell r="R431">
            <v>3.9200000000000004</v>
          </cell>
          <cell r="S431">
            <v>3.9600000000000004</v>
          </cell>
          <cell r="T431">
            <v>2.2800000000000002</v>
          </cell>
          <cell r="U431">
            <v>3.3600000000000003</v>
          </cell>
          <cell r="V431">
            <v>3.4400000000000004</v>
          </cell>
          <cell r="W431">
            <v>1.7200000000000002</v>
          </cell>
          <cell r="X431">
            <v>4.5600000000000005</v>
          </cell>
          <cell r="Y431">
            <v>4.16</v>
          </cell>
          <cell r="Z431">
            <v>2.96</v>
          </cell>
          <cell r="AA431">
            <v>2</v>
          </cell>
          <cell r="AB431">
            <v>4.4400000000000004</v>
          </cell>
          <cell r="AC431">
            <v>1.4000000000000001</v>
          </cell>
          <cell r="AD431">
            <v>0.56000000000000005</v>
          </cell>
          <cell r="AE431">
            <v>1.04</v>
          </cell>
          <cell r="AF431">
            <v>10.120000000000001</v>
          </cell>
          <cell r="AG431">
            <v>5.160000000000001</v>
          </cell>
          <cell r="AH431">
            <v>0.04</v>
          </cell>
          <cell r="AI431">
            <v>3.6000000000000005</v>
          </cell>
          <cell r="AJ431">
            <v>1.56</v>
          </cell>
          <cell r="AK431">
            <v>1.1600000000000001</v>
          </cell>
          <cell r="AL431"/>
          <cell r="AM431"/>
          <cell r="AN431">
            <v>0.44</v>
          </cell>
          <cell r="AO431">
            <v>3.16</v>
          </cell>
          <cell r="AP431">
            <v>1.7359999999999998</v>
          </cell>
          <cell r="AQ431">
            <v>2.8000000000000003</v>
          </cell>
          <cell r="AR431">
            <v>2.8000000000000003</v>
          </cell>
          <cell r="AS431">
            <v>2.56</v>
          </cell>
          <cell r="AT431">
            <v>3.04</v>
          </cell>
          <cell r="AU431">
            <v>2</v>
          </cell>
          <cell r="AV431">
            <v>2.4800000000000004</v>
          </cell>
          <cell r="AW431">
            <v>2.8000000000000003</v>
          </cell>
          <cell r="AX431">
            <v>3.7600000000000002</v>
          </cell>
          <cell r="AY431">
            <v>1.6800000000000002</v>
          </cell>
          <cell r="AZ431">
            <v>3.0000000000000004</v>
          </cell>
          <cell r="BA431">
            <v>3.9600000000000004</v>
          </cell>
          <cell r="BB431">
            <v>10.28</v>
          </cell>
          <cell r="BC431">
            <v>5.0000000000000009</v>
          </cell>
          <cell r="BD431">
            <v>3</v>
          </cell>
          <cell r="BE431">
            <v>2.68</v>
          </cell>
          <cell r="BF431">
            <v>3.08</v>
          </cell>
          <cell r="BG431">
            <v>3.4400000000000004</v>
          </cell>
          <cell r="BH431">
            <v>3.28</v>
          </cell>
          <cell r="BI431">
            <v>3.2800000000000002</v>
          </cell>
          <cell r="BJ431">
            <v>3.12</v>
          </cell>
          <cell r="BK431">
            <v>2.3200000000000003</v>
          </cell>
          <cell r="BL431">
            <v>3.44</v>
          </cell>
          <cell r="BM431">
            <v>4.28</v>
          </cell>
          <cell r="BN431">
            <v>2.9200000000000004</v>
          </cell>
          <cell r="BO431">
            <v>2.6</v>
          </cell>
          <cell r="BP431">
            <v>1.6800000000000002</v>
          </cell>
          <cell r="BQ431">
            <v>3.48</v>
          </cell>
          <cell r="BR431">
            <v>1.8399999999999999</v>
          </cell>
          <cell r="BS431">
            <v>4.28</v>
          </cell>
          <cell r="BT431">
            <v>3.8000000000000003</v>
          </cell>
          <cell r="BU431">
            <v>3</v>
          </cell>
          <cell r="BV431">
            <v>3.2800000000000002</v>
          </cell>
          <cell r="BW431">
            <v>1.8800000000000001</v>
          </cell>
          <cell r="BX431">
            <v>9.2800000000000011</v>
          </cell>
          <cell r="BY431">
            <v>2.7199999999999998</v>
          </cell>
          <cell r="BZ431">
            <v>7.12</v>
          </cell>
          <cell r="CA431">
            <v>2.2799999999999998</v>
          </cell>
          <cell r="CB431">
            <v>2.3200000000000003</v>
          </cell>
          <cell r="CC431">
            <v>2.2000000000000002</v>
          </cell>
          <cell r="CD431">
            <v>1.9600000000000002</v>
          </cell>
          <cell r="CE431"/>
          <cell r="CF431"/>
          <cell r="CG431">
            <v>3.9600000000000004</v>
          </cell>
          <cell r="CH431">
            <v>2.7600000000000002</v>
          </cell>
          <cell r="CI431">
            <v>3.12</v>
          </cell>
          <cell r="CJ431">
            <v>2.4000000000000004</v>
          </cell>
          <cell r="CK431">
            <v>2.9200000000000004</v>
          </cell>
          <cell r="CL431">
            <v>1.52</v>
          </cell>
          <cell r="CM431">
            <v>2.4000000000000004</v>
          </cell>
          <cell r="CN431">
            <v>3.0400000000000005</v>
          </cell>
          <cell r="CO431">
            <v>1.9200000000000004</v>
          </cell>
          <cell r="CP431">
            <v>1.9600000000000004</v>
          </cell>
          <cell r="CQ431">
            <v>2.0000000000000004</v>
          </cell>
          <cell r="CR431">
            <v>2.4800000000000004</v>
          </cell>
          <cell r="CS431">
            <v>1.4000000000000004</v>
          </cell>
          <cell r="CT431">
            <v>2.5600000000000005</v>
          </cell>
          <cell r="CU431">
            <v>2.4400000000000004</v>
          </cell>
          <cell r="CV431">
            <v>3.1200000000000006</v>
          </cell>
          <cell r="CW431">
            <v>3.16</v>
          </cell>
          <cell r="CX431">
            <v>2.72</v>
          </cell>
          <cell r="CY431">
            <v>3.8000000000000003</v>
          </cell>
          <cell r="CZ431">
            <v>1.9200000000000004</v>
          </cell>
          <cell r="DA431">
            <v>1.7600000000000002</v>
          </cell>
          <cell r="DB431">
            <v>2.7600000000000002</v>
          </cell>
          <cell r="DC431">
            <v>1.9200000000000004</v>
          </cell>
          <cell r="DD431">
            <v>2.3600000000000003</v>
          </cell>
          <cell r="DE431">
            <v>2.3600000000000003</v>
          </cell>
          <cell r="DF431">
            <v>0.84000000000000008</v>
          </cell>
          <cell r="DG431" t="str">
            <v>ACTIVO</v>
          </cell>
          <cell r="DH431" t="str">
            <v/>
          </cell>
          <cell r="DI431"/>
          <cell r="DJ431">
            <v>2.5166666666666662</v>
          </cell>
          <cell r="DK431">
            <v>0.41944444444444434</v>
          </cell>
          <cell r="DL431">
            <v>2.0682161399700592</v>
          </cell>
          <cell r="DM431">
            <v>0</v>
          </cell>
          <cell r="DN431" t="str">
            <v>0</v>
          </cell>
          <cell r="DO431">
            <v>0</v>
          </cell>
          <cell r="DP431" t="str">
            <v>INACTIVO</v>
          </cell>
          <cell r="DQ431">
            <v>0</v>
          </cell>
        </row>
        <row r="432">
          <cell r="B432">
            <v>405539</v>
          </cell>
          <cell r="C432" t="str">
            <v>LECHE CONDENSADA WATTS</v>
          </cell>
          <cell r="D432"/>
          <cell r="E432"/>
          <cell r="F432"/>
          <cell r="G432"/>
          <cell r="H432"/>
          <cell r="I432"/>
          <cell r="J432"/>
          <cell r="K432"/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>
            <v>20</v>
          </cell>
          <cell r="BI432"/>
          <cell r="BJ432">
            <v>15</v>
          </cell>
          <cell r="BK432">
            <v>5</v>
          </cell>
          <cell r="BL432">
            <v>10</v>
          </cell>
          <cell r="BM432"/>
          <cell r="BN432">
            <v>25</v>
          </cell>
          <cell r="BO432"/>
          <cell r="BP432">
            <v>15</v>
          </cell>
          <cell r="BQ432">
            <v>100</v>
          </cell>
          <cell r="BR432">
            <v>10</v>
          </cell>
          <cell r="BS432">
            <v>20</v>
          </cell>
          <cell r="BT432">
            <v>10</v>
          </cell>
          <cell r="BU432">
            <v>10</v>
          </cell>
          <cell r="BV432">
            <v>10</v>
          </cell>
          <cell r="BW432">
            <v>20</v>
          </cell>
          <cell r="BX432">
            <v>15</v>
          </cell>
          <cell r="BY432">
            <v>200</v>
          </cell>
          <cell r="BZ432">
            <v>5</v>
          </cell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 t="str">
            <v>SIN USO</v>
          </cell>
          <cell r="DH432" t="str">
            <v>C</v>
          </cell>
          <cell r="DI432"/>
          <cell r="DJ432">
            <v>0</v>
          </cell>
          <cell r="DK432">
            <v>0</v>
          </cell>
          <cell r="DL432">
            <v>50.361195378982018</v>
          </cell>
          <cell r="DM432">
            <v>0</v>
          </cell>
          <cell r="DN432" t="str">
            <v>0</v>
          </cell>
          <cell r="DO432">
            <v>0</v>
          </cell>
          <cell r="DP432" t="str">
            <v>INACTIVO</v>
          </cell>
          <cell r="DQ432">
            <v>0</v>
          </cell>
        </row>
        <row r="433">
          <cell r="B433"/>
          <cell r="C433"/>
          <cell r="D433"/>
          <cell r="E433"/>
          <cell r="F433"/>
          <cell r="G433"/>
          <cell r="H433"/>
          <cell r="I433"/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>
            <v>20</v>
          </cell>
          <cell r="BI433"/>
          <cell r="BJ433">
            <v>15</v>
          </cell>
          <cell r="BK433">
            <v>5</v>
          </cell>
          <cell r="BL433">
            <v>10</v>
          </cell>
          <cell r="BM433"/>
          <cell r="BN433">
            <v>25</v>
          </cell>
          <cell r="BO433"/>
          <cell r="BP433">
            <v>15</v>
          </cell>
          <cell r="BQ433">
            <v>100</v>
          </cell>
          <cell r="BR433">
            <v>10</v>
          </cell>
          <cell r="BS433">
            <v>20</v>
          </cell>
          <cell r="BT433">
            <v>10</v>
          </cell>
          <cell r="BU433">
            <v>10</v>
          </cell>
          <cell r="BV433">
            <v>10</v>
          </cell>
          <cell r="BW433">
            <v>20</v>
          </cell>
          <cell r="BX433">
            <v>15</v>
          </cell>
          <cell r="BY433">
            <v>200</v>
          </cell>
          <cell r="BZ433">
            <v>5</v>
          </cell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 t="str">
            <v>ACTIVO</v>
          </cell>
          <cell r="DH433" t="str">
            <v/>
          </cell>
          <cell r="DI433"/>
          <cell r="DJ433">
            <v>0</v>
          </cell>
          <cell r="DK433">
            <v>0</v>
          </cell>
          <cell r="DL433">
            <v>50.361195378982018</v>
          </cell>
          <cell r="DM433">
            <v>0</v>
          </cell>
          <cell r="DN433" t="str">
            <v>0</v>
          </cell>
          <cell r="DO433">
            <v>0</v>
          </cell>
          <cell r="DP433" t="str">
            <v>INACTIVO</v>
          </cell>
          <cell r="DQ433">
            <v>0</v>
          </cell>
        </row>
        <row r="434">
          <cell r="B434">
            <v>405304</v>
          </cell>
          <cell r="C434" t="str">
            <v>COLORANTE ROJO POLVO</v>
          </cell>
          <cell r="D434"/>
          <cell r="E434">
            <v>10</v>
          </cell>
          <cell r="F434"/>
          <cell r="G434"/>
          <cell r="H434"/>
          <cell r="I434"/>
          <cell r="J434"/>
          <cell r="K434"/>
          <cell r="L434"/>
          <cell r="M434"/>
          <cell r="N434"/>
          <cell r="O434"/>
          <cell r="P434"/>
          <cell r="Q434">
            <v>5</v>
          </cell>
          <cell r="R434"/>
          <cell r="S434"/>
          <cell r="T434"/>
          <cell r="U434"/>
          <cell r="V434"/>
          <cell r="W434"/>
          <cell r="X434"/>
          <cell r="Y434"/>
          <cell r="Z434">
            <v>1</v>
          </cell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>
            <v>5</v>
          </cell>
          <cell r="AN434"/>
          <cell r="AO434"/>
          <cell r="AP434">
            <v>5</v>
          </cell>
          <cell r="AQ434"/>
          <cell r="AR434"/>
          <cell r="AS434"/>
          <cell r="AT434"/>
          <cell r="AU434"/>
          <cell r="AV434"/>
          <cell r="AW434"/>
          <cell r="AX434"/>
          <cell r="AY434"/>
          <cell r="AZ434">
            <v>20</v>
          </cell>
          <cell r="BA434"/>
          <cell r="BB434"/>
          <cell r="BC434"/>
          <cell r="BD434"/>
          <cell r="BE434"/>
          <cell r="BF434"/>
          <cell r="BG434"/>
          <cell r="BH434"/>
          <cell r="BI434">
            <v>5</v>
          </cell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>
            <v>5</v>
          </cell>
          <cell r="BZ434"/>
          <cell r="CA434"/>
          <cell r="CB434">
            <v>5</v>
          </cell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>
            <v>10</v>
          </cell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 t="str">
            <v>ACTIVO</v>
          </cell>
          <cell r="DH434" t="str">
            <v>C</v>
          </cell>
          <cell r="DI434"/>
          <cell r="DJ434">
            <v>10</v>
          </cell>
          <cell r="DK434">
            <v>1.6666666666666667</v>
          </cell>
          <cell r="DL434">
            <v>6.1237243569579451</v>
          </cell>
          <cell r="DM434">
            <v>55</v>
          </cell>
          <cell r="DN434">
            <v>557370</v>
          </cell>
          <cell r="DO434">
            <v>5.5</v>
          </cell>
          <cell r="DP434" t="str">
            <v>OK</v>
          </cell>
          <cell r="DQ434">
            <v>6.666666666666667</v>
          </cell>
        </row>
        <row r="435">
          <cell r="B435">
            <v>405421</v>
          </cell>
          <cell r="C435" t="str">
            <v>COLORANTE NARANJA FLORAMATIC</v>
          </cell>
          <cell r="D435"/>
          <cell r="E435"/>
          <cell r="F435"/>
          <cell r="G435"/>
          <cell r="H435"/>
          <cell r="I435"/>
          <cell r="J435"/>
          <cell r="K435"/>
          <cell r="L435"/>
          <cell r="M435"/>
          <cell r="N435"/>
          <cell r="O435"/>
          <cell r="P435"/>
          <cell r="Q435"/>
          <cell r="R435"/>
          <cell r="S435">
            <v>5</v>
          </cell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 t="str">
            <v>SIN USO</v>
          </cell>
          <cell r="DH435" t="str">
            <v/>
          </cell>
          <cell r="DI435"/>
          <cell r="DJ435">
            <v>0</v>
          </cell>
          <cell r="DK435">
            <v>0</v>
          </cell>
          <cell r="DL435">
            <v>0</v>
          </cell>
          <cell r="DM435">
            <v>0</v>
          </cell>
          <cell r="DN435" t="str">
            <v>0</v>
          </cell>
          <cell r="DO435">
            <v>0</v>
          </cell>
          <cell r="DP435" t="str">
            <v>INACTIVO</v>
          </cell>
          <cell r="DQ435">
            <v>0</v>
          </cell>
        </row>
        <row r="436">
          <cell r="B436"/>
          <cell r="C436"/>
          <cell r="D436"/>
          <cell r="E436">
            <v>10</v>
          </cell>
          <cell r="F436"/>
          <cell r="G436"/>
          <cell r="H436"/>
          <cell r="I436"/>
          <cell r="J436"/>
          <cell r="K436"/>
          <cell r="L436"/>
          <cell r="M436"/>
          <cell r="N436"/>
          <cell r="O436"/>
          <cell r="P436"/>
          <cell r="Q436">
            <v>5</v>
          </cell>
          <cell r="R436"/>
          <cell r="S436">
            <v>5</v>
          </cell>
          <cell r="T436"/>
          <cell r="U436"/>
          <cell r="V436"/>
          <cell r="W436"/>
          <cell r="X436"/>
          <cell r="Y436"/>
          <cell r="Z436">
            <v>1</v>
          </cell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>
            <v>5</v>
          </cell>
          <cell r="AN436"/>
          <cell r="AO436"/>
          <cell r="AP436">
            <v>5</v>
          </cell>
          <cell r="AQ436"/>
          <cell r="AR436"/>
          <cell r="AS436"/>
          <cell r="AT436"/>
          <cell r="AU436"/>
          <cell r="AV436"/>
          <cell r="AW436"/>
          <cell r="AX436"/>
          <cell r="AY436"/>
          <cell r="AZ436">
            <v>20</v>
          </cell>
          <cell r="BA436"/>
          <cell r="BB436"/>
          <cell r="BC436"/>
          <cell r="BD436"/>
          <cell r="BE436"/>
          <cell r="BF436"/>
          <cell r="BG436"/>
          <cell r="BH436"/>
          <cell r="BI436">
            <v>5</v>
          </cell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>
            <v>5</v>
          </cell>
          <cell r="BZ436"/>
          <cell r="CA436"/>
          <cell r="CB436">
            <v>5</v>
          </cell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>
            <v>10</v>
          </cell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 t="str">
            <v>ACTIVO</v>
          </cell>
          <cell r="DH436" t="str">
            <v/>
          </cell>
          <cell r="DI436"/>
          <cell r="DJ436">
            <v>10</v>
          </cell>
          <cell r="DK436">
            <v>1.6666666666666667</v>
          </cell>
          <cell r="DL436">
            <v>6.1237243569579451</v>
          </cell>
          <cell r="DM436">
            <v>0</v>
          </cell>
          <cell r="DN436" t="str">
            <v>0</v>
          </cell>
          <cell r="DO436">
            <v>0</v>
          </cell>
          <cell r="DP436" t="str">
            <v>INACTIVO</v>
          </cell>
          <cell r="DQ436">
            <v>0</v>
          </cell>
        </row>
        <row r="437">
          <cell r="B437">
            <v>107159</v>
          </cell>
          <cell r="C437" t="str">
            <v>GELATINA S/SABOR ALTO LA CRUZ</v>
          </cell>
          <cell r="D437"/>
          <cell r="E437"/>
          <cell r="F437"/>
          <cell r="G437"/>
          <cell r="H437"/>
          <cell r="I437"/>
          <cell r="J437">
            <v>15</v>
          </cell>
          <cell r="K437">
            <v>4</v>
          </cell>
          <cell r="L437"/>
          <cell r="M437">
            <v>23</v>
          </cell>
          <cell r="N437">
            <v>5</v>
          </cell>
          <cell r="O437">
            <v>5</v>
          </cell>
          <cell r="P437">
            <v>7</v>
          </cell>
          <cell r="Q437">
            <v>13</v>
          </cell>
          <cell r="R437">
            <v>13</v>
          </cell>
          <cell r="S437">
            <v>18</v>
          </cell>
          <cell r="T437">
            <v>8</v>
          </cell>
          <cell r="U437">
            <v>33</v>
          </cell>
          <cell r="V437">
            <v>21</v>
          </cell>
          <cell r="W437">
            <v>10</v>
          </cell>
          <cell r="X437">
            <v>15</v>
          </cell>
          <cell r="Y437">
            <v>30</v>
          </cell>
          <cell r="Z437">
            <v>10</v>
          </cell>
          <cell r="AA437">
            <v>10</v>
          </cell>
          <cell r="AB437">
            <v>23</v>
          </cell>
          <cell r="AC437">
            <v>15</v>
          </cell>
          <cell r="AD437">
            <v>6</v>
          </cell>
          <cell r="AE437">
            <v>12</v>
          </cell>
          <cell r="AF437">
            <v>19</v>
          </cell>
          <cell r="AG437">
            <v>21</v>
          </cell>
          <cell r="AH437">
            <v>7</v>
          </cell>
          <cell r="AI437">
            <v>28</v>
          </cell>
          <cell r="AJ437">
            <v>19</v>
          </cell>
          <cell r="AK437">
            <v>0</v>
          </cell>
          <cell r="AL437">
            <v>17</v>
          </cell>
          <cell r="AM437">
            <v>14</v>
          </cell>
          <cell r="AN437">
            <v>16</v>
          </cell>
          <cell r="AO437">
            <v>16</v>
          </cell>
          <cell r="AP437">
            <v>24</v>
          </cell>
          <cell r="AQ437">
            <v>18</v>
          </cell>
          <cell r="AR437">
            <v>19</v>
          </cell>
          <cell r="AS437">
            <v>14</v>
          </cell>
          <cell r="AT437">
            <v>17</v>
          </cell>
          <cell r="AU437">
            <v>12</v>
          </cell>
          <cell r="AV437">
            <v>24</v>
          </cell>
          <cell r="AW437">
            <v>19</v>
          </cell>
          <cell r="AX437">
            <v>18</v>
          </cell>
          <cell r="AY437">
            <v>13</v>
          </cell>
          <cell r="AZ437">
            <v>13</v>
          </cell>
          <cell r="BA437">
            <v>21</v>
          </cell>
          <cell r="BB437">
            <v>15</v>
          </cell>
          <cell r="BC437">
            <v>27</v>
          </cell>
          <cell r="BD437">
            <v>15</v>
          </cell>
          <cell r="BE437">
            <v>15</v>
          </cell>
          <cell r="BF437">
            <v>4</v>
          </cell>
          <cell r="BG437">
            <v>23</v>
          </cell>
          <cell r="BH437">
            <v>16</v>
          </cell>
          <cell r="BI437">
            <v>18</v>
          </cell>
          <cell r="BJ437">
            <v>16</v>
          </cell>
          <cell r="BK437">
            <v>16</v>
          </cell>
          <cell r="BL437">
            <v>14</v>
          </cell>
          <cell r="BM437">
            <v>17</v>
          </cell>
          <cell r="BN437">
            <v>19</v>
          </cell>
          <cell r="BO437">
            <v>14</v>
          </cell>
          <cell r="BP437">
            <v>10</v>
          </cell>
          <cell r="BQ437">
            <v>16</v>
          </cell>
          <cell r="BR437">
            <v>7</v>
          </cell>
          <cell r="BS437">
            <v>22</v>
          </cell>
          <cell r="BT437">
            <v>13</v>
          </cell>
          <cell r="BU437">
            <v>15</v>
          </cell>
          <cell r="BV437">
            <v>13</v>
          </cell>
          <cell r="BW437">
            <v>13</v>
          </cell>
          <cell r="BX437">
            <v>7</v>
          </cell>
          <cell r="BY437">
            <v>12</v>
          </cell>
          <cell r="BZ437">
            <v>23</v>
          </cell>
          <cell r="CA437">
            <v>12</v>
          </cell>
          <cell r="CB437">
            <v>9</v>
          </cell>
          <cell r="CC437">
            <v>16</v>
          </cell>
          <cell r="CD437">
            <v>15</v>
          </cell>
          <cell r="CE437">
            <v>8</v>
          </cell>
          <cell r="CF437">
            <v>4</v>
          </cell>
          <cell r="CG437">
            <v>14</v>
          </cell>
          <cell r="CH437">
            <v>15</v>
          </cell>
          <cell r="CI437">
            <v>17</v>
          </cell>
          <cell r="CJ437">
            <v>8</v>
          </cell>
          <cell r="CK437">
            <v>24</v>
          </cell>
          <cell r="CL437">
            <v>15</v>
          </cell>
          <cell r="CM437">
            <v>20</v>
          </cell>
          <cell r="CN437">
            <v>17</v>
          </cell>
          <cell r="CO437">
            <v>24</v>
          </cell>
          <cell r="CP437">
            <v>18</v>
          </cell>
          <cell r="CQ437">
            <v>9</v>
          </cell>
          <cell r="CR437">
            <v>15</v>
          </cell>
          <cell r="CS437">
            <v>9</v>
          </cell>
          <cell r="CT437">
            <v>17</v>
          </cell>
          <cell r="CU437">
            <v>14</v>
          </cell>
          <cell r="CV437">
            <v>8</v>
          </cell>
          <cell r="CW437"/>
          <cell r="CX437">
            <v>27</v>
          </cell>
          <cell r="CY437">
            <v>19</v>
          </cell>
          <cell r="CZ437">
            <v>12</v>
          </cell>
          <cell r="DA437">
            <v>18</v>
          </cell>
          <cell r="DB437">
            <v>16</v>
          </cell>
          <cell r="DC437">
            <v>18</v>
          </cell>
          <cell r="DD437">
            <v>17</v>
          </cell>
          <cell r="DE437">
            <v>9</v>
          </cell>
          <cell r="DF437">
            <v>7</v>
          </cell>
          <cell r="DG437" t="str">
            <v>ACTIVO</v>
          </cell>
          <cell r="DH437" t="str">
            <v>C</v>
          </cell>
          <cell r="DI437"/>
          <cell r="DJ437">
            <v>15.625</v>
          </cell>
          <cell r="DK437">
            <v>2.6041666666666665</v>
          </cell>
          <cell r="DL437">
            <v>5.4512618211447661</v>
          </cell>
          <cell r="DM437">
            <v>66</v>
          </cell>
          <cell r="DN437">
            <v>646800</v>
          </cell>
          <cell r="DO437">
            <v>4.2240000000000002</v>
          </cell>
          <cell r="DP437" t="str">
            <v>OK</v>
          </cell>
          <cell r="DQ437">
            <v>7.8125</v>
          </cell>
        </row>
        <row r="438">
          <cell r="B438">
            <v>107160</v>
          </cell>
          <cell r="C438" t="str">
            <v>GELATINA FRAMBUESA ALTO LA CRUZ</v>
          </cell>
          <cell r="D438"/>
          <cell r="E438"/>
          <cell r="F438"/>
          <cell r="G438"/>
          <cell r="H438"/>
          <cell r="I438"/>
          <cell r="J438">
            <v>18</v>
          </cell>
          <cell r="K438">
            <v>7</v>
          </cell>
          <cell r="L438">
            <v>8</v>
          </cell>
          <cell r="M438">
            <v>35</v>
          </cell>
          <cell r="N438">
            <v>6</v>
          </cell>
          <cell r="O438">
            <v>7</v>
          </cell>
          <cell r="P438">
            <v>8</v>
          </cell>
          <cell r="Q438">
            <v>18</v>
          </cell>
          <cell r="R438">
            <v>18</v>
          </cell>
          <cell r="S438">
            <v>27</v>
          </cell>
          <cell r="T438">
            <v>18</v>
          </cell>
          <cell r="U438">
            <v>30</v>
          </cell>
          <cell r="V438">
            <v>24</v>
          </cell>
          <cell r="W438">
            <v>12</v>
          </cell>
          <cell r="X438">
            <v>21</v>
          </cell>
          <cell r="Y438">
            <v>60</v>
          </cell>
          <cell r="Z438">
            <v>17</v>
          </cell>
          <cell r="AA438">
            <v>15</v>
          </cell>
          <cell r="AB438">
            <v>32</v>
          </cell>
          <cell r="AC438">
            <v>16</v>
          </cell>
          <cell r="AD438">
            <v>12</v>
          </cell>
          <cell r="AE438">
            <v>19</v>
          </cell>
          <cell r="AF438">
            <v>25</v>
          </cell>
          <cell r="AG438">
            <v>31</v>
          </cell>
          <cell r="AH438">
            <v>13</v>
          </cell>
          <cell r="AI438">
            <v>27</v>
          </cell>
          <cell r="AJ438">
            <v>21</v>
          </cell>
          <cell r="AK438">
            <v>4</v>
          </cell>
          <cell r="AL438">
            <v>23</v>
          </cell>
          <cell r="AM438">
            <v>16</v>
          </cell>
          <cell r="AN438">
            <v>23</v>
          </cell>
          <cell r="AO438">
            <v>20</v>
          </cell>
          <cell r="AP438">
            <v>23</v>
          </cell>
          <cell r="AQ438">
            <v>29</v>
          </cell>
          <cell r="AR438">
            <v>32</v>
          </cell>
          <cell r="AS438">
            <v>18</v>
          </cell>
          <cell r="AT438">
            <v>21</v>
          </cell>
          <cell r="AU438">
            <v>20</v>
          </cell>
          <cell r="AV438">
            <v>39</v>
          </cell>
          <cell r="AW438">
            <v>29</v>
          </cell>
          <cell r="AX438">
            <v>24</v>
          </cell>
          <cell r="AY438">
            <v>17</v>
          </cell>
          <cell r="AZ438">
            <v>16</v>
          </cell>
          <cell r="BA438">
            <v>25</v>
          </cell>
          <cell r="BB438">
            <v>18</v>
          </cell>
          <cell r="BC438">
            <v>35</v>
          </cell>
          <cell r="BD438">
            <v>20</v>
          </cell>
          <cell r="BE438">
            <v>21</v>
          </cell>
          <cell r="BF438">
            <v>7</v>
          </cell>
          <cell r="BG438">
            <v>31</v>
          </cell>
          <cell r="BH438">
            <v>20</v>
          </cell>
          <cell r="BI438">
            <v>23</v>
          </cell>
          <cell r="BJ438">
            <v>22</v>
          </cell>
          <cell r="BK438">
            <v>22</v>
          </cell>
          <cell r="BL438">
            <v>23</v>
          </cell>
          <cell r="BM438">
            <v>25</v>
          </cell>
          <cell r="BN438">
            <v>23</v>
          </cell>
          <cell r="BO438">
            <v>21</v>
          </cell>
          <cell r="BP438">
            <v>13</v>
          </cell>
          <cell r="BQ438">
            <v>22</v>
          </cell>
          <cell r="BR438">
            <v>11</v>
          </cell>
          <cell r="BS438">
            <v>28</v>
          </cell>
          <cell r="BT438">
            <v>18</v>
          </cell>
          <cell r="BU438">
            <v>16</v>
          </cell>
          <cell r="BV438">
            <v>22</v>
          </cell>
          <cell r="BW438">
            <v>18</v>
          </cell>
          <cell r="BX438">
            <v>7</v>
          </cell>
          <cell r="BY438">
            <v>15</v>
          </cell>
          <cell r="BZ438">
            <v>30</v>
          </cell>
          <cell r="CA438">
            <v>18</v>
          </cell>
          <cell r="CB438">
            <v>12</v>
          </cell>
          <cell r="CC438">
            <v>19</v>
          </cell>
          <cell r="CD438">
            <v>19</v>
          </cell>
          <cell r="CE438">
            <v>9</v>
          </cell>
          <cell r="CF438">
            <v>5</v>
          </cell>
          <cell r="CG438">
            <v>21</v>
          </cell>
          <cell r="CH438">
            <v>20</v>
          </cell>
          <cell r="CI438">
            <v>23</v>
          </cell>
          <cell r="CJ438">
            <v>10</v>
          </cell>
          <cell r="CK438">
            <v>31</v>
          </cell>
          <cell r="CL438">
            <v>40</v>
          </cell>
          <cell r="CM438">
            <v>27</v>
          </cell>
          <cell r="CN438">
            <v>23</v>
          </cell>
          <cell r="CO438">
            <v>20</v>
          </cell>
          <cell r="CP438">
            <v>23</v>
          </cell>
          <cell r="CQ438">
            <v>13</v>
          </cell>
          <cell r="CR438">
            <v>23</v>
          </cell>
          <cell r="CS438">
            <v>11</v>
          </cell>
          <cell r="CT438">
            <v>20</v>
          </cell>
          <cell r="CU438">
            <v>19</v>
          </cell>
          <cell r="CV438">
            <v>13</v>
          </cell>
          <cell r="CW438"/>
          <cell r="CX438">
            <v>39</v>
          </cell>
          <cell r="CY438">
            <v>26</v>
          </cell>
          <cell r="CZ438">
            <v>14</v>
          </cell>
          <cell r="DA438">
            <v>19</v>
          </cell>
          <cell r="DB438">
            <v>18</v>
          </cell>
          <cell r="DC438">
            <v>28</v>
          </cell>
          <cell r="DD438">
            <v>26</v>
          </cell>
          <cell r="DE438">
            <v>11</v>
          </cell>
          <cell r="DF438">
            <v>9</v>
          </cell>
          <cell r="DG438" t="str">
            <v>ACTIVO</v>
          </cell>
          <cell r="DH438" t="str">
            <v>C</v>
          </cell>
          <cell r="DI438"/>
          <cell r="DJ438">
            <v>21.333333333333332</v>
          </cell>
          <cell r="DK438">
            <v>3.5555555555555554</v>
          </cell>
          <cell r="DL438">
            <v>6.9891580976801944</v>
          </cell>
          <cell r="DM438">
            <v>84</v>
          </cell>
          <cell r="DN438">
            <v>449394.96</v>
          </cell>
          <cell r="DO438">
            <v>3.9375</v>
          </cell>
          <cell r="DP438" t="str">
            <v>OK</v>
          </cell>
          <cell r="DQ438">
            <v>10.666666666666666</v>
          </cell>
        </row>
        <row r="439">
          <cell r="B439"/>
          <cell r="C439"/>
          <cell r="D439"/>
          <cell r="E439"/>
          <cell r="F439"/>
          <cell r="G439"/>
          <cell r="H439"/>
          <cell r="I439"/>
          <cell r="J439">
            <v>33</v>
          </cell>
          <cell r="K439">
            <v>11</v>
          </cell>
          <cell r="L439">
            <v>8</v>
          </cell>
          <cell r="M439">
            <v>58</v>
          </cell>
          <cell r="N439">
            <v>11</v>
          </cell>
          <cell r="O439">
            <v>12</v>
          </cell>
          <cell r="P439">
            <v>15</v>
          </cell>
          <cell r="Q439">
            <v>31</v>
          </cell>
          <cell r="R439">
            <v>31</v>
          </cell>
          <cell r="S439">
            <v>45</v>
          </cell>
          <cell r="T439">
            <v>26</v>
          </cell>
          <cell r="U439">
            <v>63</v>
          </cell>
          <cell r="V439">
            <v>45</v>
          </cell>
          <cell r="W439">
            <v>22</v>
          </cell>
          <cell r="X439">
            <v>36</v>
          </cell>
          <cell r="Y439">
            <v>90</v>
          </cell>
          <cell r="Z439">
            <v>27</v>
          </cell>
          <cell r="AA439">
            <v>25</v>
          </cell>
          <cell r="AB439">
            <v>55</v>
          </cell>
          <cell r="AC439">
            <v>31</v>
          </cell>
          <cell r="AD439">
            <v>18</v>
          </cell>
          <cell r="AE439">
            <v>31</v>
          </cell>
          <cell r="AF439">
            <v>44</v>
          </cell>
          <cell r="AG439">
            <v>52</v>
          </cell>
          <cell r="AH439">
            <v>20</v>
          </cell>
          <cell r="AI439">
            <v>55</v>
          </cell>
          <cell r="AJ439">
            <v>40</v>
          </cell>
          <cell r="AK439">
            <v>4</v>
          </cell>
          <cell r="AL439">
            <v>40</v>
          </cell>
          <cell r="AM439">
            <v>30</v>
          </cell>
          <cell r="AN439">
            <v>39</v>
          </cell>
          <cell r="AO439">
            <v>36</v>
          </cell>
          <cell r="AP439">
            <v>47</v>
          </cell>
          <cell r="AQ439">
            <v>47</v>
          </cell>
          <cell r="AR439">
            <v>51</v>
          </cell>
          <cell r="AS439">
            <v>32</v>
          </cell>
          <cell r="AT439">
            <v>38</v>
          </cell>
          <cell r="AU439">
            <v>32</v>
          </cell>
          <cell r="AV439">
            <v>63</v>
          </cell>
          <cell r="AW439">
            <v>48</v>
          </cell>
          <cell r="AX439">
            <v>42</v>
          </cell>
          <cell r="AY439">
            <v>30</v>
          </cell>
          <cell r="AZ439">
            <v>29</v>
          </cell>
          <cell r="BA439">
            <v>46</v>
          </cell>
          <cell r="BB439">
            <v>33</v>
          </cell>
          <cell r="BC439">
            <v>62</v>
          </cell>
          <cell r="BD439">
            <v>35</v>
          </cell>
          <cell r="BE439">
            <v>36</v>
          </cell>
          <cell r="BF439">
            <v>11</v>
          </cell>
          <cell r="BG439">
            <v>54</v>
          </cell>
          <cell r="BH439">
            <v>36</v>
          </cell>
          <cell r="BI439">
            <v>41</v>
          </cell>
          <cell r="BJ439">
            <v>38</v>
          </cell>
          <cell r="BK439">
            <v>38</v>
          </cell>
          <cell r="BL439">
            <v>37</v>
          </cell>
          <cell r="BM439">
            <v>42</v>
          </cell>
          <cell r="BN439">
            <v>42</v>
          </cell>
          <cell r="BO439">
            <v>35</v>
          </cell>
          <cell r="BP439">
            <v>23</v>
          </cell>
          <cell r="BQ439">
            <v>38</v>
          </cell>
          <cell r="BR439">
            <v>18</v>
          </cell>
          <cell r="BS439">
            <v>50</v>
          </cell>
          <cell r="BT439">
            <v>31</v>
          </cell>
          <cell r="BU439">
            <v>31</v>
          </cell>
          <cell r="BV439">
            <v>35</v>
          </cell>
          <cell r="BW439">
            <v>31</v>
          </cell>
          <cell r="BX439">
            <v>14</v>
          </cell>
          <cell r="BY439">
            <v>27</v>
          </cell>
          <cell r="BZ439">
            <v>53</v>
          </cell>
          <cell r="CA439">
            <v>30</v>
          </cell>
          <cell r="CB439">
            <v>21</v>
          </cell>
          <cell r="CC439">
            <v>35</v>
          </cell>
          <cell r="CD439">
            <v>34</v>
          </cell>
          <cell r="CE439">
            <v>17</v>
          </cell>
          <cell r="CF439">
            <v>9</v>
          </cell>
          <cell r="CG439">
            <v>35</v>
          </cell>
          <cell r="CH439">
            <v>35</v>
          </cell>
          <cell r="CI439">
            <v>40</v>
          </cell>
          <cell r="CJ439">
            <v>18</v>
          </cell>
          <cell r="CK439">
            <v>55</v>
          </cell>
          <cell r="CL439">
            <v>55</v>
          </cell>
          <cell r="CM439">
            <v>47</v>
          </cell>
          <cell r="CN439">
            <v>40</v>
          </cell>
          <cell r="CO439">
            <v>44</v>
          </cell>
          <cell r="CP439">
            <v>41</v>
          </cell>
          <cell r="CQ439">
            <v>22</v>
          </cell>
          <cell r="CR439">
            <v>38</v>
          </cell>
          <cell r="CS439">
            <v>20</v>
          </cell>
          <cell r="CT439">
            <v>37</v>
          </cell>
          <cell r="CU439">
            <v>33</v>
          </cell>
          <cell r="CV439">
            <v>21</v>
          </cell>
          <cell r="CW439"/>
          <cell r="CX439">
            <v>66</v>
          </cell>
          <cell r="CY439">
            <v>45</v>
          </cell>
          <cell r="CZ439">
            <v>26</v>
          </cell>
          <cell r="DA439">
            <v>37</v>
          </cell>
          <cell r="DB439">
            <v>34</v>
          </cell>
          <cell r="DC439">
            <v>46</v>
          </cell>
          <cell r="DD439">
            <v>43</v>
          </cell>
          <cell r="DE439">
            <v>20</v>
          </cell>
          <cell r="DF439">
            <v>16</v>
          </cell>
          <cell r="DG439" t="str">
            <v>ACTIVO</v>
          </cell>
          <cell r="DH439" t="str">
            <v/>
          </cell>
          <cell r="DI439"/>
          <cell r="DJ439">
            <v>36.958333333333336</v>
          </cell>
          <cell r="DK439">
            <v>6.1597222222222223</v>
          </cell>
          <cell r="DL439">
            <v>12.12686925426404</v>
          </cell>
          <cell r="DM439">
            <v>0</v>
          </cell>
          <cell r="DN439" t="str">
            <v>0</v>
          </cell>
          <cell r="DO439">
            <v>0</v>
          </cell>
          <cell r="DP439" t="str">
            <v>INACTIVO</v>
          </cell>
          <cell r="DQ439">
            <v>0</v>
          </cell>
        </row>
        <row r="440">
          <cell r="B440">
            <v>107174</v>
          </cell>
          <cell r="C440" t="str">
            <v>YOGURT FRUTILLA SOPROLE</v>
          </cell>
          <cell r="D440"/>
          <cell r="E440"/>
          <cell r="F440"/>
          <cell r="G440"/>
          <cell r="H440"/>
          <cell r="I440"/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>
            <v>374</v>
          </cell>
          <cell r="BB440">
            <v>248</v>
          </cell>
          <cell r="BC440">
            <v>335</v>
          </cell>
          <cell r="BD440">
            <v>18</v>
          </cell>
          <cell r="BE440">
            <v>22</v>
          </cell>
          <cell r="BF440">
            <v>26</v>
          </cell>
          <cell r="BG440">
            <v>25</v>
          </cell>
          <cell r="BH440">
            <v>18</v>
          </cell>
          <cell r="BI440">
            <v>9</v>
          </cell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 t="str">
            <v>ACTIVO</v>
          </cell>
          <cell r="DH440" t="str">
            <v>C</v>
          </cell>
          <cell r="DI440"/>
          <cell r="DJ440">
            <v>0</v>
          </cell>
          <cell r="DK440">
            <v>0</v>
          </cell>
          <cell r="DL440">
            <v>153.18135584260173</v>
          </cell>
          <cell r="DM440">
            <v>0</v>
          </cell>
          <cell r="DN440" t="str">
            <v>0</v>
          </cell>
          <cell r="DO440">
            <v>0</v>
          </cell>
          <cell r="DP440" t="str">
            <v>COMPRAR</v>
          </cell>
          <cell r="DQ440">
            <v>0</v>
          </cell>
        </row>
        <row r="441">
          <cell r="B441">
            <v>107164</v>
          </cell>
          <cell r="C441" t="str">
            <v>YOGURT FRUTILLA DIWATTS</v>
          </cell>
          <cell r="D441"/>
          <cell r="E441"/>
          <cell r="F441"/>
          <cell r="G441"/>
          <cell r="H441"/>
          <cell r="I441"/>
          <cell r="J441">
            <v>282</v>
          </cell>
          <cell r="K441">
            <v>35</v>
          </cell>
          <cell r="L441">
            <v>106</v>
          </cell>
          <cell r="M441">
            <v>499</v>
          </cell>
          <cell r="N441">
            <v>94</v>
          </cell>
          <cell r="O441">
            <v>120</v>
          </cell>
          <cell r="P441">
            <v>147</v>
          </cell>
          <cell r="Q441">
            <v>263</v>
          </cell>
          <cell r="R441">
            <v>184</v>
          </cell>
          <cell r="S441">
            <v>381</v>
          </cell>
          <cell r="T441">
            <v>147</v>
          </cell>
          <cell r="U441">
            <v>456</v>
          </cell>
          <cell r="V441">
            <v>325</v>
          </cell>
          <cell r="W441">
            <v>144</v>
          </cell>
          <cell r="X441">
            <v>313</v>
          </cell>
          <cell r="Y441">
            <v>610</v>
          </cell>
          <cell r="Z441">
            <v>256</v>
          </cell>
          <cell r="AA441">
            <v>179</v>
          </cell>
          <cell r="AB441">
            <v>506</v>
          </cell>
          <cell r="AC441">
            <v>192</v>
          </cell>
          <cell r="AD441">
            <v>151</v>
          </cell>
          <cell r="AE441">
            <v>264</v>
          </cell>
          <cell r="AF441">
            <v>374</v>
          </cell>
          <cell r="AG441">
            <v>460</v>
          </cell>
          <cell r="AH441">
            <v>129</v>
          </cell>
          <cell r="AI441">
            <v>532</v>
          </cell>
          <cell r="AJ441">
            <v>284</v>
          </cell>
          <cell r="AK441">
            <v>0</v>
          </cell>
          <cell r="AL441">
            <v>264</v>
          </cell>
          <cell r="AM441">
            <v>299</v>
          </cell>
          <cell r="AN441">
            <v>340</v>
          </cell>
          <cell r="AO441">
            <v>321</v>
          </cell>
          <cell r="AP441">
            <v>388</v>
          </cell>
          <cell r="AQ441">
            <v>394</v>
          </cell>
          <cell r="AR441">
            <v>398</v>
          </cell>
          <cell r="AS441">
            <v>290</v>
          </cell>
          <cell r="AT441">
            <v>350</v>
          </cell>
          <cell r="AU441">
            <v>249</v>
          </cell>
          <cell r="AV441">
            <v>515</v>
          </cell>
          <cell r="AW441">
            <v>394</v>
          </cell>
          <cell r="AX441">
            <v>292</v>
          </cell>
          <cell r="AY441">
            <v>216</v>
          </cell>
          <cell r="AZ441">
            <v>269</v>
          </cell>
          <cell r="BA441">
            <v>24</v>
          </cell>
          <cell r="BB441"/>
          <cell r="BC441">
            <v>207</v>
          </cell>
          <cell r="BD441">
            <v>225</v>
          </cell>
          <cell r="BE441">
            <v>274</v>
          </cell>
          <cell r="BF441">
            <v>92</v>
          </cell>
          <cell r="BG441">
            <v>449</v>
          </cell>
          <cell r="BH441">
            <v>313</v>
          </cell>
          <cell r="BI441">
            <v>372</v>
          </cell>
          <cell r="BJ441">
            <v>354</v>
          </cell>
          <cell r="BK441">
            <v>337</v>
          </cell>
          <cell r="BL441">
            <v>276</v>
          </cell>
          <cell r="BM441">
            <v>313</v>
          </cell>
          <cell r="BN441">
            <v>438</v>
          </cell>
          <cell r="BO441">
            <v>278</v>
          </cell>
          <cell r="BP441">
            <v>164</v>
          </cell>
          <cell r="BQ441">
            <v>346</v>
          </cell>
          <cell r="BR441">
            <v>159</v>
          </cell>
          <cell r="BS441">
            <v>537</v>
          </cell>
          <cell r="BT441">
            <v>271</v>
          </cell>
          <cell r="BU441">
            <v>270</v>
          </cell>
          <cell r="BV441">
            <v>273</v>
          </cell>
          <cell r="BW441">
            <v>288</v>
          </cell>
          <cell r="BX441">
            <v>139</v>
          </cell>
          <cell r="BY441">
            <v>242</v>
          </cell>
          <cell r="BZ441">
            <v>477</v>
          </cell>
          <cell r="CA441">
            <v>289</v>
          </cell>
          <cell r="CB441">
            <v>205</v>
          </cell>
          <cell r="CC441">
            <v>318</v>
          </cell>
          <cell r="CD441">
            <v>382</v>
          </cell>
          <cell r="CE441">
            <v>125</v>
          </cell>
          <cell r="CF441">
            <v>90</v>
          </cell>
          <cell r="CG441">
            <v>290</v>
          </cell>
          <cell r="CH441">
            <v>323</v>
          </cell>
          <cell r="CI441">
            <v>357</v>
          </cell>
          <cell r="CJ441">
            <v>163</v>
          </cell>
          <cell r="CK441">
            <v>505</v>
          </cell>
          <cell r="CL441">
            <v>316</v>
          </cell>
          <cell r="CM441">
            <v>392</v>
          </cell>
          <cell r="CN441">
            <v>370</v>
          </cell>
          <cell r="CO441">
            <v>322</v>
          </cell>
          <cell r="CP441">
            <v>382</v>
          </cell>
          <cell r="CQ441">
            <v>193</v>
          </cell>
          <cell r="CR441">
            <v>295</v>
          </cell>
          <cell r="CS441">
            <v>177</v>
          </cell>
          <cell r="CT441">
            <v>371</v>
          </cell>
          <cell r="CU441">
            <v>290</v>
          </cell>
          <cell r="CV441">
            <v>170</v>
          </cell>
          <cell r="CW441"/>
          <cell r="CX441">
            <v>564</v>
          </cell>
          <cell r="CY441">
            <v>405</v>
          </cell>
          <cell r="CZ441">
            <v>232</v>
          </cell>
          <cell r="DA441">
            <v>306</v>
          </cell>
          <cell r="DB441">
            <v>314</v>
          </cell>
          <cell r="DC441">
            <v>381</v>
          </cell>
          <cell r="DD441">
            <v>327</v>
          </cell>
          <cell r="DE441">
            <v>155</v>
          </cell>
          <cell r="DF441">
            <v>146</v>
          </cell>
          <cell r="DG441" t="str">
            <v>ACTIVO</v>
          </cell>
          <cell r="DH441" t="str">
            <v>B</v>
          </cell>
          <cell r="DI441"/>
          <cell r="DJ441">
            <v>313.95833333333331</v>
          </cell>
          <cell r="DK441">
            <v>52.326388888888886</v>
          </cell>
          <cell r="DL441">
            <v>116.85307291024536</v>
          </cell>
          <cell r="DM441">
            <v>224</v>
          </cell>
          <cell r="DN441">
            <v>252896</v>
          </cell>
          <cell r="DO441">
            <v>0.71347047113470474</v>
          </cell>
          <cell r="DP441" t="str">
            <v>OK</v>
          </cell>
          <cell r="DQ441">
            <v>104.65277777777777</v>
          </cell>
        </row>
        <row r="442">
          <cell r="B442"/>
          <cell r="C442"/>
          <cell r="D442"/>
          <cell r="E442"/>
          <cell r="F442"/>
          <cell r="G442"/>
          <cell r="H442"/>
          <cell r="I442"/>
          <cell r="J442">
            <v>282</v>
          </cell>
          <cell r="K442">
            <v>35</v>
          </cell>
          <cell r="L442">
            <v>106</v>
          </cell>
          <cell r="M442">
            <v>499</v>
          </cell>
          <cell r="N442">
            <v>94</v>
          </cell>
          <cell r="O442">
            <v>120</v>
          </cell>
          <cell r="P442">
            <v>147</v>
          </cell>
          <cell r="Q442">
            <v>263</v>
          </cell>
          <cell r="R442">
            <v>184</v>
          </cell>
          <cell r="S442">
            <v>381</v>
          </cell>
          <cell r="T442">
            <v>147</v>
          </cell>
          <cell r="U442">
            <v>456</v>
          </cell>
          <cell r="V442">
            <v>325</v>
          </cell>
          <cell r="W442">
            <v>144</v>
          </cell>
          <cell r="X442">
            <v>313</v>
          </cell>
          <cell r="Y442">
            <v>610</v>
          </cell>
          <cell r="Z442">
            <v>256</v>
          </cell>
          <cell r="AA442">
            <v>179</v>
          </cell>
          <cell r="AB442">
            <v>506</v>
          </cell>
          <cell r="AC442">
            <v>192</v>
          </cell>
          <cell r="AD442">
            <v>151</v>
          </cell>
          <cell r="AE442">
            <v>264</v>
          </cell>
          <cell r="AF442">
            <v>374</v>
          </cell>
          <cell r="AG442">
            <v>460</v>
          </cell>
          <cell r="AH442">
            <v>129</v>
          </cell>
          <cell r="AI442">
            <v>532</v>
          </cell>
          <cell r="AJ442">
            <v>284</v>
          </cell>
          <cell r="AK442">
            <v>0</v>
          </cell>
          <cell r="AL442">
            <v>264</v>
          </cell>
          <cell r="AM442">
            <v>299</v>
          </cell>
          <cell r="AN442">
            <v>340</v>
          </cell>
          <cell r="AO442">
            <v>321</v>
          </cell>
          <cell r="AP442">
            <v>388</v>
          </cell>
          <cell r="AQ442">
            <v>394</v>
          </cell>
          <cell r="AR442">
            <v>398</v>
          </cell>
          <cell r="AS442">
            <v>290</v>
          </cell>
          <cell r="AT442">
            <v>350</v>
          </cell>
          <cell r="AU442">
            <v>249</v>
          </cell>
          <cell r="AV442">
            <v>515</v>
          </cell>
          <cell r="AW442">
            <v>394</v>
          </cell>
          <cell r="AX442">
            <v>292</v>
          </cell>
          <cell r="AY442">
            <v>216</v>
          </cell>
          <cell r="AZ442">
            <v>269</v>
          </cell>
          <cell r="BA442">
            <v>398</v>
          </cell>
          <cell r="BB442">
            <v>248</v>
          </cell>
          <cell r="BC442">
            <v>542</v>
          </cell>
          <cell r="BD442">
            <v>243</v>
          </cell>
          <cell r="BE442">
            <v>296</v>
          </cell>
          <cell r="BF442">
            <v>118</v>
          </cell>
          <cell r="BG442">
            <v>474</v>
          </cell>
          <cell r="BH442">
            <v>331</v>
          </cell>
          <cell r="BI442">
            <v>381</v>
          </cell>
          <cell r="BJ442">
            <v>354</v>
          </cell>
          <cell r="BK442">
            <v>337</v>
          </cell>
          <cell r="BL442">
            <v>276</v>
          </cell>
          <cell r="BM442">
            <v>313</v>
          </cell>
          <cell r="BN442">
            <v>438</v>
          </cell>
          <cell r="BO442">
            <v>278</v>
          </cell>
          <cell r="BP442">
            <v>164</v>
          </cell>
          <cell r="BQ442">
            <v>346</v>
          </cell>
          <cell r="BR442">
            <v>159</v>
          </cell>
          <cell r="BS442">
            <v>537</v>
          </cell>
          <cell r="BT442">
            <v>271</v>
          </cell>
          <cell r="BU442">
            <v>270</v>
          </cell>
          <cell r="BV442">
            <v>273</v>
          </cell>
          <cell r="BW442">
            <v>288</v>
          </cell>
          <cell r="BX442">
            <v>139</v>
          </cell>
          <cell r="BY442">
            <v>242</v>
          </cell>
          <cell r="BZ442">
            <v>477</v>
          </cell>
          <cell r="CA442">
            <v>289</v>
          </cell>
          <cell r="CB442">
            <v>205</v>
          </cell>
          <cell r="CC442">
            <v>318</v>
          </cell>
          <cell r="CD442">
            <v>382</v>
          </cell>
          <cell r="CE442">
            <v>125</v>
          </cell>
          <cell r="CF442">
            <v>90</v>
          </cell>
          <cell r="CG442">
            <v>290</v>
          </cell>
          <cell r="CH442">
            <v>323</v>
          </cell>
          <cell r="CI442">
            <v>357</v>
          </cell>
          <cell r="CJ442">
            <v>163</v>
          </cell>
          <cell r="CK442">
            <v>505</v>
          </cell>
          <cell r="CL442">
            <v>316</v>
          </cell>
          <cell r="CM442">
            <v>392</v>
          </cell>
          <cell r="CN442">
            <v>370</v>
          </cell>
          <cell r="CO442">
            <v>322</v>
          </cell>
          <cell r="CP442">
            <v>382</v>
          </cell>
          <cell r="CQ442">
            <v>193</v>
          </cell>
          <cell r="CR442">
            <v>295</v>
          </cell>
          <cell r="CS442">
            <v>177</v>
          </cell>
          <cell r="CT442">
            <v>371</v>
          </cell>
          <cell r="CU442">
            <v>290</v>
          </cell>
          <cell r="CV442">
            <v>170</v>
          </cell>
          <cell r="CW442"/>
          <cell r="CX442">
            <v>564</v>
          </cell>
          <cell r="CY442">
            <v>405</v>
          </cell>
          <cell r="CZ442">
            <v>232</v>
          </cell>
          <cell r="DA442">
            <v>306</v>
          </cell>
          <cell r="DB442">
            <v>314</v>
          </cell>
          <cell r="DC442">
            <v>381</v>
          </cell>
          <cell r="DD442">
            <v>327</v>
          </cell>
          <cell r="DE442">
            <v>155</v>
          </cell>
          <cell r="DF442">
            <v>146</v>
          </cell>
        </row>
        <row r="443">
          <cell r="B443"/>
          <cell r="C443"/>
          <cell r="D443"/>
          <cell r="E443"/>
          <cell r="F443"/>
          <cell r="G443"/>
          <cell r="H443"/>
          <cell r="I443"/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</row>
        <row r="444">
          <cell r="D444"/>
          <cell r="E444"/>
          <cell r="F444"/>
          <cell r="G444"/>
          <cell r="H444"/>
          <cell r="I444"/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</row>
        <row r="445">
          <cell r="B445"/>
          <cell r="C445"/>
          <cell r="D445"/>
          <cell r="E445"/>
          <cell r="F445"/>
          <cell r="G445"/>
          <cell r="H445"/>
          <cell r="I445"/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</row>
        <row r="446">
          <cell r="B446"/>
          <cell r="C446"/>
          <cell r="D446"/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</row>
        <row r="447">
          <cell r="B447" t="str">
            <v xml:space="preserve">maesta con # productos activos en las 3 plantas que no se repitan </v>
          </cell>
          <cell r="C447"/>
          <cell r="D447"/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</row>
        <row r="448">
          <cell r="B448" t="str">
            <v xml:space="preserve"># se comprarn por plantas </v>
          </cell>
          <cell r="C448"/>
          <cell r="D448"/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</row>
        <row r="449">
          <cell r="B449" t="str">
            <v xml:space="preserve"># se repiten en enea en pv </v>
          </cell>
          <cell r="C449"/>
          <cell r="D449"/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</row>
        <row r="450">
          <cell r="B450" t="str">
            <v xml:space="preserve">$ plata significa </v>
          </cell>
          <cell r="C450"/>
          <cell r="D450"/>
          <cell r="E450"/>
          <cell r="F450"/>
          <cell r="G450"/>
          <cell r="H450"/>
          <cell r="I450"/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</row>
        <row r="451">
          <cell r="B451" t="str">
            <v># cuantos se entregan directos en plantas</v>
          </cell>
          <cell r="C451"/>
          <cell r="D451"/>
          <cell r="E451"/>
          <cell r="F451"/>
          <cell r="G451"/>
          <cell r="H451"/>
          <cell r="I451"/>
          <cell r="J451"/>
          <cell r="K451"/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</row>
        <row r="452">
          <cell r="B452" t="str">
            <v xml:space="preserve"># se compra en enea para otras plantas </v>
          </cell>
          <cell r="C452"/>
          <cell r="D452"/>
          <cell r="E452"/>
          <cell r="F452"/>
          <cell r="G452"/>
          <cell r="H452"/>
          <cell r="I452"/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</row>
        <row r="453">
          <cell r="B453"/>
          <cell r="C453"/>
          <cell r="D453"/>
          <cell r="E453"/>
          <cell r="F453"/>
          <cell r="G453"/>
          <cell r="H453"/>
          <cell r="I453"/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</row>
        <row r="454">
          <cell r="B454"/>
          <cell r="C454"/>
          <cell r="D454"/>
          <cell r="E454"/>
          <cell r="F454"/>
          <cell r="G454"/>
          <cell r="H454"/>
          <cell r="I454"/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</row>
        <row r="455">
          <cell r="B455"/>
          <cell r="C455"/>
          <cell r="D455"/>
          <cell r="E455"/>
          <cell r="F455"/>
          <cell r="G455"/>
          <cell r="H455"/>
          <cell r="I455"/>
          <cell r="J455"/>
          <cell r="K455"/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</row>
        <row r="456">
          <cell r="B456"/>
          <cell r="C456"/>
          <cell r="D456"/>
          <cell r="E456"/>
          <cell r="F456"/>
          <cell r="G456"/>
          <cell r="H456"/>
          <cell r="I456"/>
          <cell r="J456"/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</row>
        <row r="457">
          <cell r="B457"/>
          <cell r="C457"/>
          <cell r="D457"/>
          <cell r="E457"/>
          <cell r="F457"/>
          <cell r="G457"/>
          <cell r="H457"/>
          <cell r="I457"/>
          <cell r="J457"/>
          <cell r="K457"/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</row>
        <row r="458">
          <cell r="B458"/>
          <cell r="C458"/>
          <cell r="D458"/>
          <cell r="E458"/>
          <cell r="F458"/>
          <cell r="G458"/>
          <cell r="H458"/>
          <cell r="I458"/>
          <cell r="J458"/>
          <cell r="K458"/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</row>
        <row r="459">
          <cell r="B459"/>
          <cell r="C459"/>
          <cell r="D459"/>
          <cell r="E459"/>
          <cell r="F459"/>
          <cell r="G459"/>
          <cell r="H459"/>
          <cell r="I459"/>
          <cell r="J459"/>
          <cell r="K459"/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</row>
        <row r="460">
          <cell r="B460"/>
          <cell r="C460"/>
          <cell r="D460"/>
          <cell r="E460"/>
          <cell r="F460"/>
          <cell r="G460"/>
          <cell r="H460"/>
          <cell r="I460"/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</row>
        <row r="461">
          <cell r="B461"/>
          <cell r="C461"/>
          <cell r="D461"/>
          <cell r="E461"/>
          <cell r="F461"/>
          <cell r="G461"/>
          <cell r="H461"/>
          <cell r="I461"/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</row>
        <row r="462">
          <cell r="B462"/>
          <cell r="C462"/>
          <cell r="D462"/>
          <cell r="E462"/>
          <cell r="F462"/>
          <cell r="G462"/>
          <cell r="H462"/>
          <cell r="I462"/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</row>
        <row r="463">
          <cell r="B463"/>
          <cell r="C463"/>
          <cell r="D463"/>
          <cell r="E463"/>
          <cell r="F463"/>
          <cell r="G463"/>
          <cell r="H463"/>
          <cell r="I463"/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</row>
        <row r="464">
          <cell r="B464"/>
          <cell r="C464"/>
          <cell r="D464"/>
          <cell r="E464"/>
          <cell r="F464"/>
          <cell r="G464"/>
          <cell r="H464"/>
          <cell r="I464"/>
          <cell r="J464"/>
          <cell r="K464"/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</row>
        <row r="465">
          <cell r="B465"/>
          <cell r="C465"/>
          <cell r="D465"/>
          <cell r="E465"/>
          <cell r="F465"/>
          <cell r="G465"/>
          <cell r="H465"/>
          <cell r="I465"/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</row>
        <row r="466">
          <cell r="B466"/>
          <cell r="C466"/>
          <cell r="D466"/>
          <cell r="E466"/>
          <cell r="F466"/>
          <cell r="G466"/>
          <cell r="H466"/>
          <cell r="I466"/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</row>
        <row r="467">
          <cell r="B467"/>
          <cell r="C467"/>
          <cell r="D467"/>
          <cell r="E467"/>
          <cell r="F467"/>
          <cell r="G467"/>
          <cell r="H467"/>
          <cell r="I467"/>
          <cell r="J467"/>
          <cell r="K467"/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</row>
        <row r="468">
          <cell r="B468"/>
          <cell r="C468"/>
          <cell r="D468"/>
          <cell r="E468"/>
          <cell r="F468"/>
          <cell r="G468"/>
          <cell r="H468"/>
          <cell r="I468"/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</row>
        <row r="469">
          <cell r="B469"/>
          <cell r="C469"/>
          <cell r="D469"/>
          <cell r="E469"/>
          <cell r="F469"/>
          <cell r="G469"/>
          <cell r="H469"/>
          <cell r="I469"/>
          <cell r="J469"/>
          <cell r="K469"/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</row>
        <row r="470">
          <cell r="B470"/>
          <cell r="C470"/>
          <cell r="D470"/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</row>
        <row r="471">
          <cell r="B471"/>
          <cell r="C471"/>
          <cell r="D471"/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</row>
        <row r="472">
          <cell r="B472"/>
          <cell r="C472"/>
          <cell r="D472"/>
          <cell r="E472"/>
          <cell r="F472"/>
          <cell r="G472"/>
          <cell r="H472"/>
          <cell r="I472"/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</row>
        <row r="473">
          <cell r="B473"/>
          <cell r="C473"/>
          <cell r="D473"/>
          <cell r="E473"/>
          <cell r="F473"/>
          <cell r="G473"/>
          <cell r="H473"/>
          <cell r="I473"/>
          <cell r="J473"/>
          <cell r="K473"/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</row>
        <row r="474">
          <cell r="B474"/>
          <cell r="C474"/>
          <cell r="D474"/>
          <cell r="E474"/>
          <cell r="F474"/>
          <cell r="G474"/>
          <cell r="H474"/>
          <cell r="I474"/>
          <cell r="J474"/>
          <cell r="K474"/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</row>
        <row r="475">
          <cell r="B475"/>
          <cell r="C475"/>
          <cell r="D475"/>
          <cell r="E475"/>
          <cell r="F475"/>
          <cell r="G475"/>
          <cell r="H475"/>
          <cell r="I475"/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</row>
        <row r="476">
          <cell r="B476"/>
          <cell r="C476"/>
          <cell r="D476"/>
          <cell r="E476"/>
          <cell r="F476"/>
          <cell r="G476"/>
          <cell r="H476"/>
          <cell r="I476"/>
          <cell r="J476"/>
          <cell r="K476"/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</row>
        <row r="477">
          <cell r="B477"/>
          <cell r="C477"/>
          <cell r="D477"/>
          <cell r="E477"/>
          <cell r="F477"/>
          <cell r="G477"/>
          <cell r="H477"/>
          <cell r="I477"/>
          <cell r="J477"/>
          <cell r="K477"/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</row>
        <row r="478">
          <cell r="B478"/>
          <cell r="C478"/>
          <cell r="D478"/>
          <cell r="E478"/>
          <cell r="F478"/>
          <cell r="G478"/>
          <cell r="H478"/>
          <cell r="I478"/>
          <cell r="J478"/>
          <cell r="K478"/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</row>
        <row r="479">
          <cell r="B479"/>
          <cell r="C479"/>
          <cell r="D479"/>
          <cell r="E479"/>
          <cell r="F479"/>
          <cell r="G479"/>
          <cell r="H479"/>
          <cell r="I479"/>
          <cell r="J479"/>
          <cell r="K479"/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</row>
        <row r="480">
          <cell r="B480"/>
          <cell r="C480"/>
          <cell r="D480"/>
          <cell r="E480"/>
          <cell r="F480"/>
          <cell r="G480"/>
          <cell r="H480"/>
          <cell r="I480"/>
          <cell r="J480"/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</row>
        <row r="481">
          <cell r="B481"/>
          <cell r="C481"/>
          <cell r="D481"/>
          <cell r="E481"/>
          <cell r="F481"/>
          <cell r="G481"/>
          <cell r="H481"/>
          <cell r="I481"/>
          <cell r="J481"/>
          <cell r="K481"/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</row>
        <row r="482">
          <cell r="B482"/>
          <cell r="C482"/>
          <cell r="D482"/>
          <cell r="E482"/>
          <cell r="F482"/>
          <cell r="G482"/>
          <cell r="H482"/>
          <cell r="I482"/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</row>
        <row r="483">
          <cell r="B483"/>
          <cell r="C483"/>
          <cell r="D483"/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</row>
        <row r="484">
          <cell r="B484"/>
          <cell r="C484"/>
          <cell r="D484"/>
          <cell r="E484"/>
          <cell r="F484"/>
          <cell r="G484"/>
          <cell r="H484"/>
          <cell r="I484"/>
          <cell r="J484"/>
          <cell r="K484"/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</row>
        <row r="485">
          <cell r="B485"/>
          <cell r="C485"/>
          <cell r="D485"/>
          <cell r="E485"/>
          <cell r="F485"/>
          <cell r="G485"/>
          <cell r="H485"/>
          <cell r="I485"/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</row>
        <row r="486">
          <cell r="B486"/>
          <cell r="C486"/>
          <cell r="D486"/>
          <cell r="E486"/>
          <cell r="F486"/>
          <cell r="G486"/>
          <cell r="H486"/>
          <cell r="I486"/>
          <cell r="J486"/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</row>
        <row r="487">
          <cell r="B487"/>
          <cell r="C487"/>
          <cell r="D487"/>
          <cell r="E487"/>
          <cell r="F487"/>
          <cell r="G487"/>
          <cell r="H487"/>
          <cell r="I487"/>
          <cell r="J487"/>
          <cell r="K487"/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</row>
        <row r="488">
          <cell r="B488"/>
          <cell r="C488"/>
          <cell r="D488"/>
          <cell r="E488"/>
          <cell r="F488"/>
          <cell r="G488"/>
          <cell r="H488"/>
          <cell r="I488"/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</row>
        <row r="489">
          <cell r="B489"/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</row>
        <row r="490">
          <cell r="B490"/>
          <cell r="C490"/>
          <cell r="D490"/>
          <cell r="E490"/>
          <cell r="F490"/>
          <cell r="G490"/>
          <cell r="H490"/>
          <cell r="I490"/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</row>
        <row r="491">
          <cell r="B491"/>
          <cell r="C491"/>
          <cell r="D491"/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</row>
        <row r="492">
          <cell r="B492"/>
          <cell r="C492"/>
          <cell r="D492"/>
          <cell r="E492"/>
          <cell r="F492"/>
          <cell r="G492"/>
          <cell r="H492"/>
          <cell r="I492"/>
          <cell r="J492"/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</row>
        <row r="493">
          <cell r="B493"/>
          <cell r="C493"/>
          <cell r="D493"/>
          <cell r="E493"/>
          <cell r="F493"/>
          <cell r="G493"/>
          <cell r="H493"/>
          <cell r="I493"/>
          <cell r="J493"/>
          <cell r="K493"/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</row>
        <row r="494">
          <cell r="B494"/>
          <cell r="C494"/>
          <cell r="D494"/>
          <cell r="E494"/>
          <cell r="F494"/>
          <cell r="G494"/>
          <cell r="H494"/>
          <cell r="I494"/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</row>
        <row r="495">
          <cell r="B495"/>
          <cell r="C495"/>
          <cell r="D495"/>
          <cell r="E495"/>
          <cell r="F495"/>
          <cell r="G495"/>
          <cell r="H495"/>
          <cell r="I495"/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</row>
        <row r="496">
          <cell r="B496"/>
          <cell r="C496"/>
          <cell r="D496"/>
          <cell r="E496"/>
          <cell r="F496"/>
          <cell r="G496"/>
          <cell r="H496"/>
          <cell r="I496"/>
          <cell r="J496"/>
          <cell r="K496"/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</row>
        <row r="497">
          <cell r="B497"/>
          <cell r="C497"/>
          <cell r="D497"/>
          <cell r="E497"/>
          <cell r="F497"/>
          <cell r="G497"/>
          <cell r="H497"/>
          <cell r="I497"/>
          <cell r="J497"/>
          <cell r="K497"/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</row>
        <row r="498">
          <cell r="B498"/>
          <cell r="C498"/>
          <cell r="D498"/>
          <cell r="E498"/>
          <cell r="F498"/>
          <cell r="G498"/>
          <cell r="H498"/>
          <cell r="I498"/>
          <cell r="J498"/>
          <cell r="K498"/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</row>
        <row r="499">
          <cell r="B499"/>
          <cell r="C499"/>
          <cell r="D499"/>
          <cell r="E499"/>
          <cell r="F499"/>
          <cell r="G499"/>
          <cell r="H499"/>
          <cell r="I499"/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</row>
        <row r="500">
          <cell r="B500"/>
          <cell r="C500"/>
          <cell r="D500"/>
          <cell r="E500"/>
          <cell r="F500"/>
          <cell r="G500"/>
          <cell r="H500"/>
          <cell r="I500"/>
          <cell r="J500"/>
          <cell r="K500"/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</row>
        <row r="501">
          <cell r="B501"/>
          <cell r="C501"/>
          <cell r="D501"/>
          <cell r="E501"/>
          <cell r="F501"/>
          <cell r="G501"/>
          <cell r="H501"/>
          <cell r="I501"/>
          <cell r="J501"/>
          <cell r="K501"/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</row>
        <row r="502">
          <cell r="B502"/>
          <cell r="C502"/>
          <cell r="D502"/>
          <cell r="E502"/>
          <cell r="F502"/>
          <cell r="G502"/>
          <cell r="H502"/>
          <cell r="I502"/>
          <cell r="J502"/>
          <cell r="K502"/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</row>
        <row r="503">
          <cell r="B503"/>
          <cell r="C503"/>
          <cell r="D503"/>
          <cell r="E503"/>
          <cell r="F503"/>
          <cell r="G503"/>
          <cell r="H503"/>
          <cell r="I503"/>
          <cell r="J503"/>
          <cell r="K503"/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</row>
        <row r="504">
          <cell r="B504"/>
          <cell r="C504"/>
          <cell r="D504"/>
          <cell r="E504"/>
          <cell r="F504"/>
          <cell r="G504"/>
          <cell r="H504"/>
          <cell r="I504"/>
          <cell r="J504"/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</row>
        <row r="505">
          <cell r="B505"/>
          <cell r="C505"/>
          <cell r="D505"/>
          <cell r="E505"/>
          <cell r="F505"/>
          <cell r="G505"/>
          <cell r="H505"/>
          <cell r="I505"/>
          <cell r="J505"/>
          <cell r="K505"/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</row>
        <row r="506">
          <cell r="B506"/>
          <cell r="C506"/>
          <cell r="D506"/>
          <cell r="E506"/>
          <cell r="F506"/>
          <cell r="G506"/>
          <cell r="H506"/>
          <cell r="I506"/>
          <cell r="J506"/>
          <cell r="K506"/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</row>
        <row r="507">
          <cell r="B507"/>
          <cell r="C507"/>
          <cell r="D507"/>
          <cell r="E507"/>
          <cell r="F507"/>
          <cell r="G507"/>
          <cell r="H507"/>
          <cell r="I507"/>
          <cell r="J507"/>
          <cell r="K507"/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</row>
        <row r="508">
          <cell r="B508"/>
          <cell r="C508"/>
          <cell r="D508"/>
          <cell r="E508"/>
          <cell r="F508"/>
          <cell r="G508"/>
          <cell r="H508"/>
          <cell r="I508"/>
          <cell r="J508"/>
          <cell r="K508"/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</row>
        <row r="509">
          <cell r="B509"/>
          <cell r="C509"/>
          <cell r="D509"/>
          <cell r="E509"/>
          <cell r="F509"/>
          <cell r="G509"/>
          <cell r="H509"/>
          <cell r="I509"/>
          <cell r="J509"/>
          <cell r="K509"/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</row>
        <row r="510">
          <cell r="B510"/>
          <cell r="C510"/>
          <cell r="D510"/>
          <cell r="E510"/>
          <cell r="F510"/>
          <cell r="G510"/>
          <cell r="H510"/>
          <cell r="I510"/>
          <cell r="J510"/>
          <cell r="K510"/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</row>
        <row r="511">
          <cell r="B511"/>
          <cell r="C511"/>
          <cell r="D511"/>
          <cell r="E511"/>
          <cell r="F511"/>
          <cell r="G511"/>
          <cell r="H511"/>
          <cell r="I511"/>
          <cell r="J511"/>
          <cell r="K511"/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</row>
        <row r="512">
          <cell r="B512"/>
          <cell r="C512"/>
          <cell r="D512"/>
          <cell r="E512"/>
          <cell r="F512"/>
          <cell r="G512"/>
          <cell r="H512"/>
          <cell r="I512"/>
          <cell r="J512"/>
          <cell r="K512"/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</row>
        <row r="513">
          <cell r="B513"/>
          <cell r="C513"/>
          <cell r="D513"/>
          <cell r="E513"/>
          <cell r="F513"/>
          <cell r="G513"/>
          <cell r="H513"/>
          <cell r="I513"/>
          <cell r="J513"/>
          <cell r="K513"/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</row>
        <row r="514">
          <cell r="B514"/>
          <cell r="C514"/>
          <cell r="D514"/>
          <cell r="E514"/>
          <cell r="F514"/>
          <cell r="G514"/>
          <cell r="H514"/>
          <cell r="I514"/>
          <cell r="J514"/>
          <cell r="K514"/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</row>
        <row r="515">
          <cell r="B515"/>
          <cell r="C515"/>
          <cell r="D515"/>
          <cell r="E515"/>
          <cell r="F515"/>
          <cell r="G515"/>
          <cell r="H515"/>
          <cell r="I515"/>
          <cell r="J515"/>
          <cell r="K515"/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</row>
        <row r="516">
          <cell r="B516"/>
          <cell r="C516"/>
          <cell r="D516"/>
          <cell r="E516"/>
          <cell r="F516"/>
          <cell r="G516"/>
          <cell r="H516"/>
          <cell r="I516"/>
          <cell r="J516"/>
          <cell r="K516"/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</row>
        <row r="517">
          <cell r="B517"/>
          <cell r="C517"/>
          <cell r="D517"/>
          <cell r="E517"/>
          <cell r="F517"/>
          <cell r="G517"/>
          <cell r="H517"/>
          <cell r="I517"/>
          <cell r="J517"/>
          <cell r="K517"/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</row>
        <row r="518">
          <cell r="B518"/>
          <cell r="C518"/>
          <cell r="D518"/>
          <cell r="E518"/>
          <cell r="F518"/>
          <cell r="G518"/>
          <cell r="H518"/>
          <cell r="I518"/>
          <cell r="J518"/>
          <cell r="K518"/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</row>
        <row r="519">
          <cell r="B519"/>
          <cell r="C519"/>
          <cell r="D519"/>
          <cell r="E519"/>
          <cell r="F519"/>
          <cell r="G519"/>
          <cell r="H519"/>
          <cell r="I519"/>
          <cell r="J519"/>
          <cell r="K519"/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</row>
        <row r="520">
          <cell r="B520"/>
          <cell r="C520"/>
          <cell r="D520"/>
          <cell r="E520"/>
          <cell r="F520"/>
          <cell r="G520"/>
          <cell r="H520"/>
          <cell r="I520"/>
          <cell r="J520"/>
          <cell r="K520"/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</row>
        <row r="521">
          <cell r="B521"/>
          <cell r="C521"/>
          <cell r="D521"/>
          <cell r="E521"/>
          <cell r="F521"/>
          <cell r="G521"/>
          <cell r="H521"/>
          <cell r="I521"/>
          <cell r="J521"/>
          <cell r="K521"/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</row>
        <row r="522">
          <cell r="B522"/>
          <cell r="C522"/>
          <cell r="D522"/>
          <cell r="E522"/>
          <cell r="F522"/>
          <cell r="G522"/>
          <cell r="H522"/>
          <cell r="I522"/>
          <cell r="J522"/>
          <cell r="K522"/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</row>
        <row r="523">
          <cell r="B523"/>
          <cell r="C523"/>
          <cell r="D523"/>
          <cell r="E523"/>
          <cell r="F523"/>
          <cell r="G523"/>
          <cell r="H523"/>
          <cell r="I523"/>
          <cell r="J523"/>
          <cell r="K523"/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</row>
        <row r="524">
          <cell r="B524"/>
          <cell r="C524"/>
          <cell r="D524"/>
          <cell r="E524"/>
          <cell r="F524"/>
          <cell r="G524"/>
          <cell r="H524"/>
          <cell r="I524"/>
          <cell r="J524"/>
          <cell r="K524"/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</row>
        <row r="525">
          <cell r="B525"/>
          <cell r="C525"/>
          <cell r="D525"/>
          <cell r="E525"/>
          <cell r="F525"/>
          <cell r="G525"/>
          <cell r="H525"/>
          <cell r="I525"/>
          <cell r="J525"/>
          <cell r="K525"/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</row>
        <row r="526">
          <cell r="B526"/>
          <cell r="C526"/>
          <cell r="D526"/>
          <cell r="E526"/>
          <cell r="F526"/>
          <cell r="G526"/>
          <cell r="H526"/>
          <cell r="I526"/>
          <cell r="J526"/>
          <cell r="K526"/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</row>
        <row r="527">
          <cell r="B527"/>
          <cell r="C527"/>
          <cell r="D527"/>
          <cell r="E527"/>
          <cell r="F527"/>
          <cell r="G527"/>
          <cell r="H527"/>
          <cell r="I527"/>
          <cell r="J527"/>
          <cell r="K527"/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</row>
        <row r="528">
          <cell r="B528"/>
          <cell r="C528"/>
          <cell r="D528"/>
          <cell r="E528"/>
          <cell r="F528"/>
          <cell r="G528"/>
          <cell r="H528"/>
          <cell r="I528"/>
          <cell r="J528"/>
          <cell r="K528"/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</row>
        <row r="529">
          <cell r="B529"/>
          <cell r="C529"/>
          <cell r="D529"/>
          <cell r="E529"/>
          <cell r="F529"/>
          <cell r="G529"/>
          <cell r="H529"/>
          <cell r="I529"/>
          <cell r="J529"/>
          <cell r="K529"/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</row>
        <row r="530">
          <cell r="B530"/>
          <cell r="C530"/>
          <cell r="D530"/>
          <cell r="E530"/>
          <cell r="F530"/>
          <cell r="G530"/>
          <cell r="H530"/>
          <cell r="I530"/>
          <cell r="J530"/>
          <cell r="K530"/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</row>
        <row r="531">
          <cell r="B531"/>
          <cell r="C531"/>
          <cell r="D531"/>
          <cell r="E531"/>
          <cell r="F531"/>
          <cell r="G531"/>
          <cell r="H531"/>
          <cell r="I531"/>
          <cell r="J531"/>
          <cell r="K531"/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</row>
        <row r="532">
          <cell r="B532"/>
          <cell r="C532"/>
          <cell r="D532"/>
          <cell r="E532"/>
          <cell r="F532"/>
          <cell r="G532"/>
          <cell r="H532"/>
          <cell r="I532"/>
          <cell r="J532"/>
          <cell r="K532"/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</row>
        <row r="533">
          <cell r="B533"/>
          <cell r="C533"/>
          <cell r="D533"/>
          <cell r="E533"/>
          <cell r="F533"/>
          <cell r="G533"/>
          <cell r="H533"/>
          <cell r="I533"/>
          <cell r="J533"/>
          <cell r="K533"/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</row>
        <row r="534">
          <cell r="B534"/>
          <cell r="C534"/>
          <cell r="D534"/>
          <cell r="E534"/>
          <cell r="F534"/>
          <cell r="G534"/>
          <cell r="H534"/>
          <cell r="I534"/>
          <cell r="J534"/>
          <cell r="K534"/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</row>
        <row r="535">
          <cell r="B535"/>
          <cell r="C535"/>
          <cell r="D535"/>
          <cell r="E535"/>
          <cell r="F535"/>
          <cell r="G535"/>
          <cell r="H535"/>
          <cell r="I535"/>
          <cell r="J535"/>
          <cell r="K535"/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</row>
        <row r="536">
          <cell r="B536"/>
          <cell r="C536"/>
          <cell r="D536"/>
          <cell r="E536"/>
          <cell r="F536"/>
          <cell r="G536"/>
          <cell r="H536"/>
          <cell r="I536"/>
          <cell r="J536"/>
          <cell r="K536"/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</row>
        <row r="537">
          <cell r="B537"/>
          <cell r="C537"/>
          <cell r="D537"/>
          <cell r="E537"/>
          <cell r="F537"/>
          <cell r="G537"/>
          <cell r="H537"/>
          <cell r="I537"/>
          <cell r="J537"/>
          <cell r="K537"/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</row>
        <row r="538">
          <cell r="B538"/>
          <cell r="C538"/>
          <cell r="D538"/>
          <cell r="E538"/>
          <cell r="F538"/>
          <cell r="G538"/>
          <cell r="H538"/>
          <cell r="I538"/>
          <cell r="J538"/>
          <cell r="K538"/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</row>
        <row r="539">
          <cell r="B539"/>
          <cell r="C539"/>
          <cell r="D539"/>
          <cell r="E539"/>
          <cell r="F539"/>
          <cell r="G539"/>
          <cell r="H539"/>
          <cell r="I539"/>
          <cell r="J539"/>
          <cell r="K539"/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</row>
        <row r="540">
          <cell r="B540"/>
          <cell r="C540"/>
          <cell r="D540"/>
          <cell r="E540"/>
          <cell r="F540"/>
          <cell r="G540"/>
          <cell r="H540"/>
          <cell r="I540"/>
          <cell r="J540"/>
          <cell r="K540"/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</row>
        <row r="541">
          <cell r="B541"/>
          <cell r="C541"/>
          <cell r="D541"/>
          <cell r="E541"/>
          <cell r="F541"/>
          <cell r="G541"/>
          <cell r="H541"/>
          <cell r="I541"/>
          <cell r="J541"/>
          <cell r="K541"/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</row>
        <row r="542">
          <cell r="B542"/>
          <cell r="C542"/>
          <cell r="D542"/>
          <cell r="E542"/>
          <cell r="F542"/>
          <cell r="G542"/>
          <cell r="H542"/>
          <cell r="I542"/>
          <cell r="J542"/>
          <cell r="K542"/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</row>
        <row r="543">
          <cell r="B543"/>
          <cell r="C543"/>
          <cell r="D543"/>
          <cell r="E543"/>
          <cell r="F543"/>
          <cell r="G543"/>
          <cell r="H543"/>
          <cell r="I543"/>
          <cell r="J543"/>
          <cell r="K543"/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</row>
        <row r="544">
          <cell r="B544"/>
          <cell r="C544"/>
          <cell r="D544"/>
          <cell r="E544"/>
          <cell r="F544"/>
          <cell r="G544"/>
          <cell r="H544"/>
          <cell r="I544"/>
          <cell r="J544"/>
          <cell r="K544"/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</row>
        <row r="545">
          <cell r="B545"/>
          <cell r="C545"/>
          <cell r="D545"/>
          <cell r="E545"/>
          <cell r="F545"/>
          <cell r="G545"/>
          <cell r="H545"/>
          <cell r="I545"/>
          <cell r="J545"/>
          <cell r="K545"/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</row>
        <row r="546">
          <cell r="B546"/>
          <cell r="C546"/>
          <cell r="D546"/>
          <cell r="E546"/>
          <cell r="F546"/>
          <cell r="G546"/>
          <cell r="H546"/>
          <cell r="I546"/>
          <cell r="J546"/>
          <cell r="K546"/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</row>
        <row r="547">
          <cell r="B547"/>
          <cell r="C547"/>
          <cell r="D547"/>
          <cell r="E547"/>
          <cell r="F547"/>
          <cell r="G547"/>
          <cell r="H547"/>
          <cell r="I547"/>
          <cell r="J547"/>
          <cell r="K547"/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</row>
        <row r="548">
          <cell r="B548"/>
          <cell r="C548"/>
          <cell r="D548"/>
          <cell r="E548"/>
          <cell r="F548"/>
          <cell r="G548"/>
          <cell r="H548"/>
          <cell r="I548"/>
          <cell r="J548"/>
          <cell r="K548"/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</row>
        <row r="549">
          <cell r="B549"/>
          <cell r="C549"/>
          <cell r="D549"/>
          <cell r="E549"/>
          <cell r="F549"/>
          <cell r="G549"/>
          <cell r="H549"/>
          <cell r="I549"/>
          <cell r="J549"/>
          <cell r="K549"/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</row>
        <row r="550">
          <cell r="B550"/>
          <cell r="C550"/>
          <cell r="D550"/>
          <cell r="E550"/>
          <cell r="F550"/>
          <cell r="G550"/>
          <cell r="H550"/>
          <cell r="I550"/>
          <cell r="J550"/>
          <cell r="K550"/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</row>
        <row r="551">
          <cell r="B551"/>
          <cell r="C551"/>
          <cell r="D551"/>
          <cell r="E551"/>
          <cell r="F551"/>
          <cell r="G551"/>
          <cell r="H551"/>
          <cell r="I551"/>
          <cell r="J551"/>
          <cell r="K551"/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</row>
        <row r="552">
          <cell r="B552"/>
          <cell r="C552"/>
          <cell r="D552"/>
          <cell r="E552"/>
          <cell r="F552"/>
          <cell r="G552"/>
          <cell r="H552"/>
          <cell r="I552"/>
          <cell r="J552"/>
          <cell r="K552"/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</row>
        <row r="553">
          <cell r="B553"/>
          <cell r="C553"/>
          <cell r="D553"/>
          <cell r="E553"/>
          <cell r="F553"/>
          <cell r="G553"/>
          <cell r="H553"/>
          <cell r="I553"/>
          <cell r="J553"/>
          <cell r="K553"/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</row>
        <row r="554">
          <cell r="B554"/>
          <cell r="C554"/>
          <cell r="D554"/>
          <cell r="E554"/>
          <cell r="F554"/>
          <cell r="G554"/>
          <cell r="H554"/>
          <cell r="I554"/>
          <cell r="J554"/>
          <cell r="K554"/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</row>
        <row r="555">
          <cell r="B555"/>
          <cell r="C555"/>
          <cell r="D555"/>
          <cell r="E555"/>
          <cell r="F555"/>
          <cell r="G555"/>
          <cell r="H555"/>
          <cell r="I555"/>
          <cell r="J555"/>
          <cell r="K555"/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</row>
        <row r="556">
          <cell r="B556"/>
          <cell r="C556"/>
          <cell r="D556"/>
          <cell r="E556"/>
          <cell r="F556"/>
          <cell r="G556"/>
          <cell r="H556"/>
          <cell r="I556"/>
          <cell r="J556"/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</row>
        <row r="557">
          <cell r="B557"/>
          <cell r="C557"/>
          <cell r="D557"/>
          <cell r="E557"/>
          <cell r="F557"/>
          <cell r="G557"/>
          <cell r="H557"/>
          <cell r="I557"/>
          <cell r="J557"/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</row>
        <row r="558">
          <cell r="B558"/>
          <cell r="C558"/>
          <cell r="D558"/>
          <cell r="E558"/>
          <cell r="F558"/>
          <cell r="G558"/>
          <cell r="H558"/>
          <cell r="I558"/>
          <cell r="J558"/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</row>
        <row r="559">
          <cell r="B559"/>
          <cell r="C559"/>
          <cell r="D559"/>
          <cell r="E559"/>
          <cell r="F559"/>
          <cell r="G559"/>
          <cell r="H559"/>
          <cell r="I559"/>
          <cell r="J559"/>
          <cell r="K559"/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</row>
        <row r="560">
          <cell r="B560"/>
          <cell r="C560"/>
          <cell r="D560"/>
          <cell r="E560"/>
          <cell r="F560"/>
          <cell r="G560"/>
          <cell r="H560"/>
          <cell r="I560"/>
          <cell r="J560"/>
          <cell r="K560"/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</row>
        <row r="561">
          <cell r="B561"/>
          <cell r="C561"/>
          <cell r="D561"/>
          <cell r="E561"/>
          <cell r="F561"/>
          <cell r="G561"/>
          <cell r="H561"/>
          <cell r="I561"/>
          <cell r="J561"/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</row>
        <row r="562">
          <cell r="B562"/>
          <cell r="C562"/>
          <cell r="D562"/>
          <cell r="E562"/>
          <cell r="F562"/>
          <cell r="G562"/>
          <cell r="H562"/>
          <cell r="I562"/>
          <cell r="J562"/>
          <cell r="K562"/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</row>
        <row r="563">
          <cell r="B563"/>
          <cell r="C563"/>
          <cell r="D563"/>
          <cell r="E563"/>
          <cell r="F563"/>
          <cell r="G563"/>
          <cell r="H563"/>
          <cell r="I563"/>
          <cell r="J563"/>
          <cell r="K563"/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</row>
        <row r="564">
          <cell r="B564"/>
          <cell r="C564"/>
          <cell r="D564"/>
          <cell r="E564"/>
          <cell r="F564"/>
          <cell r="G564"/>
          <cell r="H564"/>
          <cell r="I564"/>
          <cell r="J564"/>
          <cell r="K564"/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</row>
        <row r="565">
          <cell r="B565"/>
          <cell r="C565"/>
          <cell r="D565"/>
          <cell r="E565"/>
          <cell r="F565"/>
          <cell r="G565"/>
          <cell r="H565"/>
          <cell r="I565"/>
          <cell r="J565"/>
          <cell r="K565"/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</row>
        <row r="566">
          <cell r="B566"/>
          <cell r="C566"/>
          <cell r="D566"/>
          <cell r="E566"/>
          <cell r="F566"/>
          <cell r="G566"/>
          <cell r="H566"/>
          <cell r="I566"/>
          <cell r="J566"/>
          <cell r="K566"/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</row>
        <row r="567">
          <cell r="B567"/>
          <cell r="C567"/>
          <cell r="D567"/>
          <cell r="E567"/>
          <cell r="F567"/>
          <cell r="G567"/>
          <cell r="H567"/>
          <cell r="I567"/>
          <cell r="J567"/>
          <cell r="K567"/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</row>
        <row r="568">
          <cell r="B568"/>
          <cell r="C568"/>
          <cell r="D568"/>
          <cell r="E568"/>
          <cell r="F568"/>
          <cell r="G568"/>
          <cell r="H568"/>
          <cell r="I568"/>
          <cell r="J568"/>
          <cell r="K568"/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</row>
        <row r="569">
          <cell r="B569"/>
          <cell r="C569"/>
          <cell r="D569"/>
          <cell r="E569"/>
          <cell r="F569"/>
          <cell r="G569"/>
          <cell r="H569"/>
          <cell r="I569"/>
          <cell r="J569"/>
          <cell r="K569"/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</row>
        <row r="570">
          <cell r="B570"/>
          <cell r="C570"/>
          <cell r="D570"/>
          <cell r="E570"/>
          <cell r="F570"/>
          <cell r="G570"/>
          <cell r="H570"/>
          <cell r="I570"/>
          <cell r="J570"/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</row>
        <row r="571">
          <cell r="B571"/>
          <cell r="C571"/>
          <cell r="D571"/>
          <cell r="E571"/>
          <cell r="F571"/>
          <cell r="G571"/>
          <cell r="H571"/>
          <cell r="I571"/>
          <cell r="J571"/>
          <cell r="K571"/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</row>
        <row r="572">
          <cell r="B572"/>
          <cell r="C572"/>
          <cell r="D572"/>
          <cell r="E572"/>
          <cell r="F572"/>
          <cell r="G572"/>
          <cell r="H572"/>
          <cell r="I572"/>
          <cell r="J572"/>
          <cell r="K572"/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</row>
        <row r="573">
          <cell r="B573"/>
          <cell r="C573"/>
          <cell r="D573"/>
          <cell r="E573"/>
          <cell r="F573"/>
          <cell r="G573"/>
          <cell r="H573"/>
          <cell r="I573"/>
          <cell r="J573"/>
          <cell r="K573"/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</row>
        <row r="574">
          <cell r="B574"/>
          <cell r="C574"/>
          <cell r="D574"/>
          <cell r="E574"/>
          <cell r="F574"/>
          <cell r="G574"/>
          <cell r="H574"/>
          <cell r="I574"/>
          <cell r="J574"/>
          <cell r="K574"/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</row>
        <row r="575">
          <cell r="B575"/>
          <cell r="C575"/>
          <cell r="D575"/>
          <cell r="E575"/>
          <cell r="F575"/>
          <cell r="G575"/>
          <cell r="H575"/>
          <cell r="I575"/>
          <cell r="J575"/>
          <cell r="K575"/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</row>
        <row r="576">
          <cell r="B576"/>
          <cell r="C576"/>
          <cell r="D576"/>
          <cell r="E576"/>
          <cell r="F576"/>
          <cell r="G576"/>
          <cell r="H576"/>
          <cell r="I576"/>
          <cell r="J576"/>
          <cell r="K576"/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</row>
        <row r="577">
          <cell r="B577"/>
          <cell r="C577"/>
          <cell r="D577"/>
          <cell r="E577"/>
          <cell r="F577"/>
          <cell r="G577"/>
          <cell r="H577"/>
          <cell r="I577"/>
          <cell r="J577"/>
          <cell r="K577"/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</row>
        <row r="578">
          <cell r="B578"/>
          <cell r="C578"/>
          <cell r="D578"/>
          <cell r="E578"/>
          <cell r="F578"/>
          <cell r="G578"/>
          <cell r="H578"/>
          <cell r="I578"/>
          <cell r="J578"/>
          <cell r="K578"/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</row>
        <row r="579">
          <cell r="B579"/>
          <cell r="C579"/>
          <cell r="D579"/>
          <cell r="E579"/>
          <cell r="F579"/>
          <cell r="G579"/>
          <cell r="H579"/>
          <cell r="I579"/>
          <cell r="J579"/>
          <cell r="K579"/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</row>
        <row r="580">
          <cell r="B580"/>
          <cell r="C580"/>
          <cell r="D580"/>
          <cell r="E580"/>
          <cell r="F580"/>
          <cell r="G580"/>
          <cell r="H580"/>
          <cell r="I580"/>
          <cell r="J580"/>
          <cell r="K580"/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</row>
        <row r="581">
          <cell r="B581"/>
          <cell r="C581"/>
          <cell r="D581"/>
          <cell r="E581"/>
          <cell r="F581"/>
          <cell r="G581"/>
          <cell r="H581"/>
          <cell r="I581"/>
          <cell r="J581"/>
          <cell r="K581"/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</row>
        <row r="582">
          <cell r="B582"/>
          <cell r="C582"/>
          <cell r="D582"/>
          <cell r="E582"/>
          <cell r="F582"/>
          <cell r="G582"/>
          <cell r="H582"/>
          <cell r="I582"/>
          <cell r="J582"/>
          <cell r="K582"/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</row>
        <row r="583">
          <cell r="B583"/>
          <cell r="C583"/>
          <cell r="D583"/>
          <cell r="E583"/>
          <cell r="F583"/>
          <cell r="G583"/>
          <cell r="H583"/>
          <cell r="I583"/>
          <cell r="J583"/>
          <cell r="K583"/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</row>
        <row r="584">
          <cell r="B584"/>
          <cell r="C584"/>
          <cell r="D584"/>
          <cell r="E584"/>
          <cell r="F584"/>
          <cell r="G584"/>
          <cell r="H584"/>
          <cell r="I584"/>
          <cell r="J584"/>
          <cell r="K584"/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</row>
        <row r="585">
          <cell r="B585"/>
          <cell r="C585"/>
          <cell r="D585"/>
          <cell r="E585"/>
          <cell r="F585"/>
          <cell r="G585"/>
          <cell r="H585"/>
          <cell r="I585"/>
          <cell r="J585"/>
          <cell r="K585"/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</row>
        <row r="586">
          <cell r="B586"/>
          <cell r="C586"/>
          <cell r="D586"/>
          <cell r="E586"/>
          <cell r="F586"/>
          <cell r="G586"/>
          <cell r="H586"/>
          <cell r="I586"/>
          <cell r="J586"/>
          <cell r="K586"/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</row>
        <row r="587">
          <cell r="B587"/>
          <cell r="C587"/>
          <cell r="D587"/>
          <cell r="E587"/>
          <cell r="F587"/>
          <cell r="G587"/>
          <cell r="H587"/>
          <cell r="I587"/>
          <cell r="J587"/>
          <cell r="K587"/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</row>
        <row r="588">
          <cell r="B588"/>
          <cell r="C588"/>
          <cell r="D588"/>
          <cell r="E588"/>
          <cell r="F588"/>
          <cell r="G588"/>
          <cell r="H588"/>
          <cell r="I588"/>
          <cell r="J588"/>
          <cell r="K588"/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</row>
        <row r="589">
          <cell r="B589"/>
          <cell r="C589"/>
          <cell r="D589"/>
          <cell r="E589"/>
          <cell r="F589"/>
          <cell r="G589"/>
          <cell r="H589"/>
          <cell r="I589"/>
          <cell r="J589"/>
          <cell r="K589"/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</row>
        <row r="590">
          <cell r="B590"/>
          <cell r="C590"/>
          <cell r="D590"/>
          <cell r="E590"/>
          <cell r="F590"/>
          <cell r="G590"/>
          <cell r="H590"/>
          <cell r="I590"/>
          <cell r="J590"/>
          <cell r="K590"/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</row>
        <row r="591">
          <cell r="B591"/>
          <cell r="C591"/>
          <cell r="D591"/>
          <cell r="E591"/>
          <cell r="F591"/>
          <cell r="G591"/>
          <cell r="H591"/>
          <cell r="I591"/>
          <cell r="J591"/>
          <cell r="K591"/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</row>
        <row r="592">
          <cell r="B592"/>
          <cell r="C592"/>
          <cell r="D592"/>
          <cell r="E592"/>
          <cell r="F592"/>
          <cell r="G592"/>
          <cell r="H592"/>
          <cell r="I592"/>
          <cell r="J592"/>
          <cell r="K592"/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</row>
        <row r="593">
          <cell r="B593"/>
          <cell r="C593"/>
          <cell r="D593"/>
          <cell r="E593"/>
          <cell r="F593"/>
          <cell r="G593"/>
          <cell r="H593"/>
          <cell r="I593"/>
          <cell r="J593"/>
          <cell r="K593"/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</row>
        <row r="594">
          <cell r="B594"/>
          <cell r="C594"/>
          <cell r="D594"/>
          <cell r="E594"/>
          <cell r="F594"/>
          <cell r="G594"/>
          <cell r="H594"/>
          <cell r="I594"/>
          <cell r="J594"/>
          <cell r="K594"/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</row>
        <row r="595">
          <cell r="B595"/>
          <cell r="C595"/>
          <cell r="D595"/>
          <cell r="E595"/>
          <cell r="F595"/>
          <cell r="G595"/>
          <cell r="H595"/>
          <cell r="I595"/>
          <cell r="J595"/>
          <cell r="K595"/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</row>
        <row r="596">
          <cell r="B596"/>
          <cell r="C596"/>
          <cell r="D596"/>
          <cell r="E596"/>
          <cell r="F596"/>
          <cell r="G596"/>
          <cell r="H596"/>
          <cell r="I596"/>
          <cell r="J596"/>
          <cell r="K596"/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</row>
        <row r="597">
          <cell r="B597"/>
          <cell r="C597"/>
          <cell r="D597"/>
          <cell r="E597"/>
          <cell r="F597"/>
          <cell r="G597"/>
          <cell r="H597"/>
          <cell r="I597"/>
          <cell r="J597"/>
          <cell r="K597"/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</row>
        <row r="598">
          <cell r="B598"/>
          <cell r="C598"/>
          <cell r="D598"/>
          <cell r="E598"/>
          <cell r="F598"/>
          <cell r="G598"/>
          <cell r="H598"/>
          <cell r="I598"/>
          <cell r="J598"/>
          <cell r="K598"/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</row>
        <row r="599">
          <cell r="B599"/>
          <cell r="C599"/>
          <cell r="D599"/>
          <cell r="E599"/>
          <cell r="F599"/>
          <cell r="G599"/>
          <cell r="H599"/>
          <cell r="I599"/>
          <cell r="J599"/>
          <cell r="K599"/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</row>
        <row r="600">
          <cell r="B600"/>
          <cell r="C600"/>
          <cell r="D600"/>
          <cell r="E600"/>
          <cell r="F600"/>
          <cell r="G600"/>
          <cell r="H600"/>
          <cell r="I600"/>
          <cell r="J600"/>
          <cell r="K600"/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</row>
        <row r="601">
          <cell r="B601"/>
          <cell r="C601"/>
          <cell r="D601"/>
          <cell r="E601"/>
          <cell r="F601"/>
          <cell r="G601"/>
          <cell r="H601"/>
          <cell r="I601"/>
          <cell r="J601"/>
          <cell r="K601"/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</row>
        <row r="602">
          <cell r="B602"/>
          <cell r="C602"/>
          <cell r="D602"/>
          <cell r="E602"/>
          <cell r="F602"/>
          <cell r="G602"/>
          <cell r="H602"/>
          <cell r="I602"/>
          <cell r="J602"/>
          <cell r="K602"/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</row>
        <row r="603">
          <cell r="B603"/>
          <cell r="C603"/>
          <cell r="D603"/>
          <cell r="E603"/>
          <cell r="F603"/>
          <cell r="G603"/>
          <cell r="H603"/>
          <cell r="I603"/>
          <cell r="J603"/>
          <cell r="K603"/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</row>
        <row r="604">
          <cell r="B604"/>
          <cell r="C604"/>
          <cell r="D604"/>
          <cell r="E604"/>
          <cell r="F604"/>
          <cell r="G604"/>
          <cell r="H604"/>
          <cell r="I604"/>
          <cell r="J604"/>
          <cell r="K604"/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</row>
        <row r="605">
          <cell r="B605"/>
          <cell r="C605"/>
          <cell r="D605"/>
          <cell r="E605"/>
          <cell r="F605"/>
          <cell r="G605"/>
          <cell r="H605"/>
          <cell r="I605"/>
          <cell r="J605"/>
          <cell r="K605"/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</row>
        <row r="606">
          <cell r="B606"/>
          <cell r="C606"/>
          <cell r="D606"/>
          <cell r="E606"/>
          <cell r="F606"/>
          <cell r="G606"/>
          <cell r="H606"/>
          <cell r="I606"/>
          <cell r="J606"/>
          <cell r="K606"/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</row>
        <row r="607">
          <cell r="B607"/>
          <cell r="C607"/>
          <cell r="D607"/>
          <cell r="E607"/>
          <cell r="F607"/>
          <cell r="G607"/>
          <cell r="H607"/>
          <cell r="I607"/>
          <cell r="J607"/>
          <cell r="K607"/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</row>
        <row r="608">
          <cell r="B608"/>
          <cell r="C608"/>
          <cell r="D608"/>
          <cell r="E608"/>
          <cell r="F608"/>
          <cell r="G608"/>
          <cell r="H608"/>
          <cell r="I608"/>
          <cell r="J608"/>
          <cell r="K608"/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</row>
        <row r="609">
          <cell r="B609"/>
          <cell r="C609"/>
          <cell r="D609"/>
          <cell r="E609"/>
          <cell r="F609"/>
          <cell r="G609"/>
          <cell r="H609"/>
          <cell r="I609"/>
          <cell r="J609"/>
          <cell r="K609"/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</row>
        <row r="610">
          <cell r="B610"/>
          <cell r="C610"/>
          <cell r="D610"/>
          <cell r="E610"/>
          <cell r="F610"/>
          <cell r="G610"/>
          <cell r="H610"/>
          <cell r="I610"/>
          <cell r="J610"/>
          <cell r="K610"/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</row>
        <row r="611">
          <cell r="B611"/>
          <cell r="C611"/>
          <cell r="D611"/>
          <cell r="E611"/>
          <cell r="F611"/>
          <cell r="G611"/>
          <cell r="H611"/>
          <cell r="I611"/>
          <cell r="J611"/>
          <cell r="K611"/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</row>
        <row r="612">
          <cell r="B612"/>
          <cell r="C612"/>
          <cell r="D612"/>
          <cell r="E612"/>
          <cell r="F612"/>
          <cell r="G612"/>
          <cell r="H612"/>
          <cell r="I612"/>
          <cell r="J612"/>
          <cell r="K612"/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</row>
        <row r="613">
          <cell r="B613"/>
          <cell r="C613"/>
          <cell r="D613"/>
          <cell r="E613"/>
          <cell r="F613"/>
          <cell r="G613"/>
          <cell r="H613"/>
          <cell r="I613"/>
          <cell r="J613"/>
          <cell r="K613"/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</row>
        <row r="614">
          <cell r="B614"/>
          <cell r="C614"/>
          <cell r="D614"/>
          <cell r="E614"/>
          <cell r="F614"/>
          <cell r="G614"/>
          <cell r="H614"/>
          <cell r="I614"/>
          <cell r="J614"/>
          <cell r="K614"/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</row>
        <row r="615">
          <cell r="B615"/>
          <cell r="C615"/>
          <cell r="D615"/>
          <cell r="E615"/>
          <cell r="F615"/>
          <cell r="G615"/>
          <cell r="H615"/>
          <cell r="I615"/>
          <cell r="J615"/>
          <cell r="K615"/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</row>
        <row r="616">
          <cell r="B616"/>
          <cell r="C616"/>
          <cell r="D616"/>
          <cell r="E616"/>
          <cell r="F616"/>
          <cell r="G616"/>
          <cell r="H616"/>
          <cell r="I616"/>
          <cell r="J616"/>
          <cell r="K616"/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</row>
        <row r="617">
          <cell r="B617"/>
          <cell r="C617"/>
          <cell r="D617"/>
          <cell r="E617"/>
          <cell r="F617"/>
          <cell r="G617"/>
          <cell r="H617"/>
          <cell r="I617"/>
          <cell r="J617"/>
          <cell r="K617"/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</row>
        <row r="618">
          <cell r="B618"/>
          <cell r="C618"/>
          <cell r="D618"/>
          <cell r="E618"/>
          <cell r="F618"/>
          <cell r="G618"/>
          <cell r="H618"/>
          <cell r="I618"/>
          <cell r="J618"/>
          <cell r="K618"/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</row>
        <row r="619">
          <cell r="B619"/>
          <cell r="C619"/>
          <cell r="D619"/>
          <cell r="E619"/>
          <cell r="F619"/>
          <cell r="G619"/>
          <cell r="H619"/>
          <cell r="I619"/>
          <cell r="J619"/>
          <cell r="K619"/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</row>
        <row r="620">
          <cell r="B620"/>
          <cell r="C620"/>
          <cell r="D620"/>
          <cell r="E620"/>
          <cell r="F620"/>
          <cell r="G620"/>
          <cell r="H620"/>
          <cell r="I620"/>
          <cell r="J620"/>
          <cell r="K620"/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</row>
        <row r="621">
          <cell r="B621"/>
          <cell r="C621"/>
          <cell r="D621"/>
          <cell r="E621"/>
          <cell r="F621"/>
          <cell r="G621"/>
          <cell r="H621"/>
          <cell r="I621"/>
          <cell r="J621"/>
          <cell r="K621"/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</row>
        <row r="622">
          <cell r="B622"/>
          <cell r="C622"/>
          <cell r="D622"/>
          <cell r="E622"/>
          <cell r="F622"/>
          <cell r="G622"/>
          <cell r="H622"/>
          <cell r="I622"/>
          <cell r="J622"/>
          <cell r="K622"/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</row>
        <row r="623">
          <cell r="B623"/>
          <cell r="C623"/>
          <cell r="D623"/>
          <cell r="E623"/>
          <cell r="F623"/>
          <cell r="G623"/>
          <cell r="H623"/>
          <cell r="I623"/>
          <cell r="J623"/>
          <cell r="K623"/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</row>
        <row r="624">
          <cell r="B624"/>
          <cell r="C624"/>
          <cell r="D624"/>
          <cell r="E624"/>
          <cell r="F624"/>
          <cell r="G624"/>
          <cell r="H624"/>
          <cell r="I624"/>
          <cell r="J624"/>
          <cell r="K624"/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</row>
        <row r="625">
          <cell r="B625"/>
          <cell r="C625"/>
          <cell r="D625"/>
          <cell r="E625"/>
          <cell r="F625"/>
          <cell r="G625"/>
          <cell r="H625"/>
          <cell r="I625"/>
          <cell r="J625"/>
          <cell r="K625"/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</row>
        <row r="626">
          <cell r="B626"/>
          <cell r="C626"/>
          <cell r="D626"/>
          <cell r="E626"/>
          <cell r="F626"/>
          <cell r="G626"/>
          <cell r="H626"/>
          <cell r="I626"/>
          <cell r="J626"/>
          <cell r="K626"/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</row>
        <row r="627">
          <cell r="B627"/>
          <cell r="C627"/>
          <cell r="D627"/>
          <cell r="E627"/>
          <cell r="F627"/>
          <cell r="G627"/>
          <cell r="H627"/>
          <cell r="I627"/>
          <cell r="J627"/>
          <cell r="K627"/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</row>
        <row r="628">
          <cell r="B628"/>
          <cell r="C628"/>
          <cell r="D628"/>
          <cell r="E628"/>
          <cell r="F628"/>
          <cell r="G628"/>
          <cell r="H628"/>
          <cell r="I628"/>
          <cell r="J628"/>
          <cell r="K628"/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</row>
        <row r="629">
          <cell r="B629"/>
          <cell r="C629"/>
          <cell r="D629"/>
          <cell r="E629"/>
          <cell r="F629"/>
          <cell r="G629"/>
          <cell r="H629"/>
          <cell r="I629"/>
          <cell r="J629"/>
          <cell r="K629"/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</row>
        <row r="630">
          <cell r="B630"/>
          <cell r="C630"/>
          <cell r="D630"/>
          <cell r="E630"/>
          <cell r="F630"/>
          <cell r="G630"/>
          <cell r="H630"/>
          <cell r="I630"/>
          <cell r="J630"/>
          <cell r="K630"/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</row>
        <row r="631">
          <cell r="B631"/>
          <cell r="C631"/>
          <cell r="D631"/>
          <cell r="E631"/>
          <cell r="F631"/>
          <cell r="G631"/>
          <cell r="H631"/>
          <cell r="I631"/>
          <cell r="J631"/>
          <cell r="K631"/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</row>
        <row r="632">
          <cell r="B632"/>
          <cell r="C632"/>
          <cell r="D632"/>
          <cell r="E632"/>
          <cell r="F632"/>
          <cell r="G632"/>
          <cell r="H632"/>
          <cell r="I632"/>
          <cell r="J632"/>
          <cell r="K632"/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</row>
        <row r="633">
          <cell r="B633"/>
          <cell r="C633"/>
          <cell r="D633"/>
          <cell r="E633"/>
          <cell r="F633"/>
          <cell r="G633"/>
          <cell r="H633"/>
          <cell r="I633"/>
          <cell r="J633"/>
          <cell r="K633"/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</row>
        <row r="634">
          <cell r="B634"/>
          <cell r="C634"/>
          <cell r="D634"/>
          <cell r="E634"/>
          <cell r="F634"/>
          <cell r="G634"/>
          <cell r="H634"/>
          <cell r="I634"/>
          <cell r="J634"/>
          <cell r="K634"/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</row>
        <row r="635">
          <cell r="B635"/>
          <cell r="C635"/>
          <cell r="D635"/>
          <cell r="E635"/>
          <cell r="F635"/>
          <cell r="G635"/>
          <cell r="H635"/>
          <cell r="I635"/>
          <cell r="J635"/>
          <cell r="K635"/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</row>
        <row r="636">
          <cell r="B636"/>
          <cell r="C636"/>
          <cell r="D636"/>
          <cell r="E636"/>
          <cell r="F636"/>
          <cell r="G636"/>
          <cell r="H636"/>
          <cell r="I636"/>
          <cell r="J636"/>
          <cell r="K636"/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</row>
        <row r="637">
          <cell r="B637"/>
          <cell r="C637"/>
          <cell r="D637"/>
          <cell r="E637"/>
          <cell r="F637"/>
          <cell r="G637"/>
          <cell r="H637"/>
          <cell r="I637"/>
          <cell r="J637"/>
          <cell r="K637"/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</row>
        <row r="638">
          <cell r="B638"/>
          <cell r="C638"/>
          <cell r="D638"/>
          <cell r="E638"/>
          <cell r="F638"/>
          <cell r="G638"/>
          <cell r="H638"/>
          <cell r="I638"/>
          <cell r="J638"/>
          <cell r="K638"/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</row>
        <row r="639">
          <cell r="B639"/>
          <cell r="C639"/>
          <cell r="D639"/>
          <cell r="E639"/>
          <cell r="F639"/>
          <cell r="G639"/>
          <cell r="H639"/>
          <cell r="I639"/>
          <cell r="J639"/>
          <cell r="K639"/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</row>
        <row r="640">
          <cell r="B640"/>
          <cell r="C640"/>
          <cell r="D640"/>
          <cell r="E640"/>
          <cell r="F640"/>
          <cell r="G640"/>
          <cell r="H640"/>
          <cell r="I640"/>
          <cell r="J640"/>
          <cell r="K640"/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</row>
        <row r="641">
          <cell r="B641"/>
          <cell r="C641"/>
          <cell r="D641"/>
          <cell r="E641"/>
          <cell r="F641"/>
          <cell r="G641"/>
          <cell r="H641"/>
          <cell r="I641"/>
          <cell r="J641"/>
          <cell r="K641"/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</row>
        <row r="642">
          <cell r="B642"/>
          <cell r="C642"/>
          <cell r="D642"/>
          <cell r="E642"/>
          <cell r="F642"/>
          <cell r="G642"/>
          <cell r="H642"/>
          <cell r="I642"/>
          <cell r="J642"/>
          <cell r="K642"/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</row>
        <row r="643">
          <cell r="B643"/>
          <cell r="C643"/>
          <cell r="D643"/>
          <cell r="E643"/>
          <cell r="F643"/>
          <cell r="G643"/>
          <cell r="H643"/>
          <cell r="I643"/>
          <cell r="J643"/>
          <cell r="K643"/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</row>
        <row r="644">
          <cell r="B644"/>
          <cell r="C644"/>
          <cell r="D644"/>
          <cell r="E644"/>
          <cell r="F644"/>
          <cell r="G644"/>
          <cell r="H644"/>
          <cell r="I644"/>
          <cell r="J644"/>
          <cell r="K644"/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</row>
        <row r="645">
          <cell r="B645"/>
          <cell r="C645"/>
          <cell r="D645"/>
          <cell r="E645"/>
          <cell r="F645"/>
          <cell r="G645"/>
          <cell r="H645"/>
          <cell r="I645"/>
          <cell r="J645"/>
          <cell r="K645"/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</row>
        <row r="646">
          <cell r="B646"/>
          <cell r="C646"/>
          <cell r="D646"/>
          <cell r="E646"/>
          <cell r="F646"/>
          <cell r="G646"/>
          <cell r="H646"/>
          <cell r="I646"/>
          <cell r="J646"/>
          <cell r="K646"/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</row>
        <row r="647">
          <cell r="B647"/>
          <cell r="C647"/>
          <cell r="D647"/>
          <cell r="E647"/>
          <cell r="F647"/>
          <cell r="G647"/>
          <cell r="H647"/>
          <cell r="I647"/>
          <cell r="J647"/>
          <cell r="K647"/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</row>
        <row r="648">
          <cell r="B648"/>
          <cell r="C648"/>
          <cell r="D648"/>
          <cell r="E648"/>
          <cell r="F648"/>
          <cell r="G648"/>
          <cell r="H648"/>
          <cell r="I648"/>
          <cell r="J648"/>
          <cell r="K648"/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</row>
        <row r="649">
          <cell r="B649"/>
          <cell r="C649"/>
          <cell r="D649"/>
          <cell r="E649"/>
          <cell r="F649"/>
          <cell r="G649"/>
          <cell r="H649"/>
          <cell r="I649"/>
          <cell r="J649"/>
          <cell r="K649"/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</row>
        <row r="650">
          <cell r="B650"/>
          <cell r="C650"/>
          <cell r="D650"/>
          <cell r="E650"/>
          <cell r="F650"/>
          <cell r="G650"/>
          <cell r="H650"/>
          <cell r="I650"/>
          <cell r="J650"/>
          <cell r="K650"/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</row>
        <row r="651">
          <cell r="B651"/>
          <cell r="C651"/>
          <cell r="D651"/>
          <cell r="E651"/>
          <cell r="F651"/>
          <cell r="G651"/>
          <cell r="H651"/>
          <cell r="I651"/>
          <cell r="J651"/>
          <cell r="K651"/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</row>
        <row r="652">
          <cell r="B652"/>
          <cell r="C652"/>
          <cell r="D652"/>
          <cell r="E652"/>
          <cell r="F652"/>
          <cell r="G652"/>
          <cell r="H652"/>
          <cell r="I652"/>
          <cell r="J652"/>
          <cell r="K652"/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</row>
        <row r="653">
          <cell r="B653"/>
          <cell r="C653"/>
          <cell r="D653"/>
          <cell r="E653"/>
          <cell r="F653"/>
          <cell r="G653"/>
          <cell r="H653"/>
          <cell r="I653"/>
          <cell r="J653"/>
          <cell r="K653"/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</row>
        <row r="654">
          <cell r="B654"/>
          <cell r="C654"/>
          <cell r="D654"/>
          <cell r="E654"/>
          <cell r="F654"/>
          <cell r="G654"/>
          <cell r="H654"/>
          <cell r="I654"/>
          <cell r="J654"/>
          <cell r="K654"/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</row>
        <row r="655">
          <cell r="B655"/>
          <cell r="C655"/>
          <cell r="D655"/>
          <cell r="E655"/>
          <cell r="F655"/>
          <cell r="G655"/>
          <cell r="H655"/>
          <cell r="I655"/>
          <cell r="J655"/>
          <cell r="K655"/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</row>
        <row r="656">
          <cell r="B656"/>
          <cell r="C656"/>
          <cell r="D656"/>
          <cell r="E656"/>
          <cell r="F656"/>
          <cell r="G656"/>
          <cell r="H656"/>
          <cell r="I656"/>
          <cell r="J656"/>
          <cell r="K656"/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</row>
        <row r="657">
          <cell r="B657"/>
          <cell r="C657"/>
          <cell r="D657"/>
          <cell r="E657"/>
          <cell r="F657"/>
          <cell r="G657"/>
          <cell r="H657"/>
          <cell r="I657"/>
          <cell r="J657"/>
          <cell r="K657"/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</row>
        <row r="658">
          <cell r="B658"/>
          <cell r="C658"/>
          <cell r="D658"/>
          <cell r="E658"/>
          <cell r="F658"/>
          <cell r="G658"/>
          <cell r="H658"/>
          <cell r="I658"/>
          <cell r="J658"/>
          <cell r="K658"/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</row>
        <row r="659">
          <cell r="B659"/>
          <cell r="C659"/>
          <cell r="D659"/>
          <cell r="E659"/>
          <cell r="F659"/>
          <cell r="G659"/>
          <cell r="H659"/>
          <cell r="I659"/>
          <cell r="J659"/>
          <cell r="K659"/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</row>
        <row r="660">
          <cell r="B660"/>
          <cell r="C660"/>
          <cell r="D660"/>
          <cell r="E660"/>
          <cell r="F660"/>
          <cell r="G660"/>
          <cell r="H660"/>
          <cell r="I660"/>
          <cell r="J660"/>
          <cell r="K660"/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</row>
        <row r="661">
          <cell r="B661"/>
          <cell r="C661"/>
          <cell r="D661"/>
          <cell r="E661"/>
          <cell r="F661"/>
          <cell r="G661"/>
          <cell r="H661"/>
          <cell r="I661"/>
          <cell r="J661"/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</row>
        <row r="662">
          <cell r="B662"/>
          <cell r="C662"/>
          <cell r="D662"/>
          <cell r="E662"/>
          <cell r="F662"/>
          <cell r="G662"/>
          <cell r="H662"/>
          <cell r="I662"/>
          <cell r="J662"/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</row>
        <row r="663">
          <cell r="B663"/>
          <cell r="C663"/>
          <cell r="D663"/>
          <cell r="E663"/>
          <cell r="F663"/>
          <cell r="G663"/>
          <cell r="H663"/>
          <cell r="I663"/>
          <cell r="J663"/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</row>
        <row r="664">
          <cell r="B664"/>
          <cell r="C664"/>
          <cell r="D664"/>
          <cell r="E664"/>
          <cell r="F664"/>
          <cell r="G664"/>
          <cell r="H664"/>
          <cell r="I664"/>
          <cell r="J664"/>
          <cell r="K664"/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</row>
        <row r="665">
          <cell r="B665"/>
          <cell r="C665"/>
          <cell r="D665"/>
          <cell r="E665"/>
          <cell r="F665"/>
          <cell r="G665"/>
          <cell r="H665"/>
          <cell r="I665"/>
          <cell r="J665"/>
          <cell r="K665"/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</row>
        <row r="666">
          <cell r="B666"/>
          <cell r="C666"/>
          <cell r="D666"/>
          <cell r="E666"/>
          <cell r="F666"/>
          <cell r="G666"/>
          <cell r="H666"/>
          <cell r="I666"/>
          <cell r="J666"/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</row>
        <row r="667">
          <cell r="B667"/>
          <cell r="C667"/>
          <cell r="D667"/>
          <cell r="E667"/>
          <cell r="F667"/>
          <cell r="G667"/>
          <cell r="H667"/>
          <cell r="I667"/>
          <cell r="J667"/>
          <cell r="K667"/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</row>
        <row r="668">
          <cell r="B668"/>
          <cell r="C668"/>
          <cell r="D668"/>
          <cell r="E668"/>
          <cell r="F668"/>
          <cell r="G668"/>
          <cell r="H668"/>
          <cell r="I668"/>
          <cell r="J668"/>
          <cell r="K668"/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</row>
        <row r="669">
          <cell r="B669"/>
          <cell r="C669"/>
          <cell r="D669"/>
          <cell r="E669"/>
          <cell r="F669"/>
          <cell r="G669"/>
          <cell r="H669"/>
          <cell r="I669"/>
          <cell r="J669"/>
          <cell r="K669"/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</row>
        <row r="670">
          <cell r="B670"/>
          <cell r="C670"/>
          <cell r="D670"/>
          <cell r="E670"/>
          <cell r="F670"/>
          <cell r="G670"/>
          <cell r="H670"/>
          <cell r="I670"/>
          <cell r="J670"/>
          <cell r="K670"/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</row>
        <row r="671">
          <cell r="B671"/>
          <cell r="C671"/>
          <cell r="D671"/>
          <cell r="E671"/>
          <cell r="F671"/>
          <cell r="G671"/>
          <cell r="H671"/>
          <cell r="I671"/>
          <cell r="J671"/>
          <cell r="K671"/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</row>
        <row r="672">
          <cell r="B672"/>
          <cell r="C672"/>
          <cell r="D672"/>
          <cell r="E672"/>
          <cell r="F672"/>
          <cell r="G672"/>
          <cell r="H672"/>
          <cell r="I672"/>
          <cell r="J672"/>
          <cell r="K672"/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</row>
        <row r="673">
          <cell r="B673"/>
          <cell r="C673"/>
          <cell r="D673"/>
          <cell r="E673"/>
          <cell r="F673"/>
          <cell r="G673"/>
          <cell r="H673"/>
          <cell r="I673"/>
          <cell r="J673"/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</row>
        <row r="674">
          <cell r="B674"/>
          <cell r="C674"/>
          <cell r="D674"/>
          <cell r="E674"/>
          <cell r="F674"/>
          <cell r="G674"/>
          <cell r="H674"/>
          <cell r="I674"/>
          <cell r="J674"/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</row>
        <row r="675">
          <cell r="B675"/>
          <cell r="C675"/>
          <cell r="D675"/>
          <cell r="E675"/>
          <cell r="F675"/>
          <cell r="G675"/>
          <cell r="H675"/>
          <cell r="I675"/>
          <cell r="J675"/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</row>
        <row r="676">
          <cell r="B676"/>
          <cell r="C676"/>
          <cell r="D676"/>
          <cell r="E676"/>
          <cell r="F676"/>
          <cell r="G676"/>
          <cell r="H676"/>
          <cell r="I676"/>
          <cell r="J676"/>
          <cell r="K676"/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</row>
        <row r="677">
          <cell r="B677"/>
          <cell r="C677"/>
          <cell r="D677"/>
          <cell r="E677"/>
          <cell r="F677"/>
          <cell r="G677"/>
          <cell r="H677"/>
          <cell r="I677"/>
          <cell r="J677"/>
          <cell r="K677"/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</row>
        <row r="678">
          <cell r="B678"/>
          <cell r="C678"/>
          <cell r="D678"/>
          <cell r="E678"/>
          <cell r="F678"/>
          <cell r="G678"/>
          <cell r="H678"/>
          <cell r="I678"/>
          <cell r="J678"/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</row>
        <row r="679">
          <cell r="B679"/>
          <cell r="C679"/>
          <cell r="D679"/>
          <cell r="E679"/>
          <cell r="F679"/>
          <cell r="G679"/>
          <cell r="H679"/>
          <cell r="I679"/>
          <cell r="J679"/>
          <cell r="K679"/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</row>
        <row r="680">
          <cell r="B680"/>
          <cell r="C680"/>
          <cell r="D680"/>
          <cell r="E680"/>
          <cell r="F680"/>
          <cell r="G680"/>
          <cell r="H680"/>
          <cell r="I680"/>
          <cell r="J680"/>
          <cell r="K680"/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</row>
        <row r="681">
          <cell r="B681"/>
          <cell r="C681"/>
          <cell r="D681"/>
          <cell r="E681"/>
          <cell r="F681"/>
          <cell r="G681"/>
          <cell r="H681"/>
          <cell r="I681"/>
          <cell r="J681"/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</row>
        <row r="682">
          <cell r="B682"/>
          <cell r="C682"/>
          <cell r="D682"/>
          <cell r="E682"/>
          <cell r="F682"/>
          <cell r="G682"/>
          <cell r="H682"/>
          <cell r="I682"/>
          <cell r="J682"/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</row>
        <row r="683">
          <cell r="B683"/>
          <cell r="C683"/>
          <cell r="D683"/>
          <cell r="E683"/>
          <cell r="F683"/>
          <cell r="G683"/>
          <cell r="H683"/>
          <cell r="I683"/>
          <cell r="J683"/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</row>
        <row r="684">
          <cell r="B684"/>
          <cell r="C684"/>
          <cell r="D684"/>
          <cell r="E684"/>
          <cell r="F684"/>
          <cell r="G684"/>
          <cell r="H684"/>
          <cell r="I684"/>
          <cell r="J684"/>
          <cell r="K684"/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</row>
        <row r="685">
          <cell r="B685"/>
          <cell r="C685"/>
          <cell r="D685"/>
          <cell r="E685"/>
          <cell r="F685"/>
          <cell r="G685"/>
          <cell r="H685"/>
          <cell r="I685"/>
          <cell r="J685"/>
          <cell r="K685"/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</row>
        <row r="686">
          <cell r="B686"/>
          <cell r="C686"/>
          <cell r="D686"/>
          <cell r="E686"/>
          <cell r="F686"/>
          <cell r="G686"/>
          <cell r="H686"/>
          <cell r="I686"/>
          <cell r="J686"/>
          <cell r="K686"/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</row>
        <row r="687">
          <cell r="B687"/>
          <cell r="C687"/>
          <cell r="D687"/>
          <cell r="E687"/>
          <cell r="F687"/>
          <cell r="G687"/>
          <cell r="H687"/>
          <cell r="I687"/>
          <cell r="J687"/>
          <cell r="K687"/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</row>
        <row r="688">
          <cell r="B688"/>
          <cell r="C688"/>
          <cell r="D688"/>
          <cell r="E688"/>
          <cell r="F688"/>
          <cell r="G688"/>
          <cell r="H688"/>
          <cell r="I688"/>
          <cell r="J688"/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</row>
        <row r="689">
          <cell r="B689"/>
          <cell r="C689"/>
          <cell r="D689"/>
          <cell r="E689"/>
          <cell r="F689"/>
          <cell r="G689"/>
          <cell r="H689"/>
          <cell r="I689"/>
          <cell r="J689"/>
          <cell r="K689"/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</row>
        <row r="690">
          <cell r="B690"/>
          <cell r="C690"/>
          <cell r="D690"/>
          <cell r="E690"/>
          <cell r="F690"/>
          <cell r="G690"/>
          <cell r="H690"/>
          <cell r="I690"/>
          <cell r="J690"/>
          <cell r="K690"/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</row>
        <row r="691">
          <cell r="B691"/>
          <cell r="C691"/>
          <cell r="D691"/>
          <cell r="E691"/>
          <cell r="F691"/>
          <cell r="G691"/>
          <cell r="H691"/>
          <cell r="I691"/>
          <cell r="J691"/>
          <cell r="K691"/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</row>
        <row r="692">
          <cell r="B692"/>
          <cell r="C692"/>
          <cell r="D692"/>
          <cell r="E692"/>
          <cell r="F692"/>
          <cell r="G692"/>
          <cell r="H692"/>
          <cell r="I692"/>
          <cell r="J692"/>
          <cell r="K692"/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</row>
        <row r="693">
          <cell r="B693"/>
          <cell r="C693"/>
          <cell r="D693"/>
          <cell r="E693"/>
          <cell r="F693"/>
          <cell r="G693"/>
          <cell r="H693"/>
          <cell r="I693"/>
          <cell r="J693"/>
          <cell r="K693"/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</row>
        <row r="694">
          <cell r="B694"/>
          <cell r="C694"/>
          <cell r="D694"/>
          <cell r="E694"/>
          <cell r="F694"/>
          <cell r="G694"/>
          <cell r="H694"/>
          <cell r="I694"/>
          <cell r="J694"/>
          <cell r="K694"/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</row>
        <row r="695">
          <cell r="B695"/>
          <cell r="C695"/>
          <cell r="D695"/>
          <cell r="E695"/>
          <cell r="F695"/>
          <cell r="G695"/>
          <cell r="H695"/>
          <cell r="I695"/>
          <cell r="J695"/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</row>
        <row r="696">
          <cell r="B696"/>
          <cell r="C696"/>
          <cell r="D696"/>
          <cell r="E696"/>
          <cell r="F696"/>
          <cell r="G696"/>
          <cell r="H696"/>
          <cell r="I696"/>
          <cell r="J696"/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</row>
        <row r="697">
          <cell r="B697"/>
          <cell r="C697"/>
          <cell r="D697"/>
          <cell r="E697"/>
          <cell r="F697"/>
          <cell r="G697"/>
          <cell r="H697"/>
          <cell r="I697"/>
          <cell r="J697"/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</row>
        <row r="698">
          <cell r="B698"/>
          <cell r="C698"/>
          <cell r="D698"/>
          <cell r="E698"/>
          <cell r="F698"/>
          <cell r="G698"/>
          <cell r="H698"/>
          <cell r="I698"/>
          <cell r="J698"/>
          <cell r="K698"/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</row>
        <row r="699">
          <cell r="B699"/>
          <cell r="C699"/>
          <cell r="D699"/>
          <cell r="E699"/>
          <cell r="F699"/>
          <cell r="G699"/>
          <cell r="H699"/>
          <cell r="I699"/>
          <cell r="J699"/>
          <cell r="K699"/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</row>
        <row r="700">
          <cell r="B700"/>
          <cell r="C700"/>
          <cell r="D700"/>
          <cell r="E700"/>
          <cell r="F700"/>
          <cell r="G700"/>
          <cell r="H700"/>
          <cell r="I700"/>
          <cell r="J700"/>
          <cell r="K700"/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</row>
        <row r="701">
          <cell r="B701"/>
          <cell r="C701"/>
          <cell r="D701"/>
          <cell r="E701"/>
          <cell r="F701"/>
          <cell r="G701"/>
          <cell r="H701"/>
          <cell r="I701"/>
          <cell r="J701"/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</row>
        <row r="702">
          <cell r="B702"/>
          <cell r="C702"/>
          <cell r="D702"/>
          <cell r="E702"/>
          <cell r="F702"/>
          <cell r="G702"/>
          <cell r="H702"/>
          <cell r="I702"/>
          <cell r="J702"/>
          <cell r="K702"/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</row>
        <row r="703">
          <cell r="B703"/>
          <cell r="C703"/>
          <cell r="D703"/>
          <cell r="E703"/>
          <cell r="F703"/>
          <cell r="G703"/>
          <cell r="H703"/>
          <cell r="I703"/>
          <cell r="J703"/>
          <cell r="K703"/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</row>
        <row r="704">
          <cell r="B704"/>
          <cell r="C704"/>
          <cell r="D704"/>
          <cell r="E704"/>
          <cell r="F704"/>
          <cell r="G704"/>
          <cell r="H704"/>
          <cell r="I704"/>
          <cell r="J704"/>
          <cell r="K704"/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</row>
        <row r="705">
          <cell r="B705"/>
          <cell r="C705"/>
          <cell r="D705"/>
          <cell r="E705"/>
          <cell r="F705"/>
          <cell r="G705"/>
          <cell r="H705"/>
          <cell r="I705"/>
          <cell r="J705"/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</row>
        <row r="706">
          <cell r="B706"/>
          <cell r="C706"/>
          <cell r="D706"/>
          <cell r="E706"/>
          <cell r="F706"/>
          <cell r="G706"/>
          <cell r="H706"/>
          <cell r="I706"/>
          <cell r="J706"/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</row>
        <row r="707">
          <cell r="B707"/>
          <cell r="C707"/>
          <cell r="D707"/>
          <cell r="E707"/>
          <cell r="F707"/>
          <cell r="G707"/>
          <cell r="H707"/>
          <cell r="I707"/>
          <cell r="J707"/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</row>
        <row r="708">
          <cell r="B708"/>
          <cell r="C708"/>
          <cell r="D708"/>
          <cell r="E708"/>
          <cell r="F708"/>
          <cell r="G708"/>
          <cell r="H708"/>
          <cell r="I708"/>
          <cell r="J708"/>
          <cell r="K708"/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</row>
        <row r="709">
          <cell r="B709"/>
          <cell r="C709"/>
          <cell r="D709"/>
          <cell r="E709"/>
          <cell r="F709"/>
          <cell r="G709"/>
          <cell r="H709"/>
          <cell r="I709"/>
          <cell r="J709"/>
          <cell r="K709"/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</row>
        <row r="710">
          <cell r="B710"/>
          <cell r="C710"/>
          <cell r="D710"/>
          <cell r="E710"/>
          <cell r="F710"/>
          <cell r="G710"/>
          <cell r="H710"/>
          <cell r="I710"/>
          <cell r="J710"/>
          <cell r="K710"/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</row>
        <row r="711">
          <cell r="B711"/>
          <cell r="C711"/>
          <cell r="D711"/>
          <cell r="E711"/>
          <cell r="F711"/>
          <cell r="G711"/>
          <cell r="H711"/>
          <cell r="I711"/>
          <cell r="J711"/>
          <cell r="K711"/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</row>
        <row r="712">
          <cell r="B712"/>
          <cell r="C712"/>
          <cell r="D712"/>
          <cell r="E712"/>
          <cell r="F712"/>
          <cell r="G712"/>
          <cell r="H712"/>
          <cell r="I712"/>
          <cell r="J712"/>
          <cell r="K712"/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</row>
        <row r="713">
          <cell r="B713"/>
          <cell r="C713"/>
          <cell r="D713"/>
          <cell r="E713"/>
          <cell r="F713"/>
          <cell r="G713"/>
          <cell r="H713"/>
          <cell r="I713"/>
          <cell r="J713"/>
          <cell r="K713"/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</row>
        <row r="714">
          <cell r="B714"/>
          <cell r="C714"/>
          <cell r="D714"/>
          <cell r="E714"/>
          <cell r="F714"/>
          <cell r="G714"/>
          <cell r="H714"/>
          <cell r="I714"/>
          <cell r="J714"/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</row>
        <row r="715">
          <cell r="B715"/>
          <cell r="C715"/>
          <cell r="D715"/>
          <cell r="E715"/>
          <cell r="F715"/>
          <cell r="G715"/>
          <cell r="H715"/>
          <cell r="I715"/>
          <cell r="J715"/>
          <cell r="K715"/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</row>
        <row r="716">
          <cell r="B716"/>
          <cell r="C716"/>
          <cell r="D716"/>
          <cell r="E716"/>
          <cell r="F716"/>
          <cell r="G716"/>
          <cell r="H716"/>
          <cell r="I716"/>
          <cell r="J716"/>
          <cell r="K716"/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</row>
        <row r="717">
          <cell r="B717"/>
          <cell r="C717"/>
          <cell r="D717"/>
          <cell r="E717"/>
          <cell r="F717"/>
          <cell r="G717"/>
          <cell r="H717"/>
          <cell r="I717"/>
          <cell r="J717"/>
          <cell r="K717"/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</row>
        <row r="718">
          <cell r="B718"/>
          <cell r="C718"/>
          <cell r="D718"/>
          <cell r="E718"/>
          <cell r="F718"/>
          <cell r="G718"/>
          <cell r="H718"/>
          <cell r="I718"/>
          <cell r="J718"/>
          <cell r="K718"/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</row>
        <row r="719">
          <cell r="B719"/>
          <cell r="C719"/>
          <cell r="D719"/>
          <cell r="E719"/>
          <cell r="F719"/>
          <cell r="G719"/>
          <cell r="H719"/>
          <cell r="I719"/>
          <cell r="J719"/>
          <cell r="K719"/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</row>
        <row r="720">
          <cell r="B720"/>
          <cell r="C720"/>
          <cell r="D720"/>
          <cell r="E720"/>
          <cell r="F720"/>
          <cell r="G720"/>
          <cell r="H720"/>
          <cell r="I720"/>
          <cell r="J720"/>
          <cell r="K720"/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</row>
        <row r="721">
          <cell r="B721"/>
          <cell r="C721"/>
          <cell r="D721"/>
          <cell r="E721"/>
          <cell r="F721"/>
          <cell r="G721"/>
          <cell r="H721"/>
          <cell r="I721"/>
          <cell r="J721"/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</row>
        <row r="722">
          <cell r="B722"/>
          <cell r="C722"/>
          <cell r="D722"/>
          <cell r="E722"/>
          <cell r="F722"/>
          <cell r="G722"/>
          <cell r="H722"/>
          <cell r="I722"/>
          <cell r="J722"/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</row>
        <row r="723">
          <cell r="B723"/>
          <cell r="C723"/>
          <cell r="D723"/>
          <cell r="E723"/>
          <cell r="F723"/>
          <cell r="G723"/>
          <cell r="H723"/>
          <cell r="I723"/>
          <cell r="J723"/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</row>
        <row r="724">
          <cell r="B724"/>
          <cell r="C724"/>
          <cell r="D724"/>
          <cell r="E724"/>
          <cell r="F724"/>
          <cell r="G724"/>
          <cell r="H724"/>
          <cell r="I724"/>
          <cell r="J724"/>
          <cell r="K724"/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</row>
        <row r="725">
          <cell r="B725"/>
          <cell r="C725"/>
          <cell r="D725"/>
          <cell r="E725"/>
          <cell r="F725"/>
          <cell r="G725"/>
          <cell r="H725"/>
          <cell r="I725"/>
          <cell r="J725"/>
          <cell r="K725"/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</row>
        <row r="726">
          <cell r="B726"/>
          <cell r="C726"/>
          <cell r="D726"/>
          <cell r="E726"/>
          <cell r="F726"/>
          <cell r="G726"/>
          <cell r="H726"/>
          <cell r="I726"/>
          <cell r="J726"/>
          <cell r="K726"/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</row>
        <row r="727">
          <cell r="B727"/>
          <cell r="C727"/>
          <cell r="D727"/>
          <cell r="E727"/>
          <cell r="F727"/>
          <cell r="G727"/>
          <cell r="H727"/>
          <cell r="I727"/>
          <cell r="J727"/>
          <cell r="K727"/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umo SEMANAL PV "/>
      <sheetName val="RECETAS"/>
      <sheetName val="PEDIR"/>
      <sheetName val="CONSUMO DIA PV"/>
      <sheetName val="Stock Bodegas"/>
      <sheetName val="Base Transferencia"/>
      <sheetName val="CONSUMO $"/>
      <sheetName val="Base Stock"/>
      <sheetName val="Calendario"/>
      <sheetName val="Base Categoria"/>
      <sheetName val="lef time"/>
      <sheetName val="NO ACTIVOS "/>
      <sheetName val="PROVEEDOR"/>
      <sheetName val="DN PEDIDOS"/>
      <sheetName val="DN LLEGO"/>
      <sheetName val="POR LLEGAR"/>
      <sheetName val="PEDIDOS"/>
      <sheetName val="DN CONSUMOS"/>
      <sheetName val="CONSUMOS"/>
      <sheetName val="Hoja1"/>
      <sheetName val="Hoja2"/>
    </sheetNames>
    <sheetDataSet>
      <sheetData sheetId="0" refreshError="1">
        <row r="1">
          <cell r="B1" t="str">
            <v>PUERTO VESPUCIO</v>
          </cell>
        </row>
        <row r="2">
          <cell r="B2" t="str">
            <v>(Todas)</v>
          </cell>
        </row>
        <row r="3">
          <cell r="B3" t="str">
            <v>(Todas)</v>
          </cell>
        </row>
        <row r="4">
          <cell r="B4" t="str">
            <v>(Todas)</v>
          </cell>
        </row>
        <row r="5">
          <cell r="B5" t="str">
            <v>(Todas)</v>
          </cell>
        </row>
        <row r="6">
          <cell r="B6" t="str">
            <v>(Todas)</v>
          </cell>
        </row>
        <row r="7">
          <cell r="B7" t="str">
            <v>(Todas)</v>
          </cell>
        </row>
        <row r="11">
          <cell r="B11" t="str">
            <v xml:space="preserve">artículo  </v>
          </cell>
        </row>
        <row r="12">
          <cell r="B12">
            <v>402254</v>
          </cell>
        </row>
        <row r="13">
          <cell r="B13">
            <v>400203</v>
          </cell>
        </row>
        <row r="14">
          <cell r="B14">
            <v>400210</v>
          </cell>
        </row>
        <row r="15">
          <cell r="B15">
            <v>402263</v>
          </cell>
        </row>
        <row r="16">
          <cell r="B16">
            <v>400101</v>
          </cell>
        </row>
        <row r="17">
          <cell r="B17">
            <v>400202</v>
          </cell>
        </row>
        <row r="18">
          <cell r="B18">
            <v>400205</v>
          </cell>
        </row>
        <row r="20">
          <cell r="B20">
            <v>403393</v>
          </cell>
        </row>
        <row r="21">
          <cell r="B21">
            <v>107363</v>
          </cell>
        </row>
        <row r="22">
          <cell r="B22">
            <v>402252</v>
          </cell>
        </row>
        <row r="23">
          <cell r="B23">
            <v>403394</v>
          </cell>
        </row>
        <row r="24">
          <cell r="B24">
            <v>107362</v>
          </cell>
        </row>
        <row r="25">
          <cell r="B25">
            <v>402251</v>
          </cell>
        </row>
        <row r="26">
          <cell r="B26">
            <v>107276</v>
          </cell>
        </row>
        <row r="27">
          <cell r="B27">
            <v>402253</v>
          </cell>
        </row>
        <row r="28">
          <cell r="B28">
            <v>107364</v>
          </cell>
        </row>
        <row r="29">
          <cell r="B29">
            <v>405419</v>
          </cell>
        </row>
        <row r="30">
          <cell r="B30">
            <v>501146</v>
          </cell>
        </row>
        <row r="31">
          <cell r="B31">
            <v>107361</v>
          </cell>
        </row>
        <row r="32">
          <cell r="B32">
            <v>403310</v>
          </cell>
        </row>
        <row r="33">
          <cell r="B33">
            <v>405503</v>
          </cell>
        </row>
        <row r="34">
          <cell r="B34">
            <v>403315</v>
          </cell>
        </row>
        <row r="35">
          <cell r="B35">
            <v>107365</v>
          </cell>
        </row>
        <row r="36">
          <cell r="B36">
            <v>107367</v>
          </cell>
        </row>
        <row r="37">
          <cell r="B37">
            <v>403308</v>
          </cell>
        </row>
        <row r="38">
          <cell r="B38">
            <v>107366</v>
          </cell>
        </row>
        <row r="39">
          <cell r="B39">
            <v>405383</v>
          </cell>
        </row>
        <row r="41">
          <cell r="B41">
            <v>403395</v>
          </cell>
        </row>
        <row r="42">
          <cell r="B42">
            <v>107316</v>
          </cell>
        </row>
        <row r="43">
          <cell r="B43">
            <v>403266</v>
          </cell>
        </row>
        <row r="44">
          <cell r="B44">
            <v>405438</v>
          </cell>
        </row>
        <row r="45">
          <cell r="B45">
            <v>405583</v>
          </cell>
        </row>
        <row r="46">
          <cell r="B46">
            <v>405582</v>
          </cell>
        </row>
        <row r="47">
          <cell r="B47">
            <v>405696</v>
          </cell>
        </row>
        <row r="48">
          <cell r="B48">
            <v>403100</v>
          </cell>
        </row>
        <row r="49">
          <cell r="B49">
            <v>405741</v>
          </cell>
        </row>
        <row r="50">
          <cell r="B50">
            <v>403108</v>
          </cell>
        </row>
        <row r="51">
          <cell r="B51">
            <v>405739</v>
          </cell>
        </row>
        <row r="52">
          <cell r="B52">
            <v>403101</v>
          </cell>
        </row>
        <row r="53">
          <cell r="B53">
            <v>405740</v>
          </cell>
        </row>
        <row r="54">
          <cell r="B54">
            <v>403258</v>
          </cell>
        </row>
        <row r="55">
          <cell r="B55">
            <v>403015</v>
          </cell>
        </row>
        <row r="56">
          <cell r="B56">
            <v>403271</v>
          </cell>
        </row>
        <row r="57">
          <cell r="B57">
            <v>403278</v>
          </cell>
        </row>
        <row r="58">
          <cell r="B58">
            <v>107318</v>
          </cell>
        </row>
        <row r="59">
          <cell r="B59">
            <v>107292</v>
          </cell>
        </row>
        <row r="60">
          <cell r="B60">
            <v>393320</v>
          </cell>
        </row>
        <row r="61">
          <cell r="B61">
            <v>402257</v>
          </cell>
        </row>
        <row r="62">
          <cell r="B62">
            <v>393321</v>
          </cell>
        </row>
        <row r="63">
          <cell r="B63">
            <v>393322</v>
          </cell>
        </row>
        <row r="64">
          <cell r="B64">
            <v>403245</v>
          </cell>
        </row>
        <row r="65">
          <cell r="B65">
            <v>405422</v>
          </cell>
        </row>
        <row r="66">
          <cell r="B66">
            <v>403368</v>
          </cell>
        </row>
        <row r="67">
          <cell r="B67">
            <v>403373</v>
          </cell>
        </row>
        <row r="68">
          <cell r="B68">
            <v>405170</v>
          </cell>
        </row>
        <row r="69">
          <cell r="B69">
            <v>405346</v>
          </cell>
        </row>
        <row r="70">
          <cell r="B70">
            <v>405347</v>
          </cell>
        </row>
        <row r="71">
          <cell r="B71">
            <v>107357</v>
          </cell>
        </row>
        <row r="72">
          <cell r="B72">
            <v>403375</v>
          </cell>
        </row>
        <row r="74">
          <cell r="B74">
            <v>405214</v>
          </cell>
        </row>
        <row r="75">
          <cell r="B75">
            <v>107417</v>
          </cell>
        </row>
        <row r="76">
          <cell r="B76">
            <v>405570</v>
          </cell>
        </row>
        <row r="77">
          <cell r="B77">
            <v>405556</v>
          </cell>
        </row>
        <row r="78">
          <cell r="B78">
            <v>405161</v>
          </cell>
        </row>
        <row r="79">
          <cell r="B79">
            <v>405533</v>
          </cell>
        </row>
        <row r="80">
          <cell r="B80">
            <v>103612</v>
          </cell>
        </row>
        <row r="81">
          <cell r="B81">
            <v>107098</v>
          </cell>
        </row>
        <row r="82">
          <cell r="B82">
            <v>107104</v>
          </cell>
        </row>
        <row r="83">
          <cell r="B83">
            <v>107142</v>
          </cell>
        </row>
        <row r="84">
          <cell r="B84">
            <v>107209</v>
          </cell>
        </row>
        <row r="85">
          <cell r="B85">
            <v>107237</v>
          </cell>
        </row>
        <row r="86">
          <cell r="B86">
            <v>107242</v>
          </cell>
        </row>
        <row r="87">
          <cell r="B87">
            <v>107342</v>
          </cell>
        </row>
        <row r="88">
          <cell r="B88">
            <v>170179</v>
          </cell>
        </row>
        <row r="89">
          <cell r="B89">
            <v>107283</v>
          </cell>
        </row>
        <row r="91">
          <cell r="B91">
            <v>405380</v>
          </cell>
        </row>
        <row r="92">
          <cell r="B92">
            <v>405489</v>
          </cell>
        </row>
        <row r="93">
          <cell r="B93">
            <v>403338</v>
          </cell>
        </row>
        <row r="94">
          <cell r="B94">
            <v>107281</v>
          </cell>
        </row>
        <row r="95">
          <cell r="B95">
            <v>403208</v>
          </cell>
        </row>
        <row r="96">
          <cell r="B96">
            <v>405635</v>
          </cell>
        </row>
        <row r="97">
          <cell r="B97">
            <v>405594</v>
          </cell>
        </row>
        <row r="98">
          <cell r="B98">
            <v>107344</v>
          </cell>
        </row>
        <row r="99">
          <cell r="B99">
            <v>403231</v>
          </cell>
        </row>
        <row r="100">
          <cell r="B100">
            <v>405375</v>
          </cell>
        </row>
        <row r="101">
          <cell r="B101">
            <v>405283</v>
          </cell>
        </row>
        <row r="102">
          <cell r="B102">
            <v>405284</v>
          </cell>
        </row>
        <row r="103">
          <cell r="B103">
            <v>405444</v>
          </cell>
        </row>
        <row r="104">
          <cell r="B104">
            <v>405445</v>
          </cell>
        </row>
        <row r="105">
          <cell r="B105">
            <v>405501</v>
          </cell>
        </row>
        <row r="106">
          <cell r="B106">
            <v>403219</v>
          </cell>
        </row>
        <row r="107">
          <cell r="B107">
            <v>403225</v>
          </cell>
        </row>
        <row r="108">
          <cell r="B108">
            <v>107345</v>
          </cell>
        </row>
        <row r="109">
          <cell r="B109">
            <v>405226</v>
          </cell>
        </row>
        <row r="110">
          <cell r="B110">
            <v>403244</v>
          </cell>
        </row>
        <row r="111">
          <cell r="B111">
            <v>405227</v>
          </cell>
        </row>
        <row r="112">
          <cell r="B112">
            <v>403248</v>
          </cell>
        </row>
        <row r="113">
          <cell r="B113">
            <v>107300</v>
          </cell>
        </row>
        <row r="114">
          <cell r="B114">
            <v>405374</v>
          </cell>
        </row>
        <row r="115">
          <cell r="B115">
            <v>107339</v>
          </cell>
        </row>
        <row r="116">
          <cell r="B116">
            <v>403249</v>
          </cell>
        </row>
        <row r="117">
          <cell r="B117">
            <v>403210</v>
          </cell>
        </row>
        <row r="118">
          <cell r="B118">
            <v>405278</v>
          </cell>
        </row>
        <row r="119">
          <cell r="B119">
            <v>403251</v>
          </cell>
        </row>
        <row r="120">
          <cell r="B120">
            <v>107402</v>
          </cell>
        </row>
        <row r="122">
          <cell r="B122">
            <v>404718</v>
          </cell>
        </row>
        <row r="123">
          <cell r="B123">
            <v>404720</v>
          </cell>
        </row>
        <row r="124">
          <cell r="B124">
            <v>405461</v>
          </cell>
        </row>
        <row r="125">
          <cell r="B125">
            <v>404733</v>
          </cell>
        </row>
        <row r="126">
          <cell r="B126">
            <v>404748</v>
          </cell>
        </row>
        <row r="127">
          <cell r="B127">
            <v>405103</v>
          </cell>
        </row>
        <row r="128">
          <cell r="B128">
            <v>405159</v>
          </cell>
        </row>
        <row r="129">
          <cell r="B129">
            <v>405160</v>
          </cell>
        </row>
        <row r="130">
          <cell r="B130">
            <v>404735</v>
          </cell>
        </row>
        <row r="131">
          <cell r="B131">
            <v>405199</v>
          </cell>
        </row>
        <row r="132">
          <cell r="B132">
            <v>405354</v>
          </cell>
        </row>
        <row r="133">
          <cell r="B133">
            <v>405360</v>
          </cell>
        </row>
        <row r="134">
          <cell r="B134">
            <v>405356</v>
          </cell>
        </row>
        <row r="135">
          <cell r="B135">
            <v>405357</v>
          </cell>
        </row>
        <row r="136">
          <cell r="B136">
            <v>405479</v>
          </cell>
        </row>
        <row r="137">
          <cell r="B137">
            <v>405049</v>
          </cell>
        </row>
        <row r="138">
          <cell r="B138">
            <v>405493</v>
          </cell>
        </row>
        <row r="139">
          <cell r="B139">
            <v>405494</v>
          </cell>
        </row>
        <row r="140">
          <cell r="B140">
            <v>405495</v>
          </cell>
        </row>
        <row r="141">
          <cell r="B141">
            <v>405497</v>
          </cell>
        </row>
        <row r="142">
          <cell r="B142">
            <v>405498</v>
          </cell>
        </row>
        <row r="143">
          <cell r="B143">
            <v>405721</v>
          </cell>
        </row>
        <row r="144">
          <cell r="B144">
            <v>405717</v>
          </cell>
        </row>
        <row r="145">
          <cell r="B145">
            <v>405709</v>
          </cell>
        </row>
        <row r="146">
          <cell r="B146">
            <v>405720</v>
          </cell>
        </row>
        <row r="147">
          <cell r="B147">
            <v>405714</v>
          </cell>
        </row>
        <row r="148">
          <cell r="B148">
            <v>405713</v>
          </cell>
        </row>
        <row r="149">
          <cell r="B149">
            <v>405718</v>
          </cell>
        </row>
        <row r="150">
          <cell r="B150">
            <v>405722</v>
          </cell>
        </row>
        <row r="151">
          <cell r="B151">
            <v>405712</v>
          </cell>
        </row>
        <row r="152">
          <cell r="B152">
            <v>405719</v>
          </cell>
        </row>
        <row r="153">
          <cell r="B153">
            <v>405733</v>
          </cell>
        </row>
        <row r="154">
          <cell r="B154">
            <v>405734</v>
          </cell>
        </row>
        <row r="155">
          <cell r="B155">
            <v>405736</v>
          </cell>
        </row>
        <row r="156">
          <cell r="B156">
            <v>405737</v>
          </cell>
        </row>
        <row r="157">
          <cell r="B157">
            <v>405735</v>
          </cell>
        </row>
        <row r="158">
          <cell r="B158">
            <v>405738</v>
          </cell>
        </row>
        <row r="159">
          <cell r="B159">
            <v>405711</v>
          </cell>
        </row>
        <row r="160">
          <cell r="B160">
            <v>405710</v>
          </cell>
        </row>
        <row r="161">
          <cell r="B161">
            <v>405704</v>
          </cell>
        </row>
        <row r="162">
          <cell r="B162">
            <v>405773</v>
          </cell>
        </row>
        <row r="163">
          <cell r="B163">
            <v>404755</v>
          </cell>
        </row>
        <row r="164">
          <cell r="B164">
            <v>405496</v>
          </cell>
        </row>
        <row r="165">
          <cell r="B165">
            <v>107418</v>
          </cell>
        </row>
        <row r="166">
          <cell r="B166">
            <v>107419</v>
          </cell>
        </row>
        <row r="167">
          <cell r="B167">
            <v>405492</v>
          </cell>
        </row>
        <row r="168">
          <cell r="B168">
            <v>404756</v>
          </cell>
        </row>
        <row r="169">
          <cell r="B169">
            <v>404757</v>
          </cell>
        </row>
        <row r="170">
          <cell r="B170">
            <v>404719</v>
          </cell>
        </row>
        <row r="171">
          <cell r="B171">
            <v>404731</v>
          </cell>
        </row>
        <row r="172">
          <cell r="B172">
            <v>405572</v>
          </cell>
        </row>
        <row r="173">
          <cell r="B173">
            <v>405571</v>
          </cell>
        </row>
        <row r="174">
          <cell r="B174">
            <v>404744</v>
          </cell>
        </row>
        <row r="175">
          <cell r="B175">
            <v>404722</v>
          </cell>
        </row>
        <row r="176">
          <cell r="B176">
            <v>405172</v>
          </cell>
        </row>
        <row r="177">
          <cell r="B177">
            <v>405182</v>
          </cell>
        </row>
        <row r="178">
          <cell r="B178">
            <v>405186</v>
          </cell>
        </row>
        <row r="179">
          <cell r="B179">
            <v>405671</v>
          </cell>
        </row>
        <row r="180">
          <cell r="B180">
            <v>405189</v>
          </cell>
        </row>
        <row r="181">
          <cell r="B181">
            <v>405355</v>
          </cell>
        </row>
        <row r="182">
          <cell r="B182">
            <v>405216</v>
          </cell>
        </row>
        <row r="183">
          <cell r="B183">
            <v>405312</v>
          </cell>
        </row>
        <row r="184">
          <cell r="B184">
            <v>405191</v>
          </cell>
        </row>
        <row r="185">
          <cell r="B185">
            <v>405193</v>
          </cell>
        </row>
        <row r="186">
          <cell r="B186">
            <v>405198</v>
          </cell>
        </row>
        <row r="187">
          <cell r="B187">
            <v>405111</v>
          </cell>
        </row>
        <row r="188">
          <cell r="B188">
            <v>404749</v>
          </cell>
        </row>
        <row r="189">
          <cell r="B189">
            <v>405174</v>
          </cell>
        </row>
        <row r="190">
          <cell r="B190">
            <v>405176</v>
          </cell>
        </row>
        <row r="191">
          <cell r="B191">
            <v>405178</v>
          </cell>
        </row>
        <row r="192">
          <cell r="B192">
            <v>405180</v>
          </cell>
        </row>
        <row r="193">
          <cell r="B193">
            <v>405187</v>
          </cell>
        </row>
        <row r="194">
          <cell r="B194">
            <v>107298</v>
          </cell>
        </row>
        <row r="195">
          <cell r="B195">
            <v>107327</v>
          </cell>
        </row>
        <row r="196">
          <cell r="B196">
            <v>405376</v>
          </cell>
        </row>
        <row r="197">
          <cell r="B197">
            <v>405377</v>
          </cell>
        </row>
        <row r="198">
          <cell r="B198">
            <v>405353</v>
          </cell>
        </row>
        <row r="199">
          <cell r="B199">
            <v>405378</v>
          </cell>
        </row>
        <row r="200">
          <cell r="B200">
            <v>405402</v>
          </cell>
        </row>
        <row r="201">
          <cell r="B201">
            <v>405310</v>
          </cell>
        </row>
        <row r="202">
          <cell r="B202">
            <v>107407</v>
          </cell>
        </row>
        <row r="203">
          <cell r="B203">
            <v>107408</v>
          </cell>
        </row>
        <row r="204">
          <cell r="B204">
            <v>107409</v>
          </cell>
        </row>
        <row r="205">
          <cell r="B205">
            <v>107410</v>
          </cell>
        </row>
        <row r="206">
          <cell r="B206">
            <v>107411</v>
          </cell>
        </row>
        <row r="207">
          <cell r="B207">
            <v>107412</v>
          </cell>
        </row>
        <row r="208">
          <cell r="B208">
            <v>107413</v>
          </cell>
        </row>
        <row r="209">
          <cell r="B209">
            <v>107414</v>
          </cell>
        </row>
        <row r="211">
          <cell r="B211">
            <v>401010</v>
          </cell>
        </row>
        <row r="212">
          <cell r="B212">
            <v>401012</v>
          </cell>
        </row>
        <row r="213">
          <cell r="B213">
            <v>401013</v>
          </cell>
        </row>
        <row r="214">
          <cell r="B214">
            <v>401015</v>
          </cell>
        </row>
        <row r="215">
          <cell r="B215">
            <v>401011</v>
          </cell>
        </row>
        <row r="216">
          <cell r="B216">
            <v>401014</v>
          </cell>
        </row>
        <row r="217">
          <cell r="B217">
            <v>401019</v>
          </cell>
        </row>
        <row r="218">
          <cell r="B218">
            <v>402111</v>
          </cell>
        </row>
        <row r="220">
          <cell r="B220">
            <v>405285</v>
          </cell>
        </row>
        <row r="221">
          <cell r="B221">
            <v>107354</v>
          </cell>
        </row>
        <row r="222">
          <cell r="B222">
            <v>402132</v>
          </cell>
        </row>
        <row r="223">
          <cell r="B223">
            <v>107306</v>
          </cell>
        </row>
        <row r="224">
          <cell r="B224">
            <v>107317</v>
          </cell>
        </row>
        <row r="225">
          <cell r="B225">
            <v>402131</v>
          </cell>
        </row>
        <row r="226">
          <cell r="B226">
            <v>107368</v>
          </cell>
        </row>
        <row r="227">
          <cell r="B227">
            <v>107277</v>
          </cell>
        </row>
        <row r="229">
          <cell r="B229">
            <v>107183</v>
          </cell>
        </row>
        <row r="230">
          <cell r="B230">
            <v>405574</v>
          </cell>
        </row>
        <row r="231">
          <cell r="B231">
            <v>107401</v>
          </cell>
        </row>
        <row r="232">
          <cell r="B232">
            <v>107313</v>
          </cell>
        </row>
        <row r="233">
          <cell r="B233">
            <v>107125</v>
          </cell>
        </row>
        <row r="234">
          <cell r="B234">
            <v>107102</v>
          </cell>
        </row>
        <row r="235">
          <cell r="B235">
            <v>107124</v>
          </cell>
        </row>
        <row r="236">
          <cell r="B236">
            <v>107144</v>
          </cell>
        </row>
        <row r="237">
          <cell r="B237">
            <v>107240</v>
          </cell>
        </row>
        <row r="238">
          <cell r="B238">
            <v>107346</v>
          </cell>
        </row>
        <row r="239">
          <cell r="B239">
            <v>107282</v>
          </cell>
        </row>
        <row r="240">
          <cell r="B240">
            <v>107123</v>
          </cell>
        </row>
        <row r="241">
          <cell r="B241">
            <v>405500</v>
          </cell>
        </row>
        <row r="242">
          <cell r="B242">
            <v>107324</v>
          </cell>
        </row>
        <row r="243">
          <cell r="B243">
            <v>107001</v>
          </cell>
        </row>
        <row r="244">
          <cell r="B244">
            <v>107314</v>
          </cell>
        </row>
        <row r="245">
          <cell r="B245">
            <v>107117</v>
          </cell>
        </row>
        <row r="246">
          <cell r="B246">
            <v>107348</v>
          </cell>
        </row>
        <row r="248">
          <cell r="B248">
            <v>107289</v>
          </cell>
        </row>
        <row r="249">
          <cell r="B249">
            <v>300004</v>
          </cell>
        </row>
        <row r="250">
          <cell r="B250">
            <v>107210</v>
          </cell>
        </row>
        <row r="251">
          <cell r="B251">
            <v>405345</v>
          </cell>
        </row>
        <row r="252">
          <cell r="B252">
            <v>393253</v>
          </cell>
        </row>
        <row r="253">
          <cell r="B253">
            <v>393253</v>
          </cell>
        </row>
        <row r="254">
          <cell r="B254">
            <v>405658</v>
          </cell>
        </row>
        <row r="255">
          <cell r="B255">
            <v>362073</v>
          </cell>
        </row>
        <row r="256">
          <cell r="B256">
            <v>362105</v>
          </cell>
        </row>
        <row r="257">
          <cell r="B257">
            <v>405645</v>
          </cell>
        </row>
        <row r="258">
          <cell r="B258">
            <v>430440</v>
          </cell>
        </row>
        <row r="259">
          <cell r="B259">
            <v>353009</v>
          </cell>
        </row>
        <row r="260">
          <cell r="B260">
            <v>353009</v>
          </cell>
        </row>
        <row r="261">
          <cell r="B261">
            <v>362029</v>
          </cell>
        </row>
        <row r="262">
          <cell r="B262">
            <v>362106</v>
          </cell>
        </row>
        <row r="263">
          <cell r="B263">
            <v>393040</v>
          </cell>
        </row>
        <row r="264">
          <cell r="B264">
            <v>393222</v>
          </cell>
        </row>
        <row r="265">
          <cell r="B265">
            <v>107112</v>
          </cell>
        </row>
        <row r="266">
          <cell r="B266">
            <v>107321</v>
          </cell>
        </row>
        <row r="267">
          <cell r="B267">
            <v>405344</v>
          </cell>
        </row>
        <row r="268">
          <cell r="B268">
            <v>362099</v>
          </cell>
        </row>
        <row r="270">
          <cell r="B270">
            <v>107172</v>
          </cell>
        </row>
        <row r="271">
          <cell r="B271">
            <v>170175</v>
          </cell>
        </row>
        <row r="272">
          <cell r="B272">
            <v>107129</v>
          </cell>
        </row>
        <row r="273">
          <cell r="B273">
            <v>403407</v>
          </cell>
        </row>
        <row r="274">
          <cell r="B274">
            <v>107193</v>
          </cell>
        </row>
        <row r="275">
          <cell r="B275">
            <v>403408</v>
          </cell>
        </row>
        <row r="276">
          <cell r="B276">
            <v>107131</v>
          </cell>
        </row>
        <row r="277">
          <cell r="B277">
            <v>405558</v>
          </cell>
        </row>
        <row r="278">
          <cell r="B278">
            <v>405612</v>
          </cell>
        </row>
        <row r="279">
          <cell r="B279">
            <v>405491</v>
          </cell>
        </row>
        <row r="280">
          <cell r="B280">
            <v>405436</v>
          </cell>
        </row>
        <row r="281">
          <cell r="B281">
            <v>405524</v>
          </cell>
        </row>
        <row r="282">
          <cell r="B282">
            <v>107358</v>
          </cell>
        </row>
        <row r="283">
          <cell r="B283">
            <v>405318</v>
          </cell>
        </row>
        <row r="284">
          <cell r="B284">
            <v>107113</v>
          </cell>
        </row>
        <row r="285">
          <cell r="B285">
            <v>107157</v>
          </cell>
        </row>
        <row r="286">
          <cell r="B286">
            <v>107130</v>
          </cell>
        </row>
        <row r="287">
          <cell r="B287">
            <v>403391</v>
          </cell>
        </row>
        <row r="288">
          <cell r="B288">
            <v>107155</v>
          </cell>
        </row>
        <row r="289">
          <cell r="B289">
            <v>107158</v>
          </cell>
        </row>
        <row r="290">
          <cell r="B290">
            <v>107156</v>
          </cell>
        </row>
        <row r="291">
          <cell r="B291">
            <v>107095</v>
          </cell>
        </row>
        <row r="292">
          <cell r="B292">
            <v>107204</v>
          </cell>
        </row>
        <row r="293">
          <cell r="B293">
            <v>107263</v>
          </cell>
        </row>
        <row r="294">
          <cell r="B294">
            <v>107280</v>
          </cell>
        </row>
        <row r="295">
          <cell r="B295">
            <v>107294</v>
          </cell>
        </row>
        <row r="296">
          <cell r="B296">
            <v>107320</v>
          </cell>
        </row>
        <row r="297">
          <cell r="B297">
            <v>107359</v>
          </cell>
        </row>
        <row r="298">
          <cell r="B298">
            <v>107120</v>
          </cell>
        </row>
        <row r="299">
          <cell r="B299">
            <v>107295</v>
          </cell>
        </row>
        <row r="300">
          <cell r="B300">
            <v>170173</v>
          </cell>
        </row>
        <row r="301">
          <cell r="B301">
            <v>405399</v>
          </cell>
        </row>
        <row r="303">
          <cell r="B303">
            <v>100303</v>
          </cell>
        </row>
        <row r="304">
          <cell r="B304">
            <v>107259</v>
          </cell>
        </row>
        <row r="305">
          <cell r="B305">
            <v>107278</v>
          </cell>
        </row>
        <row r="306">
          <cell r="B306">
            <v>107262</v>
          </cell>
        </row>
        <row r="307">
          <cell r="B307">
            <v>201103</v>
          </cell>
        </row>
        <row r="308">
          <cell r="B308">
            <v>107260</v>
          </cell>
        </row>
        <row r="309">
          <cell r="B309">
            <v>501147</v>
          </cell>
        </row>
        <row r="311">
          <cell r="B311">
            <v>405771</v>
          </cell>
        </row>
        <row r="313">
          <cell r="B313">
            <v>404309</v>
          </cell>
        </row>
        <row r="314">
          <cell r="B314">
            <v>107249</v>
          </cell>
        </row>
        <row r="315">
          <cell r="B315">
            <v>405541</v>
          </cell>
        </row>
        <row r="316">
          <cell r="B316">
            <v>405730</v>
          </cell>
        </row>
        <row r="317">
          <cell r="B317">
            <v>405728</v>
          </cell>
        </row>
        <row r="318">
          <cell r="B318">
            <v>405731</v>
          </cell>
        </row>
        <row r="319">
          <cell r="B319">
            <v>405732</v>
          </cell>
        </row>
        <row r="320">
          <cell r="B320">
            <v>405311</v>
          </cell>
        </row>
        <row r="321">
          <cell r="B321">
            <v>405133</v>
          </cell>
        </row>
        <row r="322">
          <cell r="B322">
            <v>405134</v>
          </cell>
        </row>
        <row r="323">
          <cell r="B323">
            <v>405508</v>
          </cell>
        </row>
        <row r="324">
          <cell r="B324">
            <v>107349</v>
          </cell>
        </row>
        <row r="325">
          <cell r="B325">
            <v>405531</v>
          </cell>
        </row>
        <row r="326">
          <cell r="B326">
            <v>107221</v>
          </cell>
        </row>
        <row r="327">
          <cell r="B327">
            <v>405332</v>
          </cell>
        </row>
        <row r="328">
          <cell r="B328">
            <v>107108</v>
          </cell>
        </row>
        <row r="329">
          <cell r="B329">
            <v>107127</v>
          </cell>
        </row>
        <row r="330">
          <cell r="B330">
            <v>107197</v>
          </cell>
        </row>
        <row r="331">
          <cell r="B331">
            <v>107325</v>
          </cell>
        </row>
        <row r="332">
          <cell r="B332">
            <v>107296</v>
          </cell>
        </row>
        <row r="333">
          <cell r="B333">
            <v>101002</v>
          </cell>
        </row>
        <row r="334">
          <cell r="B334">
            <v>107406</v>
          </cell>
        </row>
        <row r="335">
          <cell r="B335">
            <v>107356</v>
          </cell>
        </row>
        <row r="337">
          <cell r="B337">
            <v>104001</v>
          </cell>
        </row>
        <row r="338">
          <cell r="B338">
            <v>405418</v>
          </cell>
        </row>
        <row r="339">
          <cell r="B339">
            <v>104003</v>
          </cell>
        </row>
        <row r="340">
          <cell r="B340">
            <v>104004</v>
          </cell>
        </row>
        <row r="341">
          <cell r="B341">
            <v>104006</v>
          </cell>
        </row>
        <row r="343">
          <cell r="B343">
            <v>100105</v>
          </cell>
        </row>
        <row r="344">
          <cell r="B344">
            <v>100207</v>
          </cell>
        </row>
        <row r="345">
          <cell r="B345">
            <v>100221</v>
          </cell>
        </row>
        <row r="346">
          <cell r="B346">
            <v>402124</v>
          </cell>
        </row>
        <row r="347">
          <cell r="B347">
            <v>402128</v>
          </cell>
        </row>
        <row r="348">
          <cell r="B348">
            <v>107416</v>
          </cell>
        </row>
        <row r="349">
          <cell r="B349">
            <v>100206</v>
          </cell>
        </row>
        <row r="350">
          <cell r="B350">
            <v>405528</v>
          </cell>
        </row>
        <row r="351">
          <cell r="B351">
            <v>405563</v>
          </cell>
        </row>
        <row r="352">
          <cell r="B352">
            <v>405562</v>
          </cell>
        </row>
        <row r="353">
          <cell r="B353">
            <v>405573</v>
          </cell>
        </row>
        <row r="354">
          <cell r="B354">
            <v>405564</v>
          </cell>
        </row>
        <row r="355">
          <cell r="B355">
            <v>170177</v>
          </cell>
        </row>
        <row r="356">
          <cell r="B356">
            <v>403330</v>
          </cell>
        </row>
        <row r="357">
          <cell r="B357">
            <v>403331</v>
          </cell>
        </row>
        <row r="358">
          <cell r="B358">
            <v>100236</v>
          </cell>
        </row>
        <row r="359">
          <cell r="B359">
            <v>102237</v>
          </cell>
        </row>
        <row r="360">
          <cell r="B360">
            <v>102238</v>
          </cell>
        </row>
        <row r="361">
          <cell r="B361">
            <v>102239</v>
          </cell>
        </row>
        <row r="362">
          <cell r="B362">
            <v>107301</v>
          </cell>
        </row>
        <row r="363">
          <cell r="B363">
            <v>107311</v>
          </cell>
        </row>
        <row r="364">
          <cell r="B364">
            <v>100200</v>
          </cell>
        </row>
        <row r="365">
          <cell r="B365">
            <v>170178</v>
          </cell>
        </row>
        <row r="367">
          <cell r="B367">
            <v>107109</v>
          </cell>
        </row>
        <row r="368">
          <cell r="B368">
            <v>107147</v>
          </cell>
        </row>
        <row r="369">
          <cell r="B369">
            <v>107400</v>
          </cell>
        </row>
        <row r="371">
          <cell r="B371">
            <v>405499</v>
          </cell>
        </row>
        <row r="372">
          <cell r="B372">
            <v>405638</v>
          </cell>
        </row>
        <row r="373">
          <cell r="B373">
            <v>405745</v>
          </cell>
        </row>
        <row r="374">
          <cell r="B374">
            <v>103006</v>
          </cell>
        </row>
        <row r="375">
          <cell r="B375">
            <v>103007</v>
          </cell>
        </row>
        <row r="376">
          <cell r="B376">
            <v>107331</v>
          </cell>
        </row>
        <row r="378">
          <cell r="B378">
            <v>405685</v>
          </cell>
        </row>
        <row r="379">
          <cell r="B379">
            <v>107226</v>
          </cell>
        </row>
        <row r="380">
          <cell r="B380">
            <v>201005</v>
          </cell>
        </row>
        <row r="381">
          <cell r="B381">
            <v>105001</v>
          </cell>
        </row>
        <row r="382">
          <cell r="B382">
            <v>105002</v>
          </cell>
        </row>
        <row r="383">
          <cell r="B383">
            <v>107287</v>
          </cell>
        </row>
        <row r="385">
          <cell r="B385">
            <v>405320</v>
          </cell>
        </row>
        <row r="386">
          <cell r="B386">
            <v>405465</v>
          </cell>
        </row>
        <row r="387">
          <cell r="B387">
            <v>405593</v>
          </cell>
        </row>
        <row r="388">
          <cell r="B388">
            <v>405330</v>
          </cell>
        </row>
        <row r="389">
          <cell r="B389">
            <v>107404</v>
          </cell>
        </row>
        <row r="390">
          <cell r="B390">
            <v>405446</v>
          </cell>
        </row>
        <row r="391">
          <cell r="B391">
            <v>405331</v>
          </cell>
        </row>
        <row r="393">
          <cell r="B393">
            <v>402255</v>
          </cell>
        </row>
        <row r="394">
          <cell r="B394">
            <v>405336</v>
          </cell>
        </row>
        <row r="396">
          <cell r="B396">
            <v>103105</v>
          </cell>
        </row>
        <row r="397">
          <cell r="B397">
            <v>103104</v>
          </cell>
        </row>
        <row r="399">
          <cell r="B399">
            <v>107176</v>
          </cell>
        </row>
        <row r="400">
          <cell r="B400">
            <v>170174</v>
          </cell>
        </row>
        <row r="401">
          <cell r="B401">
            <v>405398</v>
          </cell>
        </row>
        <row r="403">
          <cell r="B403">
            <v>402130</v>
          </cell>
        </row>
        <row r="404">
          <cell r="B404">
            <v>405543</v>
          </cell>
        </row>
        <row r="405">
          <cell r="B405">
            <v>107351</v>
          </cell>
        </row>
        <row r="406">
          <cell r="B406">
            <v>106302</v>
          </cell>
        </row>
        <row r="407">
          <cell r="B407">
            <v>106401</v>
          </cell>
        </row>
        <row r="408">
          <cell r="B408">
            <v>107134</v>
          </cell>
        </row>
        <row r="409">
          <cell r="B409">
            <v>107148</v>
          </cell>
        </row>
        <row r="410">
          <cell r="B410">
            <v>107326</v>
          </cell>
        </row>
        <row r="411">
          <cell r="B411">
            <v>107225</v>
          </cell>
        </row>
        <row r="413">
          <cell r="B413">
            <v>405507</v>
          </cell>
        </row>
        <row r="414">
          <cell r="B414">
            <v>405506</v>
          </cell>
        </row>
        <row r="415">
          <cell r="B415">
            <v>107335</v>
          </cell>
        </row>
        <row r="416">
          <cell r="B416">
            <v>405333</v>
          </cell>
        </row>
        <row r="417">
          <cell r="B417">
            <v>405334</v>
          </cell>
        </row>
        <row r="418">
          <cell r="B418">
            <v>107336</v>
          </cell>
        </row>
        <row r="419">
          <cell r="B419">
            <v>107343</v>
          </cell>
        </row>
        <row r="421">
          <cell r="B421">
            <v>201002</v>
          </cell>
        </row>
        <row r="423">
          <cell r="B423">
            <v>403269</v>
          </cell>
        </row>
        <row r="424">
          <cell r="B424">
            <v>102103</v>
          </cell>
        </row>
        <row r="426">
          <cell r="B426">
            <v>405539</v>
          </cell>
        </row>
        <row r="428">
          <cell r="B428">
            <v>405304</v>
          </cell>
        </row>
        <row r="429">
          <cell r="B429">
            <v>405421</v>
          </cell>
        </row>
        <row r="431">
          <cell r="B431">
            <v>107159</v>
          </cell>
        </row>
        <row r="432">
          <cell r="B432">
            <v>107160</v>
          </cell>
        </row>
        <row r="434">
          <cell r="B434">
            <v>107174</v>
          </cell>
        </row>
        <row r="435">
          <cell r="B435">
            <v>107164</v>
          </cell>
        </row>
        <row r="443">
          <cell r="B443" t="str">
            <v xml:space="preserve">maesta con # productos activos en las 3 plantas que no se repitan </v>
          </cell>
        </row>
        <row r="444">
          <cell r="B444" t="str">
            <v xml:space="preserve"># se comprarn por plantas </v>
          </cell>
        </row>
        <row r="445">
          <cell r="B445" t="str">
            <v xml:space="preserve"># se repiten en enea en pv </v>
          </cell>
        </row>
        <row r="446">
          <cell r="B446" t="str">
            <v xml:space="preserve">$ plata significa </v>
          </cell>
        </row>
        <row r="447">
          <cell r="B447" t="str">
            <v># cuantos se entregan directos en plantas</v>
          </cell>
        </row>
        <row r="448">
          <cell r="B448" t="str">
            <v xml:space="preserve"># se compra en enea para otras plantas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ul Tramarria Levano" refreshedDate="46180.578107638888" createdVersion="8" refreshedVersion="8" minRefreshableVersion="3" recordCount="515" xr:uid="{E704BBB7-1460-4B35-8904-E4A4BD94C518}">
  <cacheSource type="worksheet">
    <worksheetSource ref="A1:L516" sheet="Hoja1"/>
  </cacheSource>
  <cacheFields count="12">
    <cacheField name="Número de artículo" numFmtId="0">
      <sharedItems containsSemiMixedTypes="0" containsString="0" containsNumber="1" containsInteger="1" minValue="100104" maxValue="501147"/>
    </cacheField>
    <cacheField name="Descripción del artículo" numFmtId="0">
      <sharedItems count="380">
        <s v="AZUCAR FLOR 5KG MEL ALIMENTOS"/>
        <s v="AZUCAR GRANULADA EGC"/>
        <s v="ALMENDRAS FILETEADAS TOSTADAS ALTO LA CRUZ"/>
        <s v="BELCOLADE AMARGO 55% PURATOS"/>
        <s v="BIZCOCHO # 20 BLANCO C/AMAPOLAS PAVESI"/>
        <s v="BIZCOCHO CARROT CAKE PAVESI"/>
        <s v="BASE DE TARTALETA SOFT BLANCA PAVESI"/>
        <s v="BASE TORTA 15PP ALTA COEXPAN"/>
        <s v="BIGOTE CHOCOLATE BLANCO 6 GRAMOS AMBROSIA"/>
        <s v="ALMENDRAS FILETEADAS EGC"/>
        <s v="BLISTER 7189 1 PASTEL DEANDES"/>
        <s v="BOLSA PEBD 40x42 CM x35 MICRAS"/>
        <s v="BOLSA DISCO HOJA 35X35 CM x35 MICRAS"/>
        <s v="BOLSA PREPICADA BANDEJA (22+60+22)104x90"/>
        <s v="BRILLO FRIO RTU PURATOS"/>
        <s v="BOLSA PREPICADA BANDEJA  100*90 COLOR AZUL ASTRA"/>
        <s v="CACAO AMARGO PURATOS"/>
        <s v="CAFE POLVO WINKLER"/>
        <s v="CAJA DE ENCOMIENDA (EN) SYCOR"/>
        <s v="CAJA  PTG AZUL 15PP ALTA SYCOR"/>
        <s v="CAJA MADRE DE PLANCHAS (PL) SYCOR"/>
        <s v="CAJA PASTELES ASTRA"/>
        <s v="CAJA PRODUCTO SECO (PS) SYCOR"/>
        <s v="CAJA PASTELES 600X325X120 ASTRA"/>
        <s v="CARAVELLA RELL FRÍO-CALIENTE AVELLANA 13 KG MASTER MARTINI"/>
        <s v="CEREZAS AL JUGO CAMPOS"/>
        <s v="CEREZAS AL JUGO DESCAROZADAS TRES ERRES"/>
        <s v="CAPSULA OVALADA N° 10 ARRIAZA"/>
        <s v="CHOCOLATE SEMI AMARGO 54% MEL"/>
        <s v="CINTA BICOLOR BNEGRO #500"/>
        <s v="CINTA NEGRA GC ZUKKER"/>
        <s v="CINTA DE EMBALAJE 72x100 SOLUTION"/>
        <s v="COBERTURA CHOCOLATE BLANCO"/>
        <s v="COBERTURA CHOCOLATES MONEDAS PURATOS"/>
        <s v="COCO RALLADO ALTO LA CRUZ"/>
        <s v="COCTEL DE FRUTA CAMPOS"/>
        <s v="COLDFIL PIE DE LIMÓN"/>
        <s v="COLORANTE ARTIFICIAL AMARILLO DUAS RODAS"/>
        <s v="COMBO 88 ALTA 12 PP LISA MOLDES PAC"/>
        <s v="COMBO 88 ALTA 12 PP MOLDES PAC"/>
        <s v="COGÑAC TRES PALOS DE 1LT"/>
        <s v="COSTA CHOCOLATE 24X140 GRS CAROZZI"/>
        <s v="CREAM CHEESE BALDE MILKAUT SANTA ROSA"/>
        <s v="CREMA AMBIANTE NATA PURATOS"/>
        <s v="CREMA CHANTYPACK PURATOS"/>
        <s v="CREMA CHOCOLATE RICHS"/>
        <s v="CREMA LACTEA SOPROLE"/>
        <s v="COVER PASTELERÍA U2 SEMIAMARGO GOTA PURATOS"/>
        <s v="CREMA PASTELERA ESPECIAL PURATOS"/>
        <s v="CREMA RELLENO SABOR NARANJA ESP. QUINTA SC 1X5 Kg"/>
        <s v="CREMA VEGETAL AMBIANTE"/>
        <s v="CREMA VEGETAL MASTER MARTINI"/>
        <s v="CREMA LACTEA DIWATTS"/>
        <s v="CREMFIL PIE DE LIMON PURATOS"/>
        <s v="CREMA WHIP TOPPIN RICH"/>
        <s v="CUPULA 170BX DEANDES"/>
        <s v="CUPULA BRAZO REINA MONSALVE"/>
        <s v="CUPULA TARTA 1025-3 MOLDES PAC"/>
        <s v="CUPULA TORTA 15 PP ALTA COEXPAN"/>
        <s v="CUPULA TORTA 15PP (98-45) MOLDESPAC"/>
        <s v="CUPULA MEDIA TORTA FOOD PACK"/>
        <s v="CURLS CHOCOLATE PURATOS"/>
        <s v="DECORCREM BLANCO 4k PURATOS"/>
        <s v="CUPULA TORTA ALTA  15PP (98-5) MOLDESPAC"/>
        <s v="DECORCREM NEGRO PURATOS"/>
        <s v="DISCO CARTON CAFE CORRUGADO 15,5CM CM ASTRA"/>
        <s v="DISCO CARTÓN CORRUGADO 19 CM EHLAN"/>
        <s v="DISCO CARTON BLANCO 19 CM PRAGGA"/>
        <s v="DISCO DE PAPEL KRAFT 100GR 21CM PAPELERA"/>
        <s v="DISCO MERENGUE PAVESI"/>
        <s v="DISCO MICROCORRUGADO EMPLACADO 15,5 CM DIÁMETRO ASTRA"/>
        <s v="DISCO MICROCORRUGADO EMPLACADO 19 CM DIÁMETRO ASTRA"/>
        <s v="DISCO PANQUEQUE VAINILLA 19 CM. SEMI ELABORADO UND"/>
        <s v="DULCE DE LECHE MASTER MARTINI"/>
        <s v="DULCE DE RELLENO DIWATTS"/>
        <s v="DURAZNO EN CUBOS ALTO LA CRUZ"/>
        <s v="DURAZNO EN SLICE LAS PERDICES"/>
        <s v="ESENCIA CAFE CARAMELO SABORES Y FRAGANCIA"/>
        <s v="ESENCIA DE VAINILLA TRAVERSO EGC"/>
        <s v="ETIQ. CIRCULAR 90cm IMPR. JUMBO TARTA FRUTA MIXTA SURTIDA"/>
        <s v="ETIQ. CIRCULAR 90cm IMPR. OPP TORTA MIL HOJAS MANJAR ARTESANAL WALMART"/>
        <s v="ETIQ. CIRCULAR 90cm IMPR. TARTA MANJAR NUEZ ESPECIAL JUMBO"/>
        <s v="ETIQ. CIRCULAR 90cm IMPR. TARTA PISTACHO ESPECIAL JUMBO"/>
        <s v="ETIQ. CIRCULAR 90cm IMPR. TORTA BROWNIE ESPECIAL JUMBO"/>
        <s v="ETIQ. CIRCULAR 90cm IMPR. TORTA CARROT CAKE ARTESANAL JUMBO"/>
        <s v="ETIQ. CIRCULAR 90cm IMPR. TORTA CUSINE &amp; CO JUMBO COOKIES AND CREAM"/>
        <s v="ETIQ. CIRCULAR 90cm IMPR. TORTA HOJA FRAMBUESA ESPECIAL JUMBO"/>
        <s v="ETIQ. CIRCULAR 90cm IMPR. TORTA IGNACIA ARTESANAL JUMBO"/>
        <s v="ETIQ. CIRCULAR 90cm IMPR. TORTA LEMON CAKE ESPECIAL JUMBO"/>
        <s v="ETIQ. CIRCULAR 90cm IMPR. TORTA MERENGUE MANZANA FRAMBUESA ESPECIAL JUMBO"/>
        <s v="ETIQ. CIRCULAR 90cm IMPR. TORTA MERENGUE NOUGAT ESPECIAL JUMBO"/>
        <s v="ETIQ. CIRCULAR 90cm IMPR. TORTA MOUSSE CHOCOLATE BLANCO ESPECIAL JUMBO"/>
        <s v="ETIQ. CIRCULAR 9cm IMPR. PIE DE MARACUYÁ ESPECIAL JUMBO"/>
        <s v="ETIQ. CIRCULAR 9cm IMPR. TORTA CALUGA NUEZ JUMBO"/>
        <s v="ETIQ.CIRCULAR 9cm IMPR. TORTA HOJA PASTELERA JUMBO"/>
        <s v="ETIQ.CIRCULAR 9cm IMPR. TORTA SAN JORGE AVELLANA ARTESANAL JUMBO"/>
        <s v="ETIQ.CIRCULAR 9cm IMPR. TORTA SAN JORGE CHOCOLATE ARTESANAL JUMBO"/>
        <s v="ETIQ.CIRCULAR 9cm IMPR. TORTA SAN JORGE GUINDA ARTESANAL JUMBO"/>
        <s v="ETIQ. CIRCULAR 90cm IMPR. TORTA RED VELVET ARTESANAL JUMBO"/>
        <s v="ETIQ. CIRCULAR 9cm IMPR. PIE DE FRAMBUESA ESPECIAL JUMBO"/>
        <s v="ETIQ. CIRCULAR 9cm IMPR. PIE DE LIMÓN ESPECIAL JUMBO"/>
        <s v="ETIQ.CIRCULAR 9cm TORTA PANQUEQUE NARANJA JUMBO"/>
        <s v="ETIQUETA 200X50 POLIPROPILENO IMPR. QUINTA"/>
        <s v="ETIQ.CIRCULAR 9cm IMPR. TORTA SAN JORGE LÚCUMA ARTESANAL JUMBO"/>
        <s v="ETIQUETA AUTOADHESIVA 22X32 POLIPROPILENO (OPP)"/>
        <s v="ETIQUETA BLANCA 100x120 SISA"/>
        <s v="ETIQUETA BLANCA 120X100 OPP"/>
        <s v="ETIQUETA CIRCULAR 4cm IMPR. PASTEL SISA"/>
        <s v="ETIQUETA CIRCULAR 9,8cm IMPR. PIE  5 COL +UV"/>
        <s v="ETIQUETA CIRCULAR 9,8cm IMPR. TARTA  5 COL +UV"/>
        <s v="ETIQUETA CIRCULAR 90 IMPRESA TORTA MERENGUE FRAMBUESA ESPECIAL JUMBO"/>
        <s v="ETIQUETA CIRCULAR 90 IMPRESA TORTA MERENGUE LÚCUMA ESPECIAL JUMBO"/>
        <s v="ETIQUETA BLANCA 200X50 SISA OPP"/>
        <s v="ETIQUETA BLANCA 30X40"/>
        <s v="ETIQUETA BLANCA 40x200 SISA"/>
        <s v="ETIQUETA CIRCULAR 9cm IMPR. TORTA CREMA MANJAR"/>
        <s v="ETIQUETA CIRCULAR 9cm IMPR. TORTA SELVA NEGRA"/>
        <s v="ETIQUETA CIRCULAR 9cm IMPR. TORTA YOGURT FRUTILLA"/>
        <s v="ETIQUETA CIRCULAR 9cm TORTA CALUGA"/>
        <s v="ETIQUETA CIRCULAR 9cm TORTA CHOCOLATE REAL"/>
        <s v="ETIQUETA CIRCULAR 9cm TORTA CHOCOTORTA JUMBO"/>
        <s v="ETIQUETA CIRCULAR 9cm TORTA CREMA CHOCOLATE"/>
        <s v="ETIQUETA CIRCULAR 9cm TORTA DOÑA ISABEL"/>
        <s v="ETIQUETA CIRCULAR 9cm IMPR. T.CREMA PIÑA 5 COL +UV"/>
        <s v="ETIQUETA CIRCULAR 9cm TORTA PANQUEQUE CHOCOLATE GUINDA"/>
        <s v="ETIQUETA CIRCULAR 9cm TORTA SABOR MANJAR NUEZ"/>
        <s v="ETIQUETA CIRCULAR 9cm TORTA SACHER"/>
        <s v="ETIQUETA CIRCULAR 9cm TORTA SELVA NEGRA VEGANA"/>
        <s v="ETIQUETA CIRCULAR OPCIÓN VEGANA CRISME"/>
        <s v="ETIQUETA CIRCULAR TORTA AMOR"/>
        <s v="ETIQUETA COLOR CREMA 245X40 OPP"/>
        <s v="ETIQUETA CIRCULAR 9cm TORTA GALLETA FRAMBUESA"/>
        <s v="ETIQUETA CIRCULAR 9cm TORTA GUINDA CHOCOLATE"/>
        <s v="ETIQUETA CIRCULAR 9cm TORTA HOJA MANJAR JUMBO"/>
        <s v="ETIQUETA CIRCULAR 9cm TORTA MANJAR LUCUMA"/>
        <s v="ETIQUETA OPP TRANSPARENTE 22X32 CRISME"/>
        <s v="ETIQUETA TORTA  MOCACCINO"/>
        <s v="ETIQUETAS CIRCULAR 9cm  TORTA SELVA NEGRA JUMBO"/>
        <s v="ETIQUETAS CIRCULAR 9cm IMPR. PANQUEQUE NARANJA"/>
        <s v="ETIQUETAS CIRCULAR 9cm IMPR. TORTA 4 LECHES JUMBO"/>
        <s v="ETIQUETA TORTA MERENGUE COOKIES"/>
        <s v="ETIQUETA TORTA MERENGUE FRAMBUESA CONGELADA"/>
        <s v="ETIQUETA TORTA MERENGUE LEMON PIE"/>
        <s v="ETIQUETA TORTA MERENGUE LUCUMA CONGELADA"/>
        <s v="ETIQUETAS CIRCULAR 9cm IMPR. TORTA DURAZNO MANJAR"/>
        <s v="ETIQUETAS CIRCULAR 9cm IMPR. TORTA HOJA MANJAR"/>
        <s v="ETIQUETAS CIRCULAR 9cm IMPR. TORTA IRLANDESA"/>
        <s v="ETIQUETAS CIRCULAR 9cm IMPR. TORTA LUCUMA JUMBO"/>
        <s v="ETIQUETAS CIRCULAR 9cm IMPR. TORTA PIÑA JUMBO"/>
        <s v="ETIQUETAS CIRCULAR 9cm IMPR. TORTA PQQ. CHOCOLATE MANJAR GUINDA SISA"/>
        <s v="ETIQUETAS CIRCULAR 9cm IMPR. TORTA TRUFFA JUMBO"/>
        <s v="ETIQUETAS CIRCULAR 9cm IMPR. TORTA VIENA JUMBO"/>
        <s v="ETIQUETAS CIRCULAR 9cm IMPR. TORTA VIENA SISA"/>
        <s v="ETIQUETAS CIRCULAR 9cm IMPR.TORTA TRES LECHES JUMB0"/>
        <s v="FIGURA DE CORAZON MANAR"/>
        <s v="ETIQUETAS CIRCULAR 9cm IMPR. TORTA BEATRIZ JUMBO"/>
        <s v="ETIQUETAS CIRCULAR 9cm IMPR. TORTA BOM BOM"/>
        <s v="FILM TRANSPARENTE  685 MM (23CM) BATTISTA"/>
        <s v="FILLING DE FRAMBUESA MEL"/>
        <s v="FILLING DE GUINDA BALDE 4,5 Kg"/>
        <s v="FRAMBUESA CONGELADA ALTA FRUTA"/>
        <s v="GALLETA OREO REGULAR ALCA"/>
        <s v="GANACHE PURATOS"/>
        <s v="GELATINA S/SABOR ALTO LA CRUZ"/>
        <s v="GELATINA FRAMBUESA ALTO LA CRUZ"/>
        <s v="GELATINA S/SABOR ALFA GROUP"/>
        <s v="GRANA SECA BIZCOCHO AMAPOLA"/>
        <s v="GRANA SECA RED VELVET"/>
        <s v="GRANILLO CHOCOLATE MANAR"/>
        <s v="HARINA NUEZ TRES ERRE"/>
        <s v="GRANA CHOCOLATE"/>
        <s v="HOJA SENCILLA PROSERVAR"/>
        <s v="HOJA SEPARADORA PLANCHAS PROSERVAR"/>
        <s v="HOJA SEPARADORA TARTALETA DIAMETRO 255 MMS."/>
        <s v="HOJA SEPARADORA TORTA DIAMETRO 230 MMS FULL CARTON"/>
        <s v="HOJA SEPARADORA TORTA DIAMETRO 230 MMS."/>
        <s v="HOJA SEPARADORA TORTA MEDIANA DIAMETRO 210 MMS."/>
        <s v="HOJARASCA 19 CMS. PAVESI"/>
        <s v="INSUMO INTERPLANTA BIZCOCHO TIPO TRES LECHES 19 CM."/>
        <s v="INSUMO DISCO PANQUEQUE CHOCOLATE 18 CM."/>
        <s v="INSUMO SEMI ELABORADO BROWNIE VEGANO INTERPLANTA"/>
        <s v="INSUMO INTERPLANTA BIZCOCHO RED VELVET 19 CM"/>
        <s v="INSUMO SEMI-ELABORADO INTERPLANTA BIZCOCHO CHOCOLATE 19cm"/>
        <s v="INSUMO SEMI-ELABORADO INTERPLANTA BIZCOCHO VAINILLA 19cm"/>
        <s v="INSUMO SEMIELABORADO GALLETA OREO MOLIDA"/>
        <s v="JARABE 3 LECHES SCHOLLE 10LT DIWATTS"/>
        <s v="JARABE DE REMOJO OCTOBINS"/>
        <s v="JARABE DE REMOJO RON-NJA 40 BIDÓN 5 Lt"/>
        <s v="JUGO DE LIMÓN ALTA FRUTA"/>
        <s v="LECHE CONDENSADA NESTLE"/>
        <s v="LECHE CONDENSADA UNTABLE NESTLE"/>
        <s v="LECHE CONDENSADA WATTS"/>
        <s v="LAMINA ACETATO TRANSPARENTE 7x60 CM FPS"/>
        <s v="MANJAR ARTESANAL DIWATTS"/>
        <s v="MANTEQUILLA WATTS"/>
        <s v="MANZANAS SLICE MEL"/>
        <s v="MARRASQUINO ALTO LA CRUZ"/>
        <s v="MEDIA HOJARASCA OBERENA"/>
        <s v="MEDIO DISCO CARTON BLANCO 19,5 JUMBO ARRIAZA"/>
        <s v="MERENGUITOS PAVESI"/>
        <s v="MERM. EBEL GRANDES CONSUMIDORES FRUTILLA BALDE 5 Kg"/>
        <s v="MERM. EBEL GUINDA (ET. VERDE) BL 5 Kg"/>
        <s v="MERM. LAMARKA MARACUYA BALDE 5 Kg"/>
        <s v="MERM. MEL DURAZNO ENT. BALDE 5 Kg"/>
        <s v="MERM. MEL FRAMBUESA QUINTA BALDE 5 Kg"/>
        <s v="MERM. MEL GUINDA ÁCIDA QUINTA BALDE 5 Kg"/>
        <s v="MER. MEL PIÑA BALDE 5 Kg"/>
        <s v="MERMELADA DE FRAMBUESA EBEL"/>
        <s v="MERENGUE PURATOS"/>
        <s v="NUEVO BRILLO PARA CONGELADO PURATOS"/>
        <s v="NUEZ MARIPOSA CLARA CAMPOS"/>
        <s v="NUEZ PICADILLO CAMPOS"/>
        <s v="NUEZ PICADILLO LAS TRES ERRES"/>
        <s v="OREO MEDIUM CRUMBS (TROZOS) ALCA"/>
        <s v="NECTAR SABOR NARANJA WATTS"/>
        <s v="PALITOS DE CHOCOLATE PURATOS"/>
        <s v="PIÑA EN CUBOS LAS PERDICES"/>
        <s v="PIÑA EN RODAJA LAS PERDICES"/>
        <s v="PIÑA EN RODAJAS ALTO LA CRUZ"/>
        <s v="PISTACHO S/CASCARA TRES ERRES"/>
        <s v="PLANCHA DE CARTON 1X1,20 FULL CARTON"/>
        <s v="PLANCHA DE CARTON 1X1,20 ASTRA"/>
        <s v="Porción vainilla  Semi-Elab UND"/>
        <s v="PM CREAM VELVET BAKELS"/>
        <s v="PURE DE LUCUMA (ET. VERDE) BALDE 4,5 Kg"/>
        <s v="PURE DE MANZANA BALDE 4,5 Kg MEL"/>
        <s v="RALLADO NEGRO 3mm ZUKKER"/>
        <s v="RELLENO PIE DE FRAMBUESA"/>
        <s v="RELLENO PIE MARACUYÁ BALDE 4,5 Kg"/>
        <s v="REMOJO 3 LECHES RICHI"/>
        <s v="REMOJO DULCERÍO 10 LITROS PURATOS"/>
        <s v="RELLENO CHOCOLATE CREAM BAKELS"/>
        <s v="SABOR AROMA LUCUMA FRANCIAAROMA"/>
        <s v="SALSA DE FRAMBUESA MEL"/>
        <s v="SALSA DE GUINDA BALDE 5 Kg"/>
        <s v="SEMILLA DE AMAPOLA CAMPOS"/>
        <s v="STRECH FILM AMARILLO"/>
        <s v="STRECH FILM ANARANJADO"/>
        <s v="STRECH FILM BLANCO"/>
        <s v="STRECH FILM NEGRO"/>
        <s v="STRECH FILM ROJO"/>
        <s v="STRECH FILM VERDE"/>
        <s v="SUB DISCO HOJA 15 PP"/>
        <s v="TARTALETA FAMILIAR RECETA TRADICIONAL"/>
        <s v="Tartaleta mediana semi-elab"/>
        <s v="TRIANGULO VERDE #85 MARMOLEADO AMARILLO"/>
        <s v="TRUFA CHOCOLATE PURATOS"/>
        <s v="ULTRA RICH CLASICA UHT"/>
        <s v="VASOS CONO PAPEL FOOD PACK"/>
        <s v="TRIANGULO BLANCO #45 MARMOLEADO NEGRO"/>
        <s v="TRIANGULO NEGRO 45mm ZUKKER"/>
        <s v="ZANAHORIA BABY 454 GR AGROSANO"/>
        <s v="YOGURT FRUTILLA DIWATTS"/>
        <s v="AZUCAR RUBIA EGC"/>
        <s v="BASE TORTA CON TOPE COEXPAN"/>
        <s v="ACEITE VEGETAL 5000 CC. EGC"/>
        <s v="BOLSA PREPICADA 50x75"/>
        <s v="Borde G 220x25 VERTIENTES"/>
        <s v="CAJA PTG 15PP JUMBO VTM SUR"/>
        <s v="CAJA PTG 15PP SISA PROSERVAR"/>
        <s v="CANELA EN POLVO ALTO LA CRUZ"/>
        <s v="CAJA TORTA MEDIANA VTM SUR"/>
        <s v="CAPSULAS DE PAPEL NUMERO 11 FOOD PACK"/>
        <s v="CINTA BICOLOR NARANJA ZUKKER"/>
        <s v="COLORANTE ROJO POLVO"/>
        <s v="CREMA NATA RICH"/>
        <s v="CREMA PASTELERA NARANJA BAKELS"/>
        <s v="CREMFIL DULCE DE LECHE PURATOS"/>
        <s v="CREMYVIT NARANJA TM1 PURATOS"/>
        <s v="CRUMBLE FRAMBUESA CONGELADA ALTA FRUTA"/>
        <s v="CUPULA 271 BX DEANDES"/>
        <s v="CRUSHED DE FRAMBUESA ALTO LA CRUZ"/>
        <s v="CUPULA TARTA 1025-5 MOLDES PAC"/>
        <s v="CUPULA TORTA 15PP OSKUPACK"/>
        <s v="DESMOLDANTE PARA BATIDOS PURATOS"/>
        <s v="CUPULA TORTA 15 PP H112 ALTA COEXPAN"/>
        <s v="DISCO CARTON BLANCO 17 CM PRAGGA"/>
        <s v="DISCO CARTON BLANCO 24 CM PRAGGA"/>
        <s v="DISCO CARTON BLANCO 24 JUMBO ARRIAZA"/>
        <s v="DISCO CARTÓN CORRUGADO 15,5 CM EHLAN"/>
        <s v="DURAZNO EN MITADES ALTO LA CRUZ"/>
        <s v="ETIQ. CIRCULAR 80cm IMPR. OPP TORTA CHOCOLATE WALMART"/>
        <s v="ETIQ. CIRCULAR 80cm IMPR. OPP TORTA FRUTOS DEL BOSQUE WALMART"/>
        <s v="ETIQ. CIRCULAR 90cm IMPR. OPP KUCHEN FRAMBUESA TRADICIONAL WALMART"/>
        <s v="ETIQ. CIRCULAR 90cm IMPR. OPP TORTA HOJA MANJAR MERENGUE WALMART"/>
        <s v="ETIQ. CIRCULAR 90cm IMPR. OPP TORTA PANQUEQUE NARANJA WALMART"/>
        <s v="ETIQ. CIRCULAR 90cm IMPR. OPP TORTA SELVA NEGRA TRADICIONAL WALMART"/>
        <s v="ETIQ. CIRCULAR 90cm IMPR. OPP TORTA SELVA NEGRA WALMART"/>
        <s v="ETIQ. CIRCULAR 90cm IMPR. OPP TORTA TRES LECHES WALMART"/>
        <s v="ETIQ. CIRCULAR 80cm IMPR. OPP TORTA SAN JORGE SMU"/>
        <s v="ETIQ. CIRCULAR 90cm IMPR. JUMBO KUCHEN DE DURAZNO"/>
        <s v="ETIQ. CIRCULAR 90cm IMPR. JUMBO KUCHEN DE FRAMBUESA"/>
        <s v="ETIQ. CIRCULAR 90cm IMPR. JUMBO KUCHEN DE MANZANA"/>
        <s v="ETIQ. CIRCULAR 90cm IMPR. JUMBO KUCHEN DE MANZANA TRENZADO"/>
        <s v="ETIQ. CIRCULAR 90cm IMPR. JUMBO KUCHEN DE STROISSEL MANZANA"/>
        <s v="ETIQ. CIRCULAR 90cm IMPR. OPP TORTA AMOR MARKETSIDE"/>
        <s v="ETIQ. CIRCULAR 90cm IMPR. OPP TORTA AMOR WALMART"/>
        <s v="ETIQ. CIRCULAR 90cm IMPR. OPP TORTA PIÑA MARKETSIDE"/>
        <s v="ETIQ. CIRCULAR 90cm IMPR. OPP TORTA PIÑA WALMART"/>
        <s v="ETIQ. CIRCULAR 90cm IMPR. OPP TORTA SAN JORGE MARKETSIDE"/>
        <s v="ETIQ. CIRCULAR 90cm IMPR. OPP TORTA SELVA NEGRA MARKETSIDE"/>
        <s v="ETIQ. CIRCULAR 90cm IMPR. OPP TORTA VIENA MARKETSIDE"/>
        <s v="ETIQUETA 300X57 TORTA HOJA MERENGUE SMU"/>
        <s v="ETIQUETA 300X57 TORTA SAN JORGE SMU"/>
        <s v="ETIQUETA BLANCA 100x80 SISA"/>
        <s v="ETIQUETA BLANCA 180X50 PAPEL SEMIBRILLO CRISME"/>
        <s v="ETIQUETA CIRCULAR 9,8cm IMPR. KUCHEN  5 COL +UV"/>
        <s v="ETIQUETA BLANCA 100x50"/>
        <s v="ETIQUETA CONSUMO"/>
        <s v="ETIQUETA CONSUMO MARKETSIDE"/>
        <s v="ETIQUETA CONSUMO IMPRESO COLOR MOSTAZA"/>
        <s v="ETIQUETA DECORATIVA PASTEL PIÑA JUMBO"/>
        <s v="ETIQUETA DECORATIVA PASTEL SELVA NEGRA JUMBO"/>
        <s v="ETIQUETA DECORATIVA PASTEL TRES LECHES JUMBO"/>
        <s v="ETIQUETA DECORATIVA PASTEL TRUFA JUMBO"/>
        <s v="ETIQUETA GALLETA AMERICAN CRISPY CARAMELO SALADO"/>
        <s v="ETIQUETA DECORATIVA PASTEL MIL HOJAS PASTELERA JUMBO"/>
        <s v="FILLING DE MANZANA MEL"/>
        <s v="FRUIT FILLING MANZANA FRUCOL"/>
        <s v="GALLETA VINO NESTLE"/>
        <s v="HARINA ORO 2"/>
        <s v="HOJA SEPARADORA TORTA DIAMETRO 230 MMS ASTRA"/>
        <s v="HUEVO LIQUIDO BALDE ARIZONA"/>
        <s v="JARABE DE REMOJO 35° BIDON"/>
        <s v="JARABE DE REMOJO 35° TOTEM 1000 Lt"/>
        <s v="JUGO EN POLVO ZUKO DURAZNO"/>
        <s v="MANTEQUILLA SIN SAL ALCA"/>
        <s v="MANJAR GRADO 3 LANGER"/>
        <s v="MARGARINA HORNITO CERRILLOS"/>
        <s v="MERM. EBEL FRUTOS DEL BOSQUE BALDE 5 KG"/>
        <s v="MERM. EBEL PIÑA QUINTA BALDE 5 Kg"/>
        <s v="MERM. LAMARKA DAMASCO BALDE 5 Kg"/>
        <s v="MERM. LAMARKA FRAMBUESA BALDE 5 Kg"/>
        <s v="MERM. MEL DAMASCO MOL. BALDE 5 Kg"/>
        <s v="MERMELADA CIRUELA MEL"/>
        <s v="MER. EBEL PIÑA BALDE 5 Kg"/>
        <s v="MERENGUE CONGELABLE PURATOS"/>
        <s v="MIX BIZCOCHO CHOCOLATE PURATOS"/>
        <s v="MIX BIZC. RED VELVET PURATOS"/>
        <s v="MIX BIZCOCHO BLANCO SAN CRISTOBAL"/>
        <s v="MIX BIZCOCHO CHOCOLATE SAN CRISTOBAL"/>
        <s v="MIX BIZCOCHO SIN AZUCAR PURATOS"/>
        <s v="MIX TARTALETA SAN CRISTOBAL"/>
        <s v="MOLDES PAPEL BASE TARTA MOLDESPAC"/>
        <s v="MOSTACILLA CORAZÓN VALENTÍN AMBROSIA"/>
        <s v="PASA MORENA"/>
        <s v="PAPEL BEIGE 38.5 x 44.5 ARRIAZA"/>
        <s v="PLACA TORTA VIENA ZUKKER"/>
        <s v="PLANCHA DE HOJA  42X36X1 cm (1x12)"/>
        <s v="PLANCHA PANQUEQUE VAINILLA TERCEROS PAVESI"/>
        <s v="PROPIONATO DE CALCIO 14 KG WINKLER"/>
        <s v="PROTEKTOR PURATOS"/>
        <s v="RELLENO CREMA VAINILLA BAKELS"/>
        <s v="RELLENO SABOR VAINILLA PURATOS"/>
        <s v="SATIN PURATOS"/>
        <s v="STRECH FILM AZUL"/>
        <s v="STRECH FILM REMINISEN"/>
        <s v="SUB DISCO HOJA 10 PP"/>
        <s v="SUB DISCO PANQUEQUE VAINILLA 16 CM"/>
        <s v="TEGRAL BROWNIE VEGGI PURATOS"/>
        <s v="TRIANGULO BLANCO RAYADO ROJO"/>
        <s v="DISCO DE PAPEL 19CM PQQ CURICO"/>
        <s v="DISCO DE PAPEL PQQ KRAFT FPS"/>
        <s v="DISCO CARTON MH 15 PP ARRIAZA"/>
        <s v="ETIQUETA GENERICA TORTA MIL HOJAS MANJAR ESPECIAL WALMART"/>
        <s v="HARINA FORTALEZA SAN CRISTOBAL"/>
        <s v="HARINA 063 FINA HOJA SAN CRISTOBAL"/>
        <s v="HARINA PLATA SAN CRISTOBAL"/>
        <s v="GRANA DE HOJA"/>
        <s v="HUEVO EN POLVO OVOSUR"/>
        <s v="HUINCHA CARTON MH 8.5x75 ARRIAZA"/>
        <s v="MARGARINA DE HOJA CERRILLOS"/>
        <s v="MARGARINA HORNITO DIWATTS"/>
        <s v="MARRASQUINO FRUCOL"/>
        <s v="MIX PANQUEQUE CHOCOLATE SAN CRISTOBAL"/>
        <s v="MIX PANQUEQUE HUEVO POLVO SAN CRISTOBAL"/>
        <s v="PAPEL MANTEQUILLA ARRIAZA"/>
        <s v="SAL FINA"/>
        <s v="VINAGRE WINKLER"/>
        <s v="MARGARINA MULTIPROPÓSITO HORNEO"/>
      </sharedItems>
    </cacheField>
    <cacheField name="WhsCode" numFmtId="0">
      <sharedItems count="4">
        <s v="EN_MATPR"/>
        <s v="PV_MATPR"/>
        <s v="CU_MATPR"/>
        <s v="EN_SATEL"/>
      </sharedItems>
    </cacheField>
    <cacheField name="WhsName" numFmtId="0">
      <sharedItems/>
    </cacheField>
    <cacheField name="Stock" numFmtId="0">
      <sharedItems containsSemiMixedTypes="0" containsString="0" containsNumber="1" minValue="0.04" maxValue="370000"/>
    </cacheField>
    <cacheField name="PMP" numFmtId="1">
      <sharedItems containsSemiMixedTypes="0" containsString="0" containsNumber="1" minValue="1.01" maxValue="57964.51"/>
    </cacheField>
    <cacheField name="Valorizado" numFmtId="1">
      <sharedItems containsSemiMixedTypes="0" containsString="0" containsNumber="1" minValue="21" maxValue="55571975.711999997"/>
    </cacheField>
    <cacheField name="Fecha" numFmtId="16">
      <sharedItems containsSemiMixedTypes="0" containsNonDate="0" containsDate="1" containsString="0" minDate="2026-06-07T00:00:00" maxDate="2026-06-08T00:00:00"/>
    </cacheField>
    <cacheField name="Consumo " numFmtId="4">
      <sharedItems containsString="0" containsBlank="1" containsNumber="1" minValue="0" maxValue="19444.444444444445"/>
    </cacheField>
    <cacheField name="familia" numFmtId="0">
      <sharedItems count="32">
        <s v="Azucar"/>
        <s v="Esencia"/>
        <s v="Chocolate"/>
        <s v="Insumo"/>
        <s v="Cupula"/>
        <s v="Bolsas"/>
        <s v="Mermelada"/>
        <s v="Caja"/>
        <s v="Fruta Conserva"/>
        <s v="Empaque"/>
        <s v="Colorantes"/>
        <s v="Licor"/>
        <s v="Galleta"/>
        <s v="Cremas"/>
        <s v="Carton"/>
        <s v="Manjar"/>
        <s v="Etiquetas"/>
        <s v="Film"/>
        <s v="Fruta Congelada"/>
        <s v="Gelatina"/>
        <s v="Mix"/>
        <s v="Remojo"/>
        <s v="Jugo"/>
        <s v="Leche condensada"/>
        <s v="Margarina"/>
        <s v="Yogurt"/>
        <s v="Aceite"/>
        <s v="Colorante"/>
        <s v="Desmoldante"/>
        <s v="Huevo"/>
        <s v="Propionato"/>
        <s v="Harina"/>
      </sharedItems>
    </cacheField>
    <cacheField name="D/stock" numFmtId="1">
      <sharedItems containsSemiMixedTypes="0" containsString="0" containsNumber="1" minValue="0" maxValue="810"/>
    </cacheField>
    <cacheField name="MINIMO " numFmtId="0">
      <sharedItems containsString="0" containsBlank="1" containsNumber="1" minValue="0" maxValue="166666.666666666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ul Tramarria Levano" refreshedDate="46205.779136458332" createdVersion="8" refreshedVersion="8" minRefreshableVersion="3" recordCount="513" xr:uid="{E7494570-D9B6-4FBE-ACF0-C391D6A41DCF}">
  <cacheSource type="worksheet">
    <worksheetSource ref="A1:L514" sheet="Hoja1"/>
  </cacheSource>
  <cacheFields count="12">
    <cacheField name="Número de artículo" numFmtId="0">
      <sharedItems containsSemiMixedTypes="0" containsString="0" containsNumber="1" containsInteger="1" minValue="100104" maxValue="501147"/>
    </cacheField>
    <cacheField name="Descripción del artículo" numFmtId="0">
      <sharedItems/>
    </cacheField>
    <cacheField name="Código de almacén" numFmtId="0">
      <sharedItems count="4">
        <s v="EN_MATPR"/>
        <s v="PV_MATPR"/>
        <s v="CU_MATPR"/>
        <s v="EN_SATEL"/>
      </sharedItems>
    </cacheField>
    <cacheField name="Nombre de almacén" numFmtId="0">
      <sharedItems/>
    </cacheField>
    <cacheField name="En stock" numFmtId="0">
      <sharedItems containsSemiMixedTypes="0" containsString="0" containsNumber="1" minValue="1.68" maxValue="220000"/>
    </cacheField>
    <cacheField name="Precio promedio" numFmtId="42">
      <sharedItems containsSemiMixedTypes="0" containsString="0" containsNumber="1" minValue="1.03" maxValue="57964.59"/>
    </cacheField>
    <cacheField name="Valorizado" numFmtId="42">
      <sharedItems containsSemiMixedTypes="0" containsString="0" containsNumber="1" minValue="164.8" maxValue="74633229.158399999"/>
    </cacheField>
    <cacheField name="Fecha" numFmtId="16">
      <sharedItems containsSemiMixedTypes="0" containsNonDate="0" containsDate="1" containsString="0" minDate="2026-07-02T00:00:00" maxDate="2026-07-03T00:00:00"/>
    </cacheField>
    <cacheField name="Consumo " numFmtId="4">
      <sharedItems containsString="0" containsBlank="1" containsNumber="1" minValue="0" maxValue="125000"/>
    </cacheField>
    <cacheField name="familia" numFmtId="0">
      <sharedItems count="33">
        <s v="Azucar"/>
        <s v="Esencia"/>
        <s v="Insumo"/>
        <s v="Cupula"/>
        <s v="Chocolate"/>
        <s v="Bolsas"/>
        <s v="Mermelada"/>
        <s v="Caja"/>
        <s v="Carton"/>
        <s v="Fruta Conserva"/>
        <s v=""/>
        <s v="Empaque"/>
        <s v="Licor"/>
        <s v="Colorantes"/>
        <s v="Galleta"/>
        <s v="Cremas"/>
        <s v="Manjar"/>
        <s v="Etiquetas"/>
        <s v="Film"/>
        <s v="Fruta Congelada"/>
        <s v="Gelatina"/>
        <s v="Mix"/>
        <s v="Remojo"/>
        <s v="Jugo"/>
        <s v="Leche condensada"/>
        <s v="Margarina"/>
        <s v="Yogurt"/>
        <s v="Aceite"/>
        <s v="Colorante"/>
        <s v="Desmoldante"/>
        <s v="Huevo"/>
        <s v="Propionato"/>
        <s v="Harina"/>
      </sharedItems>
    </cacheField>
    <cacheField name="D/stock" numFmtId="1">
      <sharedItems containsSemiMixedTypes="0" containsString="0" containsNumber="1" minValue="0" maxValue="51"/>
    </cacheField>
    <cacheField name="MINIMO " numFmtId="0">
      <sharedItems containsString="0" containsBlank="1" containsNumber="1" minValue="0" maxValue="12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5">
  <r>
    <n v="405418"/>
    <x v="0"/>
    <x v="0"/>
    <s v="E1-BMP Enea"/>
    <n v="470"/>
    <n v="1371.65"/>
    <n v="644675.5"/>
    <d v="2026-06-07T00:00:00"/>
    <n v="8.6111111111111107"/>
    <x v="0"/>
    <n v="54.580645161290327"/>
    <n v="34.444444444444443"/>
  </r>
  <r>
    <n v="104006"/>
    <x v="1"/>
    <x v="0"/>
    <s v="E1-BMP Enea"/>
    <n v="2442"/>
    <n v="900"/>
    <n v="2197800"/>
    <d v="2026-06-07T00:00:00"/>
    <n v="201.60185185185185"/>
    <x v="0"/>
    <n v="12.112983970973223"/>
    <n v="1008.0092592592592"/>
  </r>
  <r>
    <n v="405682"/>
    <x v="2"/>
    <x v="0"/>
    <s v="E1-BMP Enea"/>
    <n v="60"/>
    <n v="10690"/>
    <n v="641400"/>
    <d v="2026-06-07T00:00:00"/>
    <n v="1.6666666666666667"/>
    <x v="1"/>
    <n v="36"/>
    <n v="6.666666666666667"/>
  </r>
  <r>
    <n v="107302"/>
    <x v="3"/>
    <x v="0"/>
    <s v="E1-BMP Enea"/>
    <n v="105"/>
    <n v="12960"/>
    <n v="1360800"/>
    <d v="2026-06-07T00:00:00"/>
    <n v="21.291666666666668"/>
    <x v="2"/>
    <n v="4.9315068493150678"/>
    <n v="106.45833333333334"/>
  </r>
  <r>
    <n v="405645"/>
    <x v="4"/>
    <x v="0"/>
    <s v="E1-BMP Enea"/>
    <n v="47"/>
    <n v="2450"/>
    <n v="115150"/>
    <d v="2026-06-07T00:00:00"/>
    <n v="19.314814814814813"/>
    <x v="3"/>
    <n v="2.4333652924256954"/>
    <n v="96.574074074074076"/>
  </r>
  <r>
    <n v="400216"/>
    <x v="5"/>
    <x v="0"/>
    <s v="E1-BMP Enea"/>
    <n v="75"/>
    <n v="4322"/>
    <n v="324150"/>
    <d v="2026-06-07T00:00:00"/>
    <n v="9.6333333333333329"/>
    <x v="3"/>
    <n v="7.7854671280276824"/>
    <n v="48.166666666666664"/>
  </r>
  <r>
    <n v="404316"/>
    <x v="6"/>
    <x v="0"/>
    <s v="E1-BMP Enea"/>
    <n v="60"/>
    <n v="1646"/>
    <n v="98760"/>
    <d v="2026-06-07T00:00:00"/>
    <n v="56.768518518518512"/>
    <x v="3"/>
    <n v="1.0569238297178276"/>
    <n v="283.84259259259255"/>
  </r>
  <r>
    <n v="405445"/>
    <x v="7"/>
    <x v="0"/>
    <s v="E1-BMP Enea"/>
    <n v="41500"/>
    <n v="93.59"/>
    <n v="3883985"/>
    <d v="2026-06-07T00:00:00"/>
    <n v="9315.0092592592591"/>
    <x v="4"/>
    <n v="4.4551753889829335"/>
    <n v="37260.037037037036"/>
  </r>
  <r>
    <n v="405774"/>
    <x v="8"/>
    <x v="0"/>
    <s v="E1-BMP Enea"/>
    <n v="2200"/>
    <n v="100"/>
    <n v="220000"/>
    <d v="2026-06-07T00:00:00"/>
    <n v="0"/>
    <x v="2"/>
    <n v="0"/>
    <n v="0"/>
  </r>
  <r>
    <n v="405482"/>
    <x v="9"/>
    <x v="0"/>
    <s v="E1-BMP Enea"/>
    <n v="146"/>
    <n v="11250.01"/>
    <n v="1642501.46"/>
    <d v="2026-06-07T00:00:00"/>
    <n v="0"/>
    <x v="1"/>
    <n v="0"/>
    <n v="0"/>
  </r>
  <r>
    <n v="403338"/>
    <x v="10"/>
    <x v="0"/>
    <s v="E1-BMP Enea"/>
    <n v="7200"/>
    <n v="49.44"/>
    <n v="355968"/>
    <d v="2026-06-07T00:00:00"/>
    <n v="579.63888888888891"/>
    <x v="4"/>
    <n v="12.421526812670724"/>
    <n v="2318.5555555555557"/>
  </r>
  <r>
    <n v="400205"/>
    <x v="11"/>
    <x v="0"/>
    <s v="E1-BMP Enea"/>
    <n v="4000"/>
    <n v="32"/>
    <n v="128000"/>
    <d v="2026-06-07T00:00:00"/>
    <n v="333.33333333333331"/>
    <x v="5"/>
    <n v="12"/>
    <n v="2666.6666666666665"/>
  </r>
  <r>
    <n v="400104"/>
    <x v="12"/>
    <x v="0"/>
    <s v="E1-BMP Enea"/>
    <n v="21500"/>
    <n v="28.7"/>
    <n v="617050"/>
    <d v="2026-06-07T00:00:00"/>
    <n v="9479.1666666666661"/>
    <x v="5"/>
    <n v="2.2681318681318681"/>
    <n v="75833.333333333328"/>
  </r>
  <r>
    <n v="400203"/>
    <x v="13"/>
    <x v="0"/>
    <s v="E1-BMP Enea"/>
    <n v="747.5"/>
    <n v="2749.55"/>
    <n v="2055288.625"/>
    <d v="2026-06-07T00:00:00"/>
    <n v="51.51250000000001"/>
    <x v="5"/>
    <n v="14.511041009463719"/>
    <n v="412.10000000000008"/>
  </r>
  <r>
    <n v="107120"/>
    <x v="14"/>
    <x v="0"/>
    <s v="E1-BMP Enea"/>
    <n v="1566"/>
    <n v="1829.9"/>
    <n v="2865623.4"/>
    <d v="2026-06-07T00:00:00"/>
    <n v="68.166666666666671"/>
    <x v="6"/>
    <n v="22.973105134474327"/>
    <n v="340.83333333333337"/>
  </r>
  <r>
    <n v="402263"/>
    <x v="15"/>
    <x v="0"/>
    <s v="E1-BMP Enea"/>
    <n v="333.6"/>
    <n v="2478.7399999999998"/>
    <n v="826907.66399999999"/>
    <d v="2026-06-07T00:00:00"/>
    <n v="2.5740740740740748"/>
    <x v="5"/>
    <n v="129.59999999999997"/>
    <n v="33.462962962962976"/>
  </r>
  <r>
    <n v="101002"/>
    <x v="16"/>
    <x v="0"/>
    <s v="E1-BMP Enea"/>
    <n v="75"/>
    <n v="12779.27"/>
    <n v="958445.25"/>
    <d v="2026-06-07T00:00:00"/>
    <n v="5.729166666666667"/>
    <x v="2"/>
    <n v="13.09090909090909"/>
    <n v="28.645833333333336"/>
  </r>
  <r>
    <n v="106401"/>
    <x v="17"/>
    <x v="0"/>
    <s v="E1-BMP Enea"/>
    <n v="23.5"/>
    <n v="21844.21"/>
    <n v="513338.935"/>
    <d v="2026-06-07T00:00:00"/>
    <n v="0.93333333333333324"/>
    <x v="1"/>
    <n v="25.178571428571431"/>
    <n v="4.6666666666666661"/>
  </r>
  <r>
    <n v="107367"/>
    <x v="18"/>
    <x v="0"/>
    <s v="E1-BMP Enea"/>
    <n v="3500"/>
    <n v="890.76"/>
    <n v="3117660"/>
    <d v="2026-06-07T00:00:00"/>
    <n v="83.333333333333329"/>
    <x v="7"/>
    <n v="42"/>
    <n v="1416.6666666666667"/>
  </r>
  <r>
    <n v="107361"/>
    <x v="19"/>
    <x v="0"/>
    <s v="E1-BMP Enea"/>
    <n v="2598"/>
    <n v="585"/>
    <n v="1519830"/>
    <d v="2026-06-07T00:00:00"/>
    <n v="166.66666666666666"/>
    <x v="7"/>
    <n v="15.588000000000001"/>
    <n v="2833.3333333333335"/>
  </r>
  <r>
    <n v="107366"/>
    <x v="20"/>
    <x v="0"/>
    <s v="E1-BMP Enea"/>
    <n v="925"/>
    <n v="721.97"/>
    <n v="667822.25"/>
    <d v="2026-06-07T00:00:00"/>
    <n v="68.333333333333329"/>
    <x v="7"/>
    <n v="13.536585365853659"/>
    <n v="1161.6666666666667"/>
  </r>
  <r>
    <n v="405503"/>
    <x v="21"/>
    <x v="0"/>
    <s v="E1-BMP Enea"/>
    <n v="862"/>
    <n v="407"/>
    <n v="350834"/>
    <d v="2026-06-07T00:00:00"/>
    <n v="125"/>
    <x v="7"/>
    <n v="6.8959999999999999"/>
    <n v="2125"/>
  </r>
  <r>
    <n v="107365"/>
    <x v="22"/>
    <x v="0"/>
    <s v="E1-BMP Enea"/>
    <n v="2575"/>
    <n v="493"/>
    <n v="1269475"/>
    <d v="2026-06-07T00:00:00"/>
    <n v="165.66666666666666"/>
    <x v="7"/>
    <n v="15.543259557344065"/>
    <n v="2816.3333333333335"/>
  </r>
  <r>
    <n v="405696"/>
    <x v="23"/>
    <x v="0"/>
    <s v="E1-BMP Enea"/>
    <n v="659"/>
    <n v="600"/>
    <n v="395400"/>
    <d v="2026-06-07T00:00:00"/>
    <n v="91.666666666666671"/>
    <x v="7"/>
    <n v="7.1890909090909085"/>
    <n v="1558.3333333333333"/>
  </r>
  <r>
    <n v="405749"/>
    <x v="24"/>
    <x v="0"/>
    <s v="E1-BMP Enea"/>
    <n v="227"/>
    <n v="6000"/>
    <n v="1362000"/>
    <d v="2026-06-07T00:00:00"/>
    <n v="0"/>
    <x v="2"/>
    <n v="0"/>
    <n v="0"/>
  </r>
  <r>
    <n v="107312"/>
    <x v="25"/>
    <x v="0"/>
    <s v="E1-BMP Enea"/>
    <n v="355.1"/>
    <n v="5980"/>
    <n v="2123498"/>
    <d v="2026-06-07T00:00:00"/>
    <n v="30.184722222222224"/>
    <x v="8"/>
    <n v="11.764229512722588"/>
    <n v="150.92361111111111"/>
  </r>
  <r>
    <n v="403336"/>
    <x v="26"/>
    <x v="0"/>
    <s v="E1-BMP Enea"/>
    <n v="91.9"/>
    <n v="5056.18"/>
    <n v="464662.94199999998"/>
    <d v="2026-06-07T00:00:00"/>
    <n v="19.06794871794872"/>
    <x v="8"/>
    <n v="4.8196059974450343"/>
    <n v="76.271794871794881"/>
  </r>
  <r>
    <n v="403219"/>
    <x v="27"/>
    <x v="0"/>
    <s v="E1-BMP Enea"/>
    <n v="7000"/>
    <n v="6.1"/>
    <n v="42700"/>
    <d v="2026-06-07T00:00:00"/>
    <n v="1216.6666666666667"/>
    <x v="4"/>
    <n v="5.7534246575342465"/>
    <n v="9733.3333333333339"/>
  </r>
  <r>
    <n v="107356"/>
    <x v="28"/>
    <x v="0"/>
    <s v="E1-BMP Enea"/>
    <n v="250"/>
    <n v="12000"/>
    <n v="3000000"/>
    <d v="2026-06-07T00:00:00"/>
    <n v="18.977777777777778"/>
    <x v="2"/>
    <n v="13.173302107728338"/>
    <n v="75.911111111111111"/>
  </r>
  <r>
    <n v="405373"/>
    <x v="29"/>
    <x v="0"/>
    <s v="E1-BMP Enea"/>
    <n v="341.5"/>
    <n v="14167.71"/>
    <n v="4838272.9649999999"/>
    <d v="2026-06-07T00:00:00"/>
    <n v="9.4537037037037042"/>
    <x v="2"/>
    <n v="36.12340842311459"/>
    <n v="56.722222222222229"/>
  </r>
  <r>
    <n v="404309"/>
    <x v="30"/>
    <x v="0"/>
    <s v="E1-BMP Enea"/>
    <n v="348"/>
    <n v="8884.9"/>
    <n v="3091945.2"/>
    <d v="2026-06-07T00:00:00"/>
    <n v="38.62222222222222"/>
    <x v="2"/>
    <n v="9.0103567318757189"/>
    <n v="231.73333333333332"/>
  </r>
  <r>
    <n v="402255"/>
    <x v="31"/>
    <x v="0"/>
    <s v="E1-BMP Enea"/>
    <n v="568"/>
    <n v="1290"/>
    <n v="732720"/>
    <d v="2026-06-07T00:00:00"/>
    <n v="41.398148148148145"/>
    <x v="9"/>
    <n v="13.72042048758667"/>
    <n v="206.9907407407407"/>
  </r>
  <r>
    <n v="107197"/>
    <x v="32"/>
    <x v="0"/>
    <s v="E1-BMP Enea"/>
    <n v="420"/>
    <n v="5296.65"/>
    <n v="2224593"/>
    <d v="2026-06-07T00:00:00"/>
    <n v="9.8666666666666671"/>
    <x v="2"/>
    <n v="42.567567567567565"/>
    <n v="49.333333333333336"/>
  </r>
  <r>
    <n v="107249"/>
    <x v="33"/>
    <x v="0"/>
    <s v="E1-BMP Enea"/>
    <n v="91"/>
    <n v="3750"/>
    <n v="341250"/>
    <d v="2026-06-07T00:00:00"/>
    <n v="10.950000000000001"/>
    <x v="2"/>
    <n v="8.3105022831050217"/>
    <n v="54.75"/>
  </r>
  <r>
    <n v="107134"/>
    <x v="34"/>
    <x v="0"/>
    <s v="E1-BMP Enea"/>
    <n v="305"/>
    <n v="3599.96"/>
    <n v="1097987.8"/>
    <d v="2026-06-07T00:00:00"/>
    <n v="18.472222222222221"/>
    <x v="1"/>
    <n v="16.511278195488721"/>
    <n v="73.888888888888886"/>
  </r>
  <r>
    <n v="405747"/>
    <x v="35"/>
    <x v="0"/>
    <s v="E1-BMP Enea"/>
    <n v="367.2"/>
    <n v="3703"/>
    <n v="1359741.6"/>
    <d v="2026-06-07T00:00:00"/>
    <n v="25.95"/>
    <x v="8"/>
    <n v="14.15028901734104"/>
    <n v="103.8"/>
  </r>
  <r>
    <n v="107320"/>
    <x v="36"/>
    <x v="0"/>
    <s v="E1-BMP Enea"/>
    <n v="229.5"/>
    <n v="3122"/>
    <n v="716499"/>
    <d v="2026-06-07T00:00:00"/>
    <n v="28.083333333333332"/>
    <x v="6"/>
    <n v="8.172106824925816"/>
    <n v="140.41666666666666"/>
  </r>
  <r>
    <n v="405427"/>
    <x v="37"/>
    <x v="0"/>
    <s v="E1-BMP Enea"/>
    <n v="5"/>
    <n v="8897.7999999999993"/>
    <n v="44489"/>
    <d v="2026-06-07T00:00:00"/>
    <n v="0"/>
    <x v="10"/>
    <n v="0"/>
    <n v="0"/>
  </r>
  <r>
    <n v="107323"/>
    <x v="38"/>
    <x v="0"/>
    <s v="E1-BMP Enea"/>
    <n v="3220"/>
    <n v="228.86"/>
    <n v="736929.2"/>
    <d v="2026-06-07T00:00:00"/>
    <n v="152.05882352941177"/>
    <x v="4"/>
    <n v="21.176015473887812"/>
    <n v="608.23529411764707"/>
  </r>
  <r>
    <n v="107300"/>
    <x v="39"/>
    <x v="0"/>
    <s v="E1-BMP Enea"/>
    <n v="15540"/>
    <n v="212.21"/>
    <n v="3297743.4"/>
    <d v="2026-06-07T00:00:00"/>
    <n v="1479.4444444444443"/>
    <x v="4"/>
    <n v="10.503942921517087"/>
    <n v="5917.7777777777774"/>
  </r>
  <r>
    <n v="403355"/>
    <x v="40"/>
    <x v="0"/>
    <s v="E1-BMP Enea"/>
    <n v="66.400000000000006"/>
    <n v="1999.5"/>
    <n v="132766.79999999999"/>
    <d v="2026-06-07T00:00:00"/>
    <n v="0"/>
    <x v="11"/>
    <n v="0"/>
    <n v="0"/>
  </r>
  <r>
    <n v="405560"/>
    <x v="41"/>
    <x v="0"/>
    <s v="E1-BMP Enea"/>
    <n v="181.16"/>
    <n v="3848.3"/>
    <n v="697158.02800000005"/>
    <d v="2026-06-07T00:00:00"/>
    <n v="10.795833333333334"/>
    <x v="12"/>
    <n v="16.78054805094558"/>
    <n v="53.979166666666671"/>
  </r>
  <r>
    <n v="405559"/>
    <x v="42"/>
    <x v="0"/>
    <s v="E1-BMP Enea"/>
    <n v="475.2"/>
    <n v="6554.41"/>
    <n v="3114655.6320000002"/>
    <d v="2026-06-07T00:00:00"/>
    <n v="12.613725490196076"/>
    <x v="13"/>
    <n v="37.673247318513916"/>
    <n v="63.068627450980387"/>
  </r>
  <r>
    <n v="170183"/>
    <x v="43"/>
    <x v="0"/>
    <s v="E1-BMP Enea"/>
    <n v="436"/>
    <n v="3376"/>
    <n v="1471936"/>
    <d v="2026-06-07T00:00:00"/>
    <n v="0"/>
    <x v="13"/>
    <n v="0"/>
    <n v="0"/>
  </r>
  <r>
    <n v="107342"/>
    <x v="44"/>
    <x v="0"/>
    <s v="E1-BMP Enea"/>
    <n v="1324"/>
    <n v="2391"/>
    <n v="3165684"/>
    <d v="2026-06-07T00:00:00"/>
    <n v="125.62820512820512"/>
    <x v="13"/>
    <n v="10.539034595366875"/>
    <n v="628.14102564102564"/>
  </r>
  <r>
    <n v="107237"/>
    <x v="45"/>
    <x v="0"/>
    <s v="E1-BMP Enea"/>
    <n v="1068"/>
    <n v="4103.25"/>
    <n v="4382271"/>
    <d v="2026-06-07T00:00:00"/>
    <n v="163.86851851851853"/>
    <x v="13"/>
    <n v="6.5174202443241533"/>
    <n v="819.34259259259261"/>
  </r>
  <r>
    <n v="107142"/>
    <x v="46"/>
    <x v="0"/>
    <s v="E1-BMP Enea"/>
    <n v="1174"/>
    <n v="3249.95"/>
    <n v="3815441.3"/>
    <d v="2026-06-07T00:00:00"/>
    <n v="172.32407407407405"/>
    <x v="13"/>
    <n v="6.8127451507173191"/>
    <n v="861.62037037037021"/>
  </r>
  <r>
    <n v="393400"/>
    <x v="47"/>
    <x v="0"/>
    <s v="E1-BMP Enea"/>
    <n v="120"/>
    <n v="3770"/>
    <n v="452400"/>
    <d v="2026-06-07T00:00:00"/>
    <n v="5.6078431372549025"/>
    <x v="2"/>
    <n v="21.398601398601397"/>
    <n v="28.03921568627451"/>
  </r>
  <r>
    <n v="107098"/>
    <x v="48"/>
    <x v="0"/>
    <s v="E1-BMP Enea"/>
    <n v="830"/>
    <n v="3199.09"/>
    <n v="2655244.7000000002"/>
    <d v="2026-06-07T00:00:00"/>
    <n v="284.16666666666669"/>
    <x v="13"/>
    <n v="2.9208211143695011"/>
    <n v="1420.8333333333335"/>
  </r>
  <r>
    <n v="107242"/>
    <x v="49"/>
    <x v="0"/>
    <s v="E1-BMP Enea"/>
    <n v="4555"/>
    <n v="4270.74"/>
    <n v="19453220.699999999"/>
    <d v="2026-06-07T00:00:00"/>
    <n v="284.53703703703701"/>
    <x v="13"/>
    <n v="16.00846078750407"/>
    <n v="1138.148148148148"/>
  </r>
  <r>
    <n v="405673"/>
    <x v="50"/>
    <x v="0"/>
    <s v="E1-BMP Enea"/>
    <n v="176"/>
    <n v="3512"/>
    <n v="618112"/>
    <d v="2026-06-07T00:00:00"/>
    <n v="0"/>
    <x v="13"/>
    <n v="0"/>
    <n v="0"/>
  </r>
  <r>
    <n v="103612"/>
    <x v="51"/>
    <x v="0"/>
    <s v="E1-BMP Enea"/>
    <n v="698"/>
    <n v="2600"/>
    <n v="1814800"/>
    <d v="2026-06-07T00:00:00"/>
    <n v="465.37962962962962"/>
    <x v="13"/>
    <n v="1.4998507789339648"/>
    <n v="2326.8981481481483"/>
  </r>
  <r>
    <n v="107104"/>
    <x v="52"/>
    <x v="0"/>
    <s v="E1-BMP Enea"/>
    <n v="5633"/>
    <n v="3380"/>
    <n v="19039540"/>
    <d v="2026-06-07T00:00:00"/>
    <n v="1641.2962962962963"/>
    <x v="13"/>
    <n v="3.4320433261875212"/>
    <n v="8206.4814814814818"/>
  </r>
  <r>
    <n v="107105"/>
    <x v="53"/>
    <x v="0"/>
    <s v="E1-BMP Enea"/>
    <n v="360"/>
    <n v="1903.37"/>
    <n v="685213.2"/>
    <d v="2026-06-07T00:00:00"/>
    <n v="69.541666666666671"/>
    <x v="6"/>
    <n v="5.1767525464349911"/>
    <n v="347.70833333333337"/>
  </r>
  <r>
    <n v="107209"/>
    <x v="54"/>
    <x v="0"/>
    <s v="E1-BMP Enea"/>
    <n v="1808"/>
    <n v="2402.5"/>
    <n v="4343720"/>
    <d v="2026-06-07T00:00:00"/>
    <n v="946.30555555555554"/>
    <x v="13"/>
    <n v="1.9105879590219275"/>
    <n v="4731.5277777777774"/>
  </r>
  <r>
    <n v="107345"/>
    <x v="55"/>
    <x v="0"/>
    <s v="E1-BMP Enea"/>
    <n v="8400"/>
    <n v="185.4"/>
    <n v="1557360"/>
    <d v="2026-06-07T00:00:00"/>
    <n v="265.00980392156862"/>
    <x v="4"/>
    <n v="31.696940549739189"/>
    <n v="1060.0392156862745"/>
  </r>
  <r>
    <n v="403212"/>
    <x v="56"/>
    <x v="0"/>
    <s v="E1-BMP Enea"/>
    <n v="2084"/>
    <n v="210"/>
    <n v="437640"/>
    <d v="2026-06-07T00:00:00"/>
    <n v="0"/>
    <x v="4"/>
    <n v="0"/>
    <n v="0"/>
  </r>
  <r>
    <n v="107339"/>
    <x v="57"/>
    <x v="0"/>
    <s v="E1-BMP Enea"/>
    <n v="6510"/>
    <n v="258.52"/>
    <n v="1682965.2"/>
    <d v="2026-06-07T00:00:00"/>
    <n v="866.21296296296293"/>
    <x v="4"/>
    <n v="7.5154728436895386"/>
    <n v="3464.8518518518517"/>
  </r>
  <r>
    <n v="405444"/>
    <x v="58"/>
    <x v="0"/>
    <s v="E1-BMP Enea"/>
    <n v="35700"/>
    <n v="251.99"/>
    <n v="8996043"/>
    <d v="2026-06-07T00:00:00"/>
    <n v="9166.7129629629635"/>
    <x v="4"/>
    <n v="3.8945257852233066"/>
    <n v="36666.851851851854"/>
  </r>
  <r>
    <n v="405278"/>
    <x v="59"/>
    <x v="0"/>
    <s v="E1-BMP Enea"/>
    <n v="5040"/>
    <n v="243.04"/>
    <n v="1224921.6000000001"/>
    <d v="2026-06-07T00:00:00"/>
    <n v="1031.2129629629628"/>
    <x v="4"/>
    <n v="4.8874482585233148"/>
    <n v="4124.8518518518513"/>
  </r>
  <r>
    <n v="404314"/>
    <x v="60"/>
    <x v="0"/>
    <s v="E1-BMP Enea"/>
    <n v="1700"/>
    <n v="235.85"/>
    <n v="400945"/>
    <d v="2026-06-07T00:00:00"/>
    <n v="66.67647058823529"/>
    <x v="4"/>
    <n v="25.496250551389505"/>
    <n v="400.05882352941171"/>
  </r>
  <r>
    <n v="107303"/>
    <x v="61"/>
    <x v="0"/>
    <s v="E1-BMP Enea"/>
    <n v="152"/>
    <n v="22359.360000000001"/>
    <n v="3398622.72"/>
    <d v="2026-06-07T00:00:00"/>
    <n v="3.725490196078431"/>
    <x v="2"/>
    <n v="40.800000000000004"/>
    <n v="18.627450980392155"/>
  </r>
  <r>
    <n v="107127"/>
    <x v="62"/>
    <x v="0"/>
    <s v="E1-BMP Enea"/>
    <n v="572"/>
    <n v="6258.69"/>
    <n v="3579970.68"/>
    <d v="2026-06-07T00:00:00"/>
    <n v="19.754901960784313"/>
    <x v="2"/>
    <n v="28.954838709677421"/>
    <n v="98.774509803921575"/>
  </r>
  <r>
    <n v="107344"/>
    <x v="63"/>
    <x v="0"/>
    <s v="E1-BMP Enea"/>
    <n v="6720"/>
    <n v="239.97"/>
    <n v="1612598.4"/>
    <d v="2026-06-07T00:00:00"/>
    <n v="773.8888888888888"/>
    <x v="4"/>
    <n v="8.683417085427136"/>
    <n v="3095.5555555555552"/>
  </r>
  <r>
    <n v="107108"/>
    <x v="64"/>
    <x v="0"/>
    <s v="E1-BMP Enea"/>
    <n v="607.5"/>
    <n v="4199.67"/>
    <n v="2551299.5249999999"/>
    <d v="2026-06-07T00:00:00"/>
    <n v="181.95833333333334"/>
    <x v="2"/>
    <n v="3.3386764369132127"/>
    <n v="909.79166666666674"/>
  </r>
  <r>
    <n v="403278"/>
    <x v="65"/>
    <x v="0"/>
    <s v="E1-BMP Enea"/>
    <n v="30509"/>
    <n v="27"/>
    <n v="823743"/>
    <d v="2026-06-07T00:00:00"/>
    <n v="868.05555555555554"/>
    <x v="14"/>
    <n v="35.146368000000002"/>
    <n v="14756.944444444445"/>
  </r>
  <r>
    <n v="107292"/>
    <x v="66"/>
    <x v="0"/>
    <s v="E1-BMP Enea"/>
    <n v="3600"/>
    <n v="39"/>
    <n v="140400"/>
    <d v="2026-06-07T00:00:00"/>
    <n v="3093.8888888888887"/>
    <x v="14"/>
    <n v="1.163584126414078"/>
    <n v="52596.111111111109"/>
  </r>
  <r>
    <n v="405740"/>
    <x v="67"/>
    <x v="0"/>
    <s v="E1-BMP Enea"/>
    <n v="209800"/>
    <n v="24.9"/>
    <n v="5224020"/>
    <d v="2026-06-07T00:00:00"/>
    <n v="6111.1111111111104"/>
    <x v="14"/>
    <n v="34.330909090909095"/>
    <n v="48888.888888888883"/>
  </r>
  <r>
    <n v="405587"/>
    <x v="68"/>
    <x v="0"/>
    <s v="E1-BMP Enea"/>
    <n v="100000"/>
    <n v="11"/>
    <n v="1100000"/>
    <d v="2026-06-07T00:00:00"/>
    <n v="18518.518518518518"/>
    <x v="14"/>
    <n v="5.4"/>
    <n v="166666.66666666669"/>
  </r>
  <r>
    <n v="107210"/>
    <x v="69"/>
    <x v="0"/>
    <s v="E1-BMP Enea"/>
    <n v="6802.25"/>
    <n v="771.66"/>
    <n v="5249024.2350000003"/>
    <d v="2026-06-07T00:00:00"/>
    <n v="2608.3333333333335"/>
    <x v="3"/>
    <n v="2.6078913738019169"/>
    <n v="13041.666666666668"/>
  </r>
  <r>
    <n v="405582"/>
    <x v="70"/>
    <x v="0"/>
    <s v="E1-BMP Enea"/>
    <n v="45500"/>
    <n v="49"/>
    <n v="2229500"/>
    <d v="2026-06-07T00:00:00"/>
    <n v="743.05555555555554"/>
    <x v="14"/>
    <n v="61.233644859813083"/>
    <n v="12631.944444444445"/>
  </r>
  <r>
    <n v="405583"/>
    <x v="71"/>
    <x v="0"/>
    <s v="E1-BMP Enea"/>
    <n v="236550"/>
    <n v="49"/>
    <n v="11590950"/>
    <d v="2026-06-07T00:00:00"/>
    <n v="1522.3958333333333"/>
    <x v="14"/>
    <n v="155.3800889497092"/>
    <n v="25880.729166666668"/>
  </r>
  <r>
    <n v="353009"/>
    <x v="72"/>
    <x v="0"/>
    <s v="E1-BMP Enea"/>
    <n v="18442"/>
    <n v="152.29"/>
    <n v="2808532.18"/>
    <d v="2026-06-07T00:00:00"/>
    <n v="9372.7777777777774"/>
    <x v="3"/>
    <n v="1.9676130638373541"/>
    <n v="0"/>
  </r>
  <r>
    <n v="107247"/>
    <x v="73"/>
    <x v="0"/>
    <s v="E1-BMP Enea"/>
    <n v="1210"/>
    <n v="3090"/>
    <n v="3738900"/>
    <d v="2026-06-07T00:00:00"/>
    <n v="151.61764705882354"/>
    <x v="15"/>
    <n v="7.9806013579049466"/>
    <n v="606.47058823529414"/>
  </r>
  <r>
    <n v="107294"/>
    <x v="74"/>
    <x v="0"/>
    <s v="E1-BMP Enea"/>
    <n v="2664"/>
    <n v="1660"/>
    <n v="4422240"/>
    <d v="2026-06-07T00:00:00"/>
    <n v="346.53703703703701"/>
    <x v="6"/>
    <n v="7.6874899802276495"/>
    <n v="1732.6851851851852"/>
  </r>
  <r>
    <n v="107125"/>
    <x v="75"/>
    <x v="0"/>
    <s v="E1-BMP Enea"/>
    <n v="378"/>
    <n v="2583"/>
    <n v="976374"/>
    <d v="2026-06-07T00:00:00"/>
    <n v="6.1333333333333329"/>
    <x v="8"/>
    <n v="61.630434782608702"/>
    <n v="30.666666666666664"/>
  </r>
  <r>
    <n v="107401"/>
    <x v="76"/>
    <x v="0"/>
    <s v="E1-BMP Enea"/>
    <n v="1020.6"/>
    <n v="2426.11"/>
    <n v="2476087.8659999999"/>
    <d v="2026-06-07T00:00:00"/>
    <n v="89.75"/>
    <x v="8"/>
    <n v="11.37158774373259"/>
    <n v="359"/>
  </r>
  <r>
    <n v="405305"/>
    <x v="77"/>
    <x v="0"/>
    <s v="E1-BMP Enea"/>
    <n v="20"/>
    <n v="20948.900000000001"/>
    <n v="418978"/>
    <d v="2026-06-07T00:00:00"/>
    <n v="0"/>
    <x v="1"/>
    <n v="0"/>
    <n v="0"/>
  </r>
  <r>
    <n v="405652"/>
    <x v="78"/>
    <x v="0"/>
    <s v="E1-BMP Enea"/>
    <n v="24"/>
    <n v="1970.13"/>
    <n v="47283.12"/>
    <d v="2026-06-07T00:00:00"/>
    <n v="0.2857142857142857"/>
    <x v="1"/>
    <n v="84"/>
    <n v="1.1428571428571428"/>
  </r>
  <r>
    <n v="405358"/>
    <x v="79"/>
    <x v="0"/>
    <s v="E1-BMP Enea"/>
    <n v="5000"/>
    <n v="17.55"/>
    <n v="87750"/>
    <d v="2026-06-07T00:00:00"/>
    <n v="355.5555555555556"/>
    <x v="16"/>
    <n v="14.062499999999998"/>
    <n v="2844.4444444444448"/>
  </r>
  <r>
    <n v="405712"/>
    <x v="80"/>
    <x v="0"/>
    <s v="E1-BMP Enea"/>
    <n v="10000"/>
    <n v="22.7"/>
    <n v="227000"/>
    <d v="2026-06-07T00:00:00"/>
    <n v="1666.6666666666667"/>
    <x v="16"/>
    <n v="6"/>
    <n v="13333.333333333334"/>
  </r>
  <r>
    <n v="405453"/>
    <x v="81"/>
    <x v="0"/>
    <s v="E1-BMP Enea"/>
    <n v="3000"/>
    <n v="20.7"/>
    <n v="62100"/>
    <d v="2026-06-07T00:00:00"/>
    <n v="166.66666666666666"/>
    <x v="16"/>
    <n v="18"/>
    <n v="1333.3333333333333"/>
  </r>
  <r>
    <n v="405785"/>
    <x v="82"/>
    <x v="0"/>
    <s v="E1-BMP Enea"/>
    <n v="5000"/>
    <n v="20.7"/>
    <n v="103500"/>
    <d v="2026-06-07T00:00:00"/>
    <n v="0"/>
    <x v="16"/>
    <n v="0"/>
    <n v="0"/>
  </r>
  <r>
    <n v="405752"/>
    <x v="83"/>
    <x v="0"/>
    <s v="E1-BMP Enea"/>
    <n v="5000"/>
    <n v="22.7"/>
    <n v="113500"/>
    <d v="2026-06-07T00:00:00"/>
    <n v="0"/>
    <x v="16"/>
    <n v="0"/>
    <n v="0"/>
  </r>
  <r>
    <n v="405687"/>
    <x v="84"/>
    <x v="0"/>
    <s v="E1-BMP Enea"/>
    <n v="4000"/>
    <n v="45"/>
    <n v="180000"/>
    <d v="2026-06-07T00:00:00"/>
    <n v="166.66666666666666"/>
    <x v="16"/>
    <n v="24"/>
    <n v="1333.3333333333333"/>
  </r>
  <r>
    <n v="405353"/>
    <x v="85"/>
    <x v="0"/>
    <s v="E1-BMP Enea"/>
    <n v="11000"/>
    <n v="22.7"/>
    <n v="249700"/>
    <d v="2026-06-07T00:00:00"/>
    <n v="633.33333333333337"/>
    <x v="16"/>
    <n v="17.368421052631579"/>
    <n v="5066.666666666667"/>
  </r>
  <r>
    <n v="405787"/>
    <x v="86"/>
    <x v="0"/>
    <s v="E1-BMP Enea"/>
    <n v="9000"/>
    <n v="22.7"/>
    <n v="204300"/>
    <d v="2026-06-07T00:00:00"/>
    <n v="0"/>
    <x v="16"/>
    <n v="0"/>
    <n v="0"/>
  </r>
  <r>
    <n v="405688"/>
    <x v="87"/>
    <x v="0"/>
    <s v="E1-BMP Enea"/>
    <n v="6000"/>
    <n v="45"/>
    <n v="270000"/>
    <d v="2026-06-07T00:00:00"/>
    <n v="166.66666666666666"/>
    <x v="16"/>
    <n v="36"/>
    <n v="1333.3333333333333"/>
  </r>
  <r>
    <n v="405698"/>
    <x v="88"/>
    <x v="0"/>
    <s v="E1-BMP Enea"/>
    <n v="3000"/>
    <n v="26"/>
    <n v="78000"/>
    <d v="2026-06-07T00:00:00"/>
    <n v="166.66666666666666"/>
    <x v="16"/>
    <n v="18"/>
    <n v="1333.3333333333333"/>
  </r>
  <r>
    <n v="405449"/>
    <x v="89"/>
    <x v="0"/>
    <s v="E1-BMP Enea"/>
    <n v="15000"/>
    <n v="22.7"/>
    <n v="340500"/>
    <d v="2026-06-07T00:00:00"/>
    <n v="200"/>
    <x v="16"/>
    <n v="75"/>
    <n v="1600"/>
  </r>
  <r>
    <n v="405448"/>
    <x v="90"/>
    <x v="0"/>
    <s v="E1-BMP Enea"/>
    <n v="6000"/>
    <n v="21.95"/>
    <n v="131700"/>
    <d v="2026-06-07T00:00:00"/>
    <n v="166.66666666666666"/>
    <x v="16"/>
    <n v="36"/>
    <n v="1333.3333333333333"/>
  </r>
  <r>
    <n v="405753"/>
    <x v="91"/>
    <x v="0"/>
    <s v="E1-BMP Enea"/>
    <n v="5000"/>
    <n v="22.7"/>
    <n v="113500"/>
    <d v="2026-06-07T00:00:00"/>
    <n v="0"/>
    <x v="16"/>
    <n v="0"/>
    <n v="0"/>
  </r>
  <r>
    <n v="405302"/>
    <x v="92"/>
    <x v="0"/>
    <s v="E1-BMP Enea"/>
    <n v="6000"/>
    <n v="17.170000000000002"/>
    <n v="103020"/>
    <d v="2026-06-07T00:00:00"/>
    <n v="178.57142857142856"/>
    <x v="16"/>
    <n v="33.6"/>
    <n v="1428.5714285714284"/>
  </r>
  <r>
    <n v="405535"/>
    <x v="93"/>
    <x v="0"/>
    <s v="E1-BMP Enea"/>
    <n v="12000"/>
    <n v="26"/>
    <n v="312000"/>
    <d v="2026-06-07T00:00:00"/>
    <n v="0"/>
    <x v="16"/>
    <n v="0"/>
    <n v="0"/>
  </r>
  <r>
    <n v="405129"/>
    <x v="94"/>
    <x v="0"/>
    <s v="E1-BMP Enea"/>
    <n v="20000"/>
    <n v="20.7"/>
    <n v="414000"/>
    <d v="2026-06-07T00:00:00"/>
    <n v="1000"/>
    <x v="16"/>
    <n v="20"/>
    <n v="8000"/>
  </r>
  <r>
    <n v="405754"/>
    <x v="95"/>
    <x v="0"/>
    <s v="E1-BMP Enea"/>
    <n v="4000"/>
    <n v="45"/>
    <n v="180000"/>
    <d v="2026-06-07T00:00:00"/>
    <n v="0"/>
    <x v="16"/>
    <n v="0"/>
    <n v="0"/>
  </r>
  <r>
    <n v="405207"/>
    <x v="96"/>
    <x v="0"/>
    <s v="E1-BMP Enea"/>
    <n v="17000"/>
    <n v="29.4"/>
    <n v="499800"/>
    <d v="2026-06-07T00:00:00"/>
    <n v="188.88888888888889"/>
    <x v="16"/>
    <n v="90"/>
    <n v="1511.1111111111111"/>
  </r>
  <r>
    <n v="405206"/>
    <x v="97"/>
    <x v="0"/>
    <s v="E1-BMP Enea"/>
    <n v="6000"/>
    <n v="29.4"/>
    <n v="176400"/>
    <d v="2026-06-07T00:00:00"/>
    <n v="388.88888888888891"/>
    <x v="16"/>
    <n v="15.428571428571427"/>
    <n v="3111.1111111111113"/>
  </r>
  <r>
    <n v="405686"/>
    <x v="98"/>
    <x v="0"/>
    <s v="E1-BMP Enea"/>
    <n v="6000"/>
    <n v="45"/>
    <n v="270000"/>
    <d v="2026-06-07T00:00:00"/>
    <n v="166.66666666666666"/>
    <x v="16"/>
    <n v="36"/>
    <n v="1333.3333333333333"/>
  </r>
  <r>
    <n v="405301"/>
    <x v="99"/>
    <x v="0"/>
    <s v="E1-BMP Enea"/>
    <n v="9000"/>
    <n v="17.170000000000002"/>
    <n v="154530"/>
    <d v="2026-06-07T00:00:00"/>
    <n v="178.57142857142856"/>
    <x v="16"/>
    <n v="50.400000000000006"/>
    <n v="1428.5714285714284"/>
  </r>
  <r>
    <n v="405300"/>
    <x v="100"/>
    <x v="0"/>
    <s v="E1-BMP Enea"/>
    <n v="8000"/>
    <n v="17.170000000000002"/>
    <n v="137360"/>
    <d v="2026-06-07T00:00:00"/>
    <n v="404.76190476190476"/>
    <x v="16"/>
    <n v="19.764705882352942"/>
    <n v="3238.0952380952381"/>
  </r>
  <r>
    <n v="405127"/>
    <x v="101"/>
    <x v="0"/>
    <s v="E1-BMP Enea"/>
    <n v="4000"/>
    <n v="22.7"/>
    <n v="90800"/>
    <d v="2026-06-07T00:00:00"/>
    <n v="655.55555555555554"/>
    <x v="16"/>
    <n v="6.101694915254237"/>
    <n v="5244.4444444444443"/>
  </r>
  <r>
    <n v="405160"/>
    <x v="102"/>
    <x v="0"/>
    <s v="E1-BMP Enea"/>
    <n v="25000"/>
    <n v="16.16"/>
    <n v="404000"/>
    <d v="2026-06-07T00:00:00"/>
    <n v="1333.3333333333333"/>
    <x v="16"/>
    <n v="18.75"/>
    <n v="10666.666666666666"/>
  </r>
  <r>
    <n v="405205"/>
    <x v="103"/>
    <x v="0"/>
    <s v="E1-BMP Enea"/>
    <n v="15000"/>
    <n v="29.4"/>
    <n v="441000"/>
    <d v="2026-06-07T00:00:00"/>
    <n v="1244.4444444444446"/>
    <x v="16"/>
    <n v="12.053571428571427"/>
    <n v="9955.5555555555566"/>
  </r>
  <r>
    <n v="405049"/>
    <x v="104"/>
    <x v="0"/>
    <s v="E1-BMP Enea"/>
    <n v="140000"/>
    <n v="1.55"/>
    <n v="217000"/>
    <d v="2026-06-07T00:00:00"/>
    <n v="8333.3333333333339"/>
    <x v="16"/>
    <n v="16.799999999999997"/>
    <n v="66666.666666666672"/>
  </r>
  <r>
    <n v="404719"/>
    <x v="105"/>
    <x v="0"/>
    <s v="E1-BMP Enea"/>
    <n v="36000"/>
    <n v="15.86"/>
    <n v="570960"/>
    <d v="2026-06-07T00:00:00"/>
    <n v="0"/>
    <x v="16"/>
    <n v="0"/>
    <n v="0"/>
  </r>
  <r>
    <n v="405159"/>
    <x v="106"/>
    <x v="0"/>
    <s v="E1-BMP Enea"/>
    <n v="18000"/>
    <n v="14.78"/>
    <n v="266040"/>
    <d v="2026-06-07T00:00:00"/>
    <n v="833.33333333333337"/>
    <x v="16"/>
    <n v="21.599999999999998"/>
    <n v="6666.666666666667"/>
  </r>
  <r>
    <n v="405461"/>
    <x v="107"/>
    <x v="0"/>
    <s v="E1-BMP Enea"/>
    <n v="5000"/>
    <n v="5"/>
    <n v="25000"/>
    <d v="2026-06-07T00:00:00"/>
    <n v="416.66666666666669"/>
    <x v="16"/>
    <n v="12"/>
    <n v="3333.3333333333335"/>
  </r>
  <r>
    <n v="404736"/>
    <x v="108"/>
    <x v="0"/>
    <s v="E1-BMP Enea"/>
    <n v="5000"/>
    <n v="17.170000000000002"/>
    <n v="85850"/>
    <d v="2026-06-07T00:00:00"/>
    <n v="215.68627450980389"/>
    <x v="16"/>
    <n v="23.181818181818183"/>
    <n v="1725.4901960784312"/>
  </r>
  <r>
    <n v="404735"/>
    <x v="109"/>
    <x v="0"/>
    <s v="E1-BMP Enea"/>
    <n v="4000"/>
    <n v="17.170000000000002"/>
    <n v="68680"/>
    <d v="2026-06-07T00:00:00"/>
    <n v="366.66666666666669"/>
    <x v="16"/>
    <n v="10.909090909090908"/>
    <n v="2933.3333333333335"/>
  </r>
  <r>
    <n v="107227"/>
    <x v="110"/>
    <x v="0"/>
    <s v="E1-BMP Enea"/>
    <n v="5000"/>
    <n v="22.7"/>
    <n v="113500"/>
    <d v="2026-06-07T00:00:00"/>
    <n v="388.88888888888891"/>
    <x v="16"/>
    <n v="12.857142857142856"/>
    <n v="3111.1111111111113"/>
  </r>
  <r>
    <n v="107228"/>
    <x v="111"/>
    <x v="0"/>
    <s v="E1-BMP Enea"/>
    <n v="12000"/>
    <n v="22.7"/>
    <n v="272400"/>
    <d v="2026-06-07T00:00:00"/>
    <n v="300"/>
    <x v="16"/>
    <n v="40"/>
    <n v="2400"/>
  </r>
  <r>
    <n v="405103"/>
    <x v="112"/>
    <x v="0"/>
    <s v="E1-BMP Enea"/>
    <n v="117000"/>
    <n v="15.43"/>
    <n v="1805310"/>
    <d v="2026-06-07T00:00:00"/>
    <n v="15647.058823529413"/>
    <x v="16"/>
    <n v="7.477443609022556"/>
    <n v="125176.4705882353"/>
  </r>
  <r>
    <n v="404722"/>
    <x v="113"/>
    <x v="0"/>
    <s v="E1-BMP Enea"/>
    <n v="370000"/>
    <n v="2.72"/>
    <n v="1006400"/>
    <d v="2026-06-07T00:00:00"/>
    <n v="19444.444444444445"/>
    <x v="16"/>
    <n v="19.028571428571428"/>
    <n v="155555.55555555556"/>
  </r>
  <r>
    <n v="404748"/>
    <x v="114"/>
    <x v="0"/>
    <s v="E1-BMP Enea"/>
    <n v="46000"/>
    <n v="13.69"/>
    <n v="629740"/>
    <d v="2026-06-07T00:00:00"/>
    <n v="444.4444444444444"/>
    <x v="16"/>
    <n v="103.50000000000001"/>
    <n v="3555.5555555555552"/>
  </r>
  <r>
    <n v="404739"/>
    <x v="115"/>
    <x v="0"/>
    <s v="E1-BMP Enea"/>
    <n v="16000"/>
    <n v="22.68"/>
    <n v="362880"/>
    <d v="2026-06-07T00:00:00"/>
    <n v="1333.3333333333333"/>
    <x v="16"/>
    <n v="12"/>
    <n v="10666.666666666666"/>
  </r>
  <r>
    <n v="404738"/>
    <x v="116"/>
    <x v="0"/>
    <s v="E1-BMP Enea"/>
    <n v="8000"/>
    <n v="22.7"/>
    <n v="181600"/>
    <d v="2026-06-07T00:00:00"/>
    <n v="756.41025641025635"/>
    <x v="16"/>
    <n v="10.576271186440678"/>
    <n v="6051.2820512820508"/>
  </r>
  <r>
    <n v="404745"/>
    <x v="117"/>
    <x v="0"/>
    <s v="E1-BMP Enea"/>
    <n v="4000"/>
    <n v="17.170000000000002"/>
    <n v="68680"/>
    <d v="2026-06-07T00:00:00"/>
    <n v="421.56862745098039"/>
    <x v="16"/>
    <n v="9.4883720930232567"/>
    <n v="3372.5490196078431"/>
  </r>
  <r>
    <n v="393422"/>
    <x v="118"/>
    <x v="0"/>
    <s v="E1-BMP Enea"/>
    <n v="8000"/>
    <n v="22.43"/>
    <n v="179440"/>
    <d v="2026-06-07T00:00:00"/>
    <n v="203.7037037037037"/>
    <x v="16"/>
    <n v="39.272727272727273"/>
    <n v="1629.6296296296296"/>
  </r>
  <r>
    <n v="393421"/>
    <x v="119"/>
    <x v="0"/>
    <s v="E1-BMP Enea"/>
    <n v="6000"/>
    <n v="22.62"/>
    <n v="135720"/>
    <d v="2026-06-07T00:00:00"/>
    <n v="194.44444444444446"/>
    <x v="16"/>
    <n v="30.857142857142854"/>
    <n v="1555.5555555555557"/>
  </r>
  <r>
    <n v="405615"/>
    <x v="120"/>
    <x v="0"/>
    <s v="E1-BMP Enea"/>
    <n v="10000"/>
    <n v="22.7"/>
    <n v="227000"/>
    <d v="2026-06-07T00:00:00"/>
    <n v="200"/>
    <x v="16"/>
    <n v="50"/>
    <n v="1600"/>
  </r>
  <r>
    <n v="405553"/>
    <x v="121"/>
    <x v="0"/>
    <s v="E1-BMP Enea"/>
    <n v="6000"/>
    <n v="25.34"/>
    <n v="152040"/>
    <d v="2026-06-07T00:00:00"/>
    <n v="454.54545454545456"/>
    <x v="16"/>
    <n v="13.2"/>
    <n v="3636.3636363636365"/>
  </r>
  <r>
    <n v="393426"/>
    <x v="122"/>
    <x v="0"/>
    <s v="E1-BMP Enea"/>
    <n v="4000"/>
    <n v="17.170000000000002"/>
    <n v="68680"/>
    <d v="2026-06-07T00:00:00"/>
    <n v="344.4444444444444"/>
    <x v="16"/>
    <n v="11.612903225806454"/>
    <n v="2755.5555555555552"/>
  </r>
  <r>
    <n v="404737"/>
    <x v="123"/>
    <x v="0"/>
    <s v="E1-BMP Enea"/>
    <n v="14000"/>
    <n v="22.7"/>
    <n v="317800"/>
    <d v="2026-06-07T00:00:00"/>
    <n v="858.97435897435901"/>
    <x v="16"/>
    <n v="16.298507462686565"/>
    <n v="6871.7948717948721"/>
  </r>
  <r>
    <n v="393423"/>
    <x v="124"/>
    <x v="0"/>
    <s v="E1-BMP Enea"/>
    <n v="9000"/>
    <n v="22.7"/>
    <n v="204300"/>
    <d v="2026-06-07T00:00:00"/>
    <n v="272.72727272727269"/>
    <x v="16"/>
    <n v="33.000000000000007"/>
    <n v="2181.8181818181815"/>
  </r>
  <r>
    <n v="405554"/>
    <x v="125"/>
    <x v="0"/>
    <s v="E1-BMP Enea"/>
    <n v="10000"/>
    <n v="26"/>
    <n v="260000"/>
    <d v="2026-06-07T00:00:00"/>
    <n v="166.66666666666666"/>
    <x v="16"/>
    <n v="60"/>
    <n v="1333.3333333333333"/>
  </r>
  <r>
    <n v="405376"/>
    <x v="126"/>
    <x v="0"/>
    <s v="E1-BMP Enea"/>
    <n v="11000"/>
    <n v="22.7"/>
    <n v="249700"/>
    <d v="2026-06-07T00:00:00"/>
    <n v="740.74074074074076"/>
    <x v="16"/>
    <n v="14.85"/>
    <n v="5925.9259259259261"/>
  </r>
  <r>
    <n v="393425"/>
    <x v="127"/>
    <x v="0"/>
    <s v="E1-BMP Enea"/>
    <n v="3000"/>
    <n v="22.27"/>
    <n v="66810"/>
    <d v="2026-06-07T00:00:00"/>
    <n v="208.33333333333334"/>
    <x v="16"/>
    <n v="14.399999999999999"/>
    <n v="1666.6666666666667"/>
  </r>
  <r>
    <n v="107266"/>
    <x v="128"/>
    <x v="0"/>
    <s v="E1-BMP Enea"/>
    <n v="9000"/>
    <n v="13.65"/>
    <n v="122850"/>
    <d v="2026-06-07T00:00:00"/>
    <n v="500"/>
    <x v="16"/>
    <n v="18"/>
    <n v="4000"/>
  </r>
  <r>
    <n v="405111"/>
    <x v="129"/>
    <x v="0"/>
    <s v="E1-BMP Enea"/>
    <n v="5000"/>
    <n v="17.170000000000002"/>
    <n v="85850"/>
    <d v="2026-06-07T00:00:00"/>
    <n v="583.33333333333337"/>
    <x v="16"/>
    <n v="8.5714285714285712"/>
    <n v="4666.666666666667"/>
  </r>
  <r>
    <n v="405721"/>
    <x v="130"/>
    <x v="0"/>
    <s v="E1-BMP Enea"/>
    <n v="10000"/>
    <n v="20.7"/>
    <n v="207000"/>
    <d v="2026-06-07T00:00:00"/>
    <n v="0"/>
    <x v="16"/>
    <n v="0"/>
    <n v="0"/>
  </r>
  <r>
    <n v="405552"/>
    <x v="131"/>
    <x v="0"/>
    <s v="E1-BMP Enea"/>
    <n v="9000"/>
    <n v="22.7"/>
    <n v="204300"/>
    <d v="2026-06-07T00:00:00"/>
    <n v="0"/>
    <x v="16"/>
    <n v="0"/>
    <n v="0"/>
  </r>
  <r>
    <n v="405378"/>
    <x v="132"/>
    <x v="0"/>
    <s v="E1-BMP Enea"/>
    <n v="9000"/>
    <n v="22.7"/>
    <n v="204300"/>
    <d v="2026-06-07T00:00:00"/>
    <n v="0"/>
    <x v="16"/>
    <n v="0"/>
    <n v="0"/>
  </r>
  <r>
    <n v="405128"/>
    <x v="133"/>
    <x v="0"/>
    <s v="E1-BMP Enea"/>
    <n v="15000"/>
    <n v="20.7"/>
    <n v="310500"/>
    <d v="2026-06-07T00:00:00"/>
    <n v="1333.3333333333333"/>
    <x v="16"/>
    <n v="11.25"/>
    <n v="10666.666666666666"/>
  </r>
  <r>
    <n v="405377"/>
    <x v="134"/>
    <x v="0"/>
    <s v="E1-BMP Enea"/>
    <n v="7000"/>
    <n v="22.7"/>
    <n v="158900"/>
    <d v="2026-06-07T00:00:00"/>
    <n v="871.79487179487171"/>
    <x v="16"/>
    <n v="8.0294117647058822"/>
    <n v="6974.3589743589737"/>
  </r>
  <r>
    <n v="405310"/>
    <x v="135"/>
    <x v="0"/>
    <s v="E1-BMP Enea"/>
    <n v="100000"/>
    <n v="8"/>
    <n v="800000"/>
    <d v="2026-06-07T00:00:00"/>
    <n v="194.44444444444446"/>
    <x v="16"/>
    <n v="514.28571428571422"/>
    <n v="1555.5555555555557"/>
  </r>
  <r>
    <n v="405108"/>
    <x v="136"/>
    <x v="0"/>
    <s v="E1-BMP Enea"/>
    <n v="6000"/>
    <n v="22.7"/>
    <n v="136200"/>
    <d v="2026-06-07T00:00:00"/>
    <n v="666.66666666666663"/>
    <x v="16"/>
    <n v="9"/>
    <n v="5333.333333333333"/>
  </r>
  <r>
    <n v="405120"/>
    <x v="137"/>
    <x v="0"/>
    <s v="E1-BMP Enea"/>
    <n v="8000"/>
    <n v="22.7"/>
    <n v="181600"/>
    <d v="2026-06-07T00:00:00"/>
    <n v="611.11111111111109"/>
    <x v="16"/>
    <n v="13.090909090909092"/>
    <n v="4888.8888888888887"/>
  </r>
  <r>
    <n v="405036"/>
    <x v="138"/>
    <x v="0"/>
    <s v="E1-BMP Enea"/>
    <n v="7000"/>
    <n v="22.7"/>
    <n v="158900"/>
    <d v="2026-06-07T00:00:00"/>
    <n v="666.66666666666663"/>
    <x v="16"/>
    <n v="10.5"/>
    <n v="5333.333333333333"/>
  </r>
  <r>
    <n v="405131"/>
    <x v="139"/>
    <x v="0"/>
    <s v="E1-BMP Enea"/>
    <n v="4000"/>
    <n v="17.170000000000002"/>
    <n v="68680"/>
    <d v="2026-06-07T00:00:00"/>
    <n v="364.58333333333331"/>
    <x v="16"/>
    <n v="10.971428571428572"/>
    <n v="2916.6666666666665"/>
  </r>
  <r>
    <n v="405644"/>
    <x v="140"/>
    <x v="0"/>
    <s v="E1-BMP Enea"/>
    <n v="4000"/>
    <n v="22.7"/>
    <n v="90800"/>
    <d v="2026-06-07T00:00:00"/>
    <n v="214.28571428571431"/>
    <x v="16"/>
    <n v="18.666666666666664"/>
    <n v="1714.2857142857144"/>
  </r>
  <r>
    <n v="405089"/>
    <x v="141"/>
    <x v="0"/>
    <s v="E1-BMP Enea"/>
    <n v="12000"/>
    <n v="22.7"/>
    <n v="272400"/>
    <d v="2026-06-07T00:00:00"/>
    <n v="333.33333333333331"/>
    <x v="16"/>
    <n v="36"/>
    <n v="2666.6666666666665"/>
  </r>
  <r>
    <n v="405643"/>
    <x v="142"/>
    <x v="0"/>
    <s v="E1-BMP Enea"/>
    <n v="5000"/>
    <n v="22.7"/>
    <n v="113500"/>
    <d v="2026-06-07T00:00:00"/>
    <n v="222.2222222222222"/>
    <x v="16"/>
    <n v="22.500000000000004"/>
    <n v="1777.7777777777776"/>
  </r>
  <r>
    <n v="405090"/>
    <x v="143"/>
    <x v="0"/>
    <s v="E1-BMP Enea"/>
    <n v="15000"/>
    <n v="22.7"/>
    <n v="340500"/>
    <d v="2026-06-07T00:00:00"/>
    <n v="296.2962962962963"/>
    <x v="16"/>
    <n v="50.625"/>
    <n v="2370.3703703703704"/>
  </r>
  <r>
    <n v="405784"/>
    <x v="144"/>
    <x v="0"/>
    <s v="E1-BMP Enea"/>
    <n v="5000"/>
    <n v="22.7"/>
    <n v="113500"/>
    <d v="2026-06-07T00:00:00"/>
    <n v="0"/>
    <x v="16"/>
    <n v="0"/>
    <n v="0"/>
  </r>
  <r>
    <n v="405034"/>
    <x v="145"/>
    <x v="0"/>
    <s v="E1-BMP Enea"/>
    <n v="10000"/>
    <n v="17.170000000000002"/>
    <n v="171700"/>
    <d v="2026-06-07T00:00:00"/>
    <n v="854.16666666666663"/>
    <x v="16"/>
    <n v="11.707317073170731"/>
    <n v="6833.333333333333"/>
  </r>
  <r>
    <n v="405783"/>
    <x v="146"/>
    <x v="0"/>
    <s v="E1-BMP Enea"/>
    <n v="5000"/>
    <n v="22.7"/>
    <n v="113500"/>
    <d v="2026-06-07T00:00:00"/>
    <n v="0"/>
    <x v="16"/>
    <n v="0"/>
    <n v="0"/>
  </r>
  <r>
    <n v="405122"/>
    <x v="147"/>
    <x v="0"/>
    <s v="E1-BMP Enea"/>
    <n v="2000"/>
    <n v="22.7"/>
    <n v="45400"/>
    <d v="2026-06-07T00:00:00"/>
    <n v="452.38095238095235"/>
    <x v="16"/>
    <n v="4.4210526315789478"/>
    <n v="3619.0476190476188"/>
  </r>
  <r>
    <n v="405119"/>
    <x v="148"/>
    <x v="0"/>
    <s v="E1-BMP Enea"/>
    <n v="2000"/>
    <n v="17.170000000000002"/>
    <n v="34340"/>
    <d v="2026-06-07T00:00:00"/>
    <n v="431.37254901960779"/>
    <x v="16"/>
    <n v="4.6363636363636367"/>
    <n v="3450.9803921568623"/>
  </r>
  <r>
    <n v="405463"/>
    <x v="149"/>
    <x v="0"/>
    <s v="E1-BMP Enea"/>
    <n v="21000"/>
    <n v="20.239999999999998"/>
    <n v="425040"/>
    <d v="2026-06-07T00:00:00"/>
    <n v="333.33333333333331"/>
    <x v="16"/>
    <n v="63.000000000000007"/>
    <n v="2666.6666666666665"/>
  </r>
  <r>
    <n v="405130"/>
    <x v="150"/>
    <x v="0"/>
    <s v="E1-BMP Enea"/>
    <n v="10000"/>
    <n v="22.62"/>
    <n v="226200"/>
    <d v="2026-06-07T00:00:00"/>
    <n v="230.76923076923075"/>
    <x v="16"/>
    <n v="43.333333333333336"/>
    <n v="1846.153846153846"/>
  </r>
  <r>
    <n v="405123"/>
    <x v="151"/>
    <x v="0"/>
    <s v="E1-BMP Enea"/>
    <n v="7000"/>
    <n v="17.170000000000002"/>
    <n v="120190"/>
    <d v="2026-06-07T00:00:00"/>
    <n v="411.76470588235293"/>
    <x v="16"/>
    <n v="17"/>
    <n v="3294.1176470588234"/>
  </r>
  <r>
    <n v="405031"/>
    <x v="152"/>
    <x v="0"/>
    <s v="E1-BMP Enea"/>
    <n v="17000"/>
    <n v="17.170000000000002"/>
    <n v="291890"/>
    <d v="2026-06-07T00:00:00"/>
    <n v="500"/>
    <x v="16"/>
    <n v="34"/>
    <n v="4000"/>
  </r>
  <r>
    <n v="405121"/>
    <x v="153"/>
    <x v="0"/>
    <s v="E1-BMP Enea"/>
    <n v="10000"/>
    <n v="17.170000000000002"/>
    <n v="171700"/>
    <d v="2026-06-07T00:00:00"/>
    <n v="385.41666666666669"/>
    <x v="16"/>
    <n v="25.945945945945944"/>
    <n v="3083.3333333333335"/>
  </r>
  <r>
    <n v="101108"/>
    <x v="154"/>
    <x v="0"/>
    <s v="E1-BMP Enea"/>
    <n v="10"/>
    <n v="4060"/>
    <n v="40600"/>
    <d v="2026-06-07T00:00:00"/>
    <n v="1.6666666666666667"/>
    <x v="2"/>
    <n v="6"/>
    <n v="8.3333333333333339"/>
  </r>
  <r>
    <n v="405124"/>
    <x v="155"/>
    <x v="0"/>
    <s v="E1-BMP Enea"/>
    <n v="8000"/>
    <n v="17.170000000000002"/>
    <n v="137360"/>
    <d v="2026-06-07T00:00:00"/>
    <n v="656.25"/>
    <x v="16"/>
    <n v="12.19047619047619"/>
    <n v="5250"/>
  </r>
  <r>
    <n v="405126"/>
    <x v="156"/>
    <x v="0"/>
    <s v="E1-BMP Enea"/>
    <n v="8000"/>
    <n v="22.1"/>
    <n v="176800"/>
    <d v="2026-06-07T00:00:00"/>
    <n v="263.88888888888886"/>
    <x v="16"/>
    <n v="30.315789473684212"/>
    <n v="2111.1111111111109"/>
  </r>
  <r>
    <n v="402111"/>
    <x v="157"/>
    <x v="0"/>
    <s v="E1-BMP Enea"/>
    <n v="285"/>
    <n v="3251.09"/>
    <n v="926560.65"/>
    <d v="2026-06-07T00:00:00"/>
    <n v="0"/>
    <x v="17"/>
    <n v="0"/>
    <n v="0"/>
  </r>
  <r>
    <n v="107415"/>
    <x v="158"/>
    <x v="0"/>
    <s v="E1-BMP Enea"/>
    <n v="252"/>
    <n v="5289.37"/>
    <n v="1332921.24"/>
    <d v="2026-06-07T00:00:00"/>
    <n v="11.666666666666666"/>
    <x v="8"/>
    <n v="21.6"/>
    <n v="46.666666666666664"/>
  </r>
  <r>
    <n v="107319"/>
    <x v="159"/>
    <x v="0"/>
    <s v="E1-BMP Enea"/>
    <n v="1300.5"/>
    <n v="4359.78"/>
    <n v="5669893.8899999997"/>
    <d v="2026-06-07T00:00:00"/>
    <n v="91.532407407407405"/>
    <x v="8"/>
    <n v="14.208082545141876"/>
    <n v="366.12962962962962"/>
  </r>
  <r>
    <n v="402132"/>
    <x v="160"/>
    <x v="0"/>
    <s v="E1-BMP Enea"/>
    <n v="1366"/>
    <n v="5870"/>
    <n v="8018420"/>
    <d v="2026-06-07T00:00:00"/>
    <n v="105.18888888888888"/>
    <x v="18"/>
    <n v="12.986162459068343"/>
    <n v="525.94444444444446"/>
  </r>
  <r>
    <n v="405506"/>
    <x v="161"/>
    <x v="0"/>
    <s v="E1-BMP Enea"/>
    <n v="272.26"/>
    <n v="5246.89"/>
    <n v="1428518.2714"/>
    <d v="2026-06-07T00:00:00"/>
    <n v="11.849205128205128"/>
    <x v="12"/>
    <n v="22.977068677115636"/>
    <n v="59.246025641025639"/>
  </r>
  <r>
    <n v="107133"/>
    <x v="162"/>
    <x v="0"/>
    <s v="E1-BMP Enea"/>
    <n v="1358"/>
    <n v="4229.6000000000004"/>
    <n v="5743796.7999999998"/>
    <d v="2026-06-07T00:00:00"/>
    <n v="65.686274509803923"/>
    <x v="2"/>
    <n v="20.674029850746269"/>
    <n v="328.43137254901961"/>
  </r>
  <r>
    <n v="107159"/>
    <x v="163"/>
    <x v="0"/>
    <s v="E1-BMP Enea"/>
    <n v="177"/>
    <n v="9799.99"/>
    <n v="1734598.23"/>
    <d v="2026-06-07T00:00:00"/>
    <n v="9.1111111111111107"/>
    <x v="19"/>
    <n v="19.426829268292686"/>
    <n v="36.444444444444443"/>
  </r>
  <r>
    <n v="107160"/>
    <x v="164"/>
    <x v="0"/>
    <s v="E1-BMP Enea"/>
    <n v="142"/>
    <n v="5350"/>
    <n v="759700"/>
    <d v="2026-06-07T00:00:00"/>
    <n v="9.518518518518519"/>
    <x v="19"/>
    <n v="14.918287937743189"/>
    <n v="38.074074074074076"/>
  </r>
  <r>
    <n v="104013"/>
    <x v="165"/>
    <x v="0"/>
    <s v="E1-BMP Enea"/>
    <n v="25"/>
    <n v="7600"/>
    <n v="190000"/>
    <d v="2026-06-07T00:00:00"/>
    <n v="8.9047619047619051"/>
    <x v="19"/>
    <n v="2.8074866310160425"/>
    <n v="35.61904761904762"/>
  </r>
  <r>
    <n v="405691"/>
    <x v="166"/>
    <x v="0"/>
    <s v="E1-BMP Enea"/>
    <n v="5"/>
    <n v="10469"/>
    <n v="52345"/>
    <d v="2026-06-07T00:00:00"/>
    <n v="1.7222222222222223"/>
    <x v="3"/>
    <n v="2.9032258064516125"/>
    <n v="6.8888888888888893"/>
  </r>
  <r>
    <n v="405701"/>
    <x v="167"/>
    <x v="0"/>
    <s v="E1-BMP Enea"/>
    <n v="20"/>
    <n v="1.05"/>
    <n v="21"/>
    <d v="2026-06-07T00:00:00"/>
    <n v="7.4952777777777788"/>
    <x v="3"/>
    <n v="2.6683467368343026"/>
    <n v="29.981111111111115"/>
  </r>
  <r>
    <n v="107170"/>
    <x v="168"/>
    <x v="0"/>
    <s v="E1-BMP Enea"/>
    <n v="225"/>
    <n v="2662"/>
    <n v="598950"/>
    <d v="2026-06-07T00:00:00"/>
    <n v="28.925925925925924"/>
    <x v="2"/>
    <n v="7.778489116517286"/>
    <n v="173.55555555555554"/>
  </r>
  <r>
    <n v="107330"/>
    <x v="169"/>
    <x v="0"/>
    <s v="E1-BMP Enea"/>
    <n v="140"/>
    <n v="2000"/>
    <n v="280000"/>
    <d v="2026-06-07T00:00:00"/>
    <n v="4.666666666666667"/>
    <x v="20"/>
    <n v="29.999999999999996"/>
    <n v="23.333333333333336"/>
  </r>
  <r>
    <n v="300003"/>
    <x v="170"/>
    <x v="0"/>
    <s v="E1-BMP Enea"/>
    <n v="69.25"/>
    <n v="1.01"/>
    <n v="69.942499999999995"/>
    <d v="2026-06-07T00:00:00"/>
    <n v="32.960185185185182"/>
    <x v="3"/>
    <n v="2.1010197488552409"/>
    <n v="131.84074074074073"/>
  </r>
  <r>
    <n v="403368"/>
    <x v="171"/>
    <x v="0"/>
    <s v="E1-BMP Enea"/>
    <n v="1540"/>
    <n v="165"/>
    <n v="254100"/>
    <d v="2026-06-07T00:00:00"/>
    <n v="322"/>
    <x v="14"/>
    <n v="4.7826086956521738"/>
    <n v="5474"/>
  </r>
  <r>
    <n v="403373"/>
    <x v="172"/>
    <x v="0"/>
    <s v="E1-BMP Enea"/>
    <n v="22000"/>
    <n v="205"/>
    <n v="4510000"/>
    <d v="2026-06-07T00:00:00"/>
    <n v="666.66666666666663"/>
    <x v="14"/>
    <n v="33"/>
    <n v="11333.333333333334"/>
  </r>
  <r>
    <n v="393322"/>
    <x v="173"/>
    <x v="0"/>
    <s v="E1-BMP Enea"/>
    <n v="16000"/>
    <n v="150.81"/>
    <n v="2412960"/>
    <d v="2026-06-07T00:00:00"/>
    <n v="500"/>
    <x v="14"/>
    <n v="32"/>
    <n v="8500"/>
  </r>
  <r>
    <n v="405789"/>
    <x v="174"/>
    <x v="0"/>
    <s v="E1-BMP Enea"/>
    <n v="9000"/>
    <n v="145"/>
    <n v="1305000"/>
    <d v="2026-06-07T00:00:00"/>
    <n v="0"/>
    <x v="14"/>
    <n v="0"/>
    <n v="0"/>
  </r>
  <r>
    <n v="393320"/>
    <x v="175"/>
    <x v="0"/>
    <s v="E1-BMP Enea"/>
    <n v="10284"/>
    <n v="151"/>
    <n v="1552884"/>
    <d v="2026-06-07T00:00:00"/>
    <n v="2472.4901960784314"/>
    <x v="14"/>
    <n v="4.1593693743705247"/>
    <n v="42032.333333333328"/>
  </r>
  <r>
    <n v="393321"/>
    <x v="176"/>
    <x v="0"/>
    <s v="E1-BMP Enea"/>
    <n v="9600"/>
    <n v="151"/>
    <n v="1449600"/>
    <d v="2026-06-07T00:00:00"/>
    <n v="811.76470588235304"/>
    <x v="14"/>
    <n v="11.826086956521738"/>
    <n v="13800.000000000002"/>
  </r>
  <r>
    <n v="362105"/>
    <x v="177"/>
    <x v="0"/>
    <s v="E1-BMP Enea"/>
    <n v="109296"/>
    <n v="178.44"/>
    <n v="19502778.239999998"/>
    <d v="2026-06-07T00:00:00"/>
    <n v="16781.592592592595"/>
    <x v="3"/>
    <n v="6.512850279075618"/>
    <n v="83907.962962962978"/>
  </r>
  <r>
    <n v="405577"/>
    <x v="178"/>
    <x v="0"/>
    <s v="E1-BMP Enea"/>
    <n v="242"/>
    <n v="1066.1600000000001"/>
    <n v="258010.72"/>
    <d v="2026-06-07T00:00:00"/>
    <n v="177.7222222222222"/>
    <x v="3"/>
    <n v="1.3616755236011255"/>
    <n v="710.8888888888888"/>
  </r>
  <r>
    <n v="403268"/>
    <x v="179"/>
    <x v="0"/>
    <s v="E1-BMP Enea"/>
    <n v="15768"/>
    <n v="182.14"/>
    <n v="2871983.52"/>
    <d v="2026-06-07T00:00:00"/>
    <n v="994.16666666666663"/>
    <x v="3"/>
    <n v="15.860519698239733"/>
    <n v="3976.6666666666665"/>
  </r>
  <r>
    <n v="393419"/>
    <x v="180"/>
    <x v="0"/>
    <s v="E1-BMP Enea"/>
    <n v="409"/>
    <n v="1697.6"/>
    <n v="694318.4"/>
    <d v="2026-06-07T00:00:00"/>
    <n v="95.215686274509792"/>
    <x v="3"/>
    <n v="4.2955107084019772"/>
    <n v="380.86274509803917"/>
  </r>
  <r>
    <n v="405702"/>
    <x v="181"/>
    <x v="0"/>
    <s v="E1-BMP Enea"/>
    <n v="30"/>
    <n v="2021"/>
    <n v="60630"/>
    <d v="2026-06-07T00:00:00"/>
    <n v="21.2"/>
    <x v="3"/>
    <n v="1.4150943396226416"/>
    <n v="84.8"/>
  </r>
  <r>
    <n v="353002"/>
    <x v="182"/>
    <x v="0"/>
    <s v="E1-BMP Enea"/>
    <n v="2899"/>
    <n v="900.45"/>
    <n v="2610404.5499999998"/>
    <d v="2026-06-07T00:00:00"/>
    <n v="1894.8333333333333"/>
    <x v="3"/>
    <n v="1.5299498636643505"/>
    <n v="7579.333333333333"/>
  </r>
  <r>
    <n v="353001"/>
    <x v="183"/>
    <x v="0"/>
    <s v="E1-BMP Enea"/>
    <n v="396"/>
    <n v="842.35"/>
    <n v="333570.59999999998"/>
    <d v="2026-06-07T00:00:00"/>
    <n v="1964.5370370370372"/>
    <x v="3"/>
    <n v="0.2015742093604185"/>
    <n v="7858.1481481481487"/>
  </r>
  <r>
    <n v="405340"/>
    <x v="184"/>
    <x v="0"/>
    <s v="E1-BMP Enea"/>
    <n v="80"/>
    <n v="5313.3"/>
    <n v="425064"/>
    <d v="2026-06-07T00:00:00"/>
    <n v="8.4358974358974361"/>
    <x v="3"/>
    <n v="9.4832826747720365"/>
    <n v="33.743589743589745"/>
  </r>
  <r>
    <n v="107259"/>
    <x v="185"/>
    <x v="0"/>
    <s v="E1-BMP Enea"/>
    <n v="2000"/>
    <n v="2190"/>
    <n v="4380000"/>
    <d v="2026-06-07T00:00:00"/>
    <n v="169.07407407407408"/>
    <x v="21"/>
    <n v="11.829134720700985"/>
    <n v="845.37037037037044"/>
  </r>
  <r>
    <n v="107260"/>
    <x v="186"/>
    <x v="0"/>
    <s v="E1-BMP Enea"/>
    <n v="8775"/>
    <n v="727.65"/>
    <n v="6385128.75"/>
    <d v="2026-06-07T00:00:00"/>
    <n v="975.23148148148141"/>
    <x v="21"/>
    <n v="8.9978637550439124"/>
    <n v="4876.1574074074069"/>
  </r>
  <r>
    <n v="107278"/>
    <x v="187"/>
    <x v="0"/>
    <s v="E1-BMP Enea"/>
    <n v="949"/>
    <n v="720.8"/>
    <n v="684039.2"/>
    <d v="2026-06-07T00:00:00"/>
    <n v="167.70588235294119"/>
    <x v="21"/>
    <n v="5.6587162399158188"/>
    <n v="670.82352941176475"/>
  </r>
  <r>
    <n v="107355"/>
    <x v="188"/>
    <x v="0"/>
    <s v="E1-BMP Enea"/>
    <n v="639"/>
    <n v="2818"/>
    <n v="1800702"/>
    <d v="2026-06-07T00:00:00"/>
    <n v="19.930555555555554"/>
    <x v="22"/>
    <n v="32.061324041811851"/>
    <n v="99.652777777777771"/>
  </r>
  <r>
    <n v="107215"/>
    <x v="189"/>
    <x v="0"/>
    <s v="E1-BMP Enea"/>
    <n v="582"/>
    <n v="3007.49"/>
    <n v="1750359.18"/>
    <d v="2026-06-07T00:00:00"/>
    <n v="124.4074074074074"/>
    <x v="23"/>
    <n v="4.6781780291753501"/>
    <n v="622.03703703703707"/>
  </r>
  <r>
    <n v="107333"/>
    <x v="190"/>
    <x v="0"/>
    <s v="E1-BMP Enea"/>
    <n v="88.74"/>
    <n v="4424.51"/>
    <n v="392631.01740000001"/>
    <d v="2026-06-07T00:00:00"/>
    <n v="8.0475000000000012"/>
    <x v="23"/>
    <n v="11.027027027027025"/>
    <n v="40.237500000000011"/>
  </r>
  <r>
    <n v="405539"/>
    <x v="191"/>
    <x v="0"/>
    <s v="E1-BMP Enea"/>
    <n v="110"/>
    <n v="2950"/>
    <n v="324500"/>
    <d v="2026-06-07T00:00:00"/>
    <n v="24.342857142857142"/>
    <x v="23"/>
    <n v="4.518779342723005"/>
    <n v="121.71428571428571"/>
  </r>
  <r>
    <n v="405319"/>
    <x v="192"/>
    <x v="0"/>
    <s v="E1-BMP Enea"/>
    <n v="3800"/>
    <n v="256"/>
    <n v="972800"/>
    <d v="2026-06-07T00:00:00"/>
    <n v="40.277777777777779"/>
    <x v="14"/>
    <n v="94.34482758620689"/>
    <n v="322.22222222222223"/>
  </r>
  <r>
    <n v="107109"/>
    <x v="193"/>
    <x v="0"/>
    <s v="E1-BMP Enea"/>
    <n v="4980"/>
    <n v="2323"/>
    <n v="11568540"/>
    <d v="2026-06-07T00:00:00"/>
    <n v="1345.9722222222222"/>
    <x v="15"/>
    <n v="3.6999277680321949"/>
    <n v="6729.8611111111113"/>
  </r>
  <r>
    <n v="107331"/>
    <x v="194"/>
    <x v="0"/>
    <s v="E1-BMP Enea"/>
    <n v="220"/>
    <n v="5799.96"/>
    <n v="1275991.2"/>
    <d v="2026-06-07T00:00:00"/>
    <n v="12.727272727272727"/>
    <x v="24"/>
    <n v="17.285714285714288"/>
    <n v="63.636363636363633"/>
  </r>
  <r>
    <n v="107144"/>
    <x v="195"/>
    <x v="0"/>
    <s v="E1-BMP Enea"/>
    <n v="188.1"/>
    <n v="2971.84"/>
    <n v="559003.10400000005"/>
    <d v="2026-06-07T00:00:00"/>
    <n v="0"/>
    <x v="8"/>
    <n v="0"/>
    <n v="0"/>
  </r>
  <r>
    <n v="107001"/>
    <x v="196"/>
    <x v="0"/>
    <s v="E1-BMP Enea"/>
    <n v="403.67599999999999"/>
    <n v="5603.5"/>
    <n v="2261998.466"/>
    <d v="2026-06-07T00:00:00"/>
    <n v="28.159999999999997"/>
    <x v="8"/>
    <n v="14.335085227272728"/>
    <n v="112.63999999999999"/>
  </r>
  <r>
    <n v="405408"/>
    <x v="197"/>
    <x v="0"/>
    <s v="E1-BMP Enea"/>
    <n v="684"/>
    <n v="116.8"/>
    <n v="79891.199999999997"/>
    <d v="2026-06-07T00:00:00"/>
    <n v="137.64814814814815"/>
    <x v="3"/>
    <n v="4.9691914435624911"/>
    <n v="550.59259259259261"/>
  </r>
  <r>
    <n v="405420"/>
    <x v="198"/>
    <x v="0"/>
    <s v="E1-BMP Enea"/>
    <n v="4000"/>
    <n v="13"/>
    <n v="52000"/>
    <d v="2026-06-07T00:00:00"/>
    <n v="0"/>
    <x v="14"/>
    <n v="0"/>
    <n v="0"/>
  </r>
  <r>
    <n v="107211"/>
    <x v="199"/>
    <x v="0"/>
    <s v="E1-BMP Enea"/>
    <n v="157.5"/>
    <n v="13006.38"/>
    <n v="2048504.85"/>
    <d v="2026-06-07T00:00:00"/>
    <n v="6.9871794871794863"/>
    <x v="3"/>
    <n v="22.541284403669728"/>
    <n v="34.935897435897431"/>
  </r>
  <r>
    <n v="170173"/>
    <x v="200"/>
    <x v="0"/>
    <s v="E1-BMP Enea"/>
    <n v="615"/>
    <n v="2035.08"/>
    <n v="1251574.2"/>
    <d v="2026-06-07T00:00:00"/>
    <n v="42.518518518518519"/>
    <x v="6"/>
    <n v="14.464285714285714"/>
    <n v="170.07407407407408"/>
  </r>
  <r>
    <n v="107157"/>
    <x v="201"/>
    <x v="0"/>
    <s v="E1-BMP Enea"/>
    <n v="1435"/>
    <n v="2098.8000000000002"/>
    <n v="3011778"/>
    <d v="2026-06-07T00:00:00"/>
    <n v="139.27083333333334"/>
    <x v="6"/>
    <n v="10.303664921465968"/>
    <n v="557.08333333333337"/>
  </r>
  <r>
    <n v="405447"/>
    <x v="202"/>
    <x v="0"/>
    <s v="E1-BMP Enea"/>
    <n v="560"/>
    <n v="2928.13"/>
    <n v="1639752.8"/>
    <d v="2026-06-07T00:00:00"/>
    <n v="0"/>
    <x v="6"/>
    <n v="0"/>
    <n v="0"/>
  </r>
  <r>
    <n v="107172"/>
    <x v="203"/>
    <x v="0"/>
    <s v="E1-BMP Enea"/>
    <n v="685"/>
    <n v="2018.23"/>
    <n v="1382487.55"/>
    <d v="2026-06-07T00:00:00"/>
    <n v="108.41666666666667"/>
    <x v="6"/>
    <n v="6.3182167563412754"/>
    <n v="433.66666666666669"/>
  </r>
  <r>
    <n v="107129"/>
    <x v="204"/>
    <x v="0"/>
    <s v="E1-BMP Enea"/>
    <n v="1205"/>
    <n v="4316.32"/>
    <n v="5201165.5999999996"/>
    <d v="2026-06-07T00:00:00"/>
    <n v="287.84259259259261"/>
    <x v="6"/>
    <n v="4.1863158233345121"/>
    <n v="1151.3703703703704"/>
  </r>
  <r>
    <n v="107113"/>
    <x v="205"/>
    <x v="0"/>
    <s v="E1-BMP Enea"/>
    <n v="1480"/>
    <n v="3294.48"/>
    <n v="4875830.4000000004"/>
    <d v="2026-06-07T00:00:00"/>
    <n v="81.037037037037038"/>
    <x v="6"/>
    <n v="18.263254113345521"/>
    <n v="324.14814814814815"/>
  </r>
  <r>
    <n v="107158"/>
    <x v="206"/>
    <x v="0"/>
    <s v="E1-BMP Enea"/>
    <n v="735"/>
    <n v="3390.94"/>
    <n v="2492340.9"/>
    <d v="2026-06-07T00:00:00"/>
    <n v="95"/>
    <x v="6"/>
    <n v="7.7368421052631575"/>
    <n v="380"/>
  </r>
  <r>
    <n v="107193"/>
    <x v="207"/>
    <x v="0"/>
    <s v="E1-BMP Enea"/>
    <n v="1195"/>
    <n v="3837.2"/>
    <n v="4585454"/>
    <d v="2026-06-07T00:00:00"/>
    <n v="162"/>
    <x v="6"/>
    <n v="7.3765432098765435"/>
    <n v="648"/>
  </r>
  <r>
    <n v="107112"/>
    <x v="208"/>
    <x v="0"/>
    <s v="E1-BMP Enea"/>
    <n v="985"/>
    <n v="2704.18"/>
    <n v="2663617.2999999998"/>
    <d v="2026-06-07T00:00:00"/>
    <n v="155.74074074074073"/>
    <x v="3"/>
    <n v="6.3246135552913199"/>
    <n v="778.7037037037037"/>
  </r>
  <r>
    <n v="107280"/>
    <x v="209"/>
    <x v="0"/>
    <s v="E1-BMP Enea"/>
    <n v="616.5"/>
    <n v="2750"/>
    <n v="1695375"/>
    <d v="2026-06-07T00:00:00"/>
    <n v="95.971018518518505"/>
    <x v="6"/>
    <n v="6.4238142880711493"/>
    <n v="479.85509259259254"/>
  </r>
  <r>
    <n v="405650"/>
    <x v="210"/>
    <x v="0"/>
    <s v="E1-BMP Enea"/>
    <n v="20"/>
    <n v="7990"/>
    <n v="159800"/>
    <d v="2026-06-07T00:00:00"/>
    <n v="1.1111111111111112"/>
    <x v="1"/>
    <n v="18"/>
    <n v="4.4444444444444446"/>
  </r>
  <r>
    <n v="405543"/>
    <x v="211"/>
    <x v="0"/>
    <s v="E1-BMP Enea"/>
    <n v="30"/>
    <n v="6890.03"/>
    <n v="206700.9"/>
    <d v="2026-06-07T00:00:00"/>
    <n v="6.6203703703703702"/>
    <x v="1"/>
    <n v="4.5314685314685317"/>
    <n v="26.481481481481481"/>
  </r>
  <r>
    <n v="402130"/>
    <x v="212"/>
    <x v="0"/>
    <s v="E1-BMP Enea"/>
    <n v="145"/>
    <n v="5000"/>
    <n v="725000"/>
    <d v="2026-06-07T00:00:00"/>
    <n v="2.2222222222222223"/>
    <x v="1"/>
    <n v="65.25"/>
    <n v="8.8888888888888893"/>
  </r>
  <r>
    <n v="405507"/>
    <x v="213"/>
    <x v="0"/>
    <s v="E1-BMP Enea"/>
    <n v="332"/>
    <n v="5312.5"/>
    <n v="1763750"/>
    <d v="2026-06-07T00:00:00"/>
    <n v="25.755555555555556"/>
    <x v="12"/>
    <n v="12.890422778257118"/>
    <n v="128.77777777777777"/>
  </r>
  <r>
    <n v="405723"/>
    <x v="214"/>
    <x v="0"/>
    <s v="E1-BMP Enea"/>
    <n v="54"/>
    <n v="827.7"/>
    <n v="44695.8"/>
    <d v="2026-06-07T00:00:00"/>
    <n v="1.25"/>
    <x v="22"/>
    <n v="43.2"/>
    <n v="6.25"/>
  </r>
  <r>
    <n v="393399"/>
    <x v="215"/>
    <x v="0"/>
    <s v="E1-BMP Enea"/>
    <n v="83.16"/>
    <n v="57964.51"/>
    <n v="4820328.6516000004"/>
    <d v="2026-06-07T00:00:00"/>
    <n v="0.58153846153846156"/>
    <x v="2"/>
    <n v="143"/>
    <n v="2.907692307692308"/>
  </r>
  <r>
    <n v="107346"/>
    <x v="216"/>
    <x v="0"/>
    <s v="E1-BMP Enea"/>
    <n v="997.28"/>
    <n v="3045.24"/>
    <n v="3036956.9471999998"/>
    <d v="2026-06-07T00:00:00"/>
    <n v="221.43777777777777"/>
    <x v="8"/>
    <n v="4.5036579124308806"/>
    <n v="885.75111111111107"/>
  </r>
  <r>
    <n v="107348"/>
    <x v="217"/>
    <x v="0"/>
    <s v="E1-BMP Enea"/>
    <n v="10.74"/>
    <n v="3118.16"/>
    <n v="33489.038399999998"/>
    <d v="2026-06-07T00:00:00"/>
    <n v="102.07069444444443"/>
    <x v="8"/>
    <n v="0.1052211906508153"/>
    <n v="408.28277777777771"/>
  </r>
  <r>
    <n v="107117"/>
    <x v="218"/>
    <x v="0"/>
    <s v="E1-BMP Enea"/>
    <n v="1016.72"/>
    <n v="2569.83"/>
    <n v="2612797.5575999999"/>
    <d v="2026-06-07T00:00:00"/>
    <n v="49.27"/>
    <x v="8"/>
    <n v="20.635680941749541"/>
    <n v="246.35000000000002"/>
  </r>
  <r>
    <n v="405607"/>
    <x v="219"/>
    <x v="0"/>
    <s v="E1-BMP Enea"/>
    <n v="16"/>
    <n v="34000"/>
    <n v="544000"/>
    <d v="2026-06-07T00:00:00"/>
    <n v="0.54166666666666663"/>
    <x v="6"/>
    <n v="29.53846153846154"/>
    <n v="2.1666666666666665"/>
  </r>
  <r>
    <n v="405793"/>
    <x v="220"/>
    <x v="0"/>
    <s v="E1-BMP Enea"/>
    <n v="1000"/>
    <n v="617.33000000000004"/>
    <n v="617330"/>
    <d v="2026-06-07T00:00:00"/>
    <n v="0"/>
    <x v="14"/>
    <n v="0"/>
    <n v="0"/>
  </r>
  <r>
    <n v="107316"/>
    <x v="221"/>
    <x v="0"/>
    <s v="E1-BMP Enea"/>
    <n v="620"/>
    <n v="611"/>
    <n v="378820"/>
    <d v="2026-06-07T00:00:00"/>
    <n v="148.88888888888889"/>
    <x v="14"/>
    <n v="4.1641791044776122"/>
    <n v="2531.1111111111113"/>
  </r>
  <r>
    <n v="353003"/>
    <x v="222"/>
    <x v="0"/>
    <s v="E1-BMP Enea"/>
    <n v="25"/>
    <n v="6278.68"/>
    <n v="156967"/>
    <d v="2026-06-07T00:00:00"/>
    <n v="3.8148148148148149"/>
    <x v="3"/>
    <n v="6.5533980582524274"/>
    <n v="15.25925925925926"/>
  </r>
  <r>
    <n v="405570"/>
    <x v="223"/>
    <x v="0"/>
    <s v="E1-BMP Enea"/>
    <n v="550"/>
    <n v="1500"/>
    <n v="825000"/>
    <d v="2026-06-07T00:00:00"/>
    <n v="210.83333333333334"/>
    <x v="20"/>
    <n v="2.6086956521739131"/>
    <n v="1054.1666666666667"/>
  </r>
  <r>
    <n v="107095"/>
    <x v="224"/>
    <x v="0"/>
    <s v="E1-BMP Enea"/>
    <n v="1656"/>
    <n v="4446.7"/>
    <n v="7363735.2000000002"/>
    <d v="2026-06-07T00:00:00"/>
    <n v="301.50018518518522"/>
    <x v="6"/>
    <n v="5.4925339398477115"/>
    <n v="1206.0007407407409"/>
  </r>
  <r>
    <n v="405436"/>
    <x v="225"/>
    <x v="0"/>
    <s v="E1-BMP Enea"/>
    <n v="427"/>
    <n v="2428.58"/>
    <n v="1037003.66"/>
    <d v="2026-06-07T00:00:00"/>
    <n v="32.54"/>
    <x v="6"/>
    <n v="13.122311001843885"/>
    <n v="130.16"/>
  </r>
  <r>
    <n v="405133"/>
    <x v="226"/>
    <x v="0"/>
    <s v="E1-BMP Enea"/>
    <n v="115"/>
    <n v="5887"/>
    <n v="677005"/>
    <d v="2026-06-07T00:00:00"/>
    <n v="29.509259259259256"/>
    <x v="2"/>
    <n v="3.8970818951992472"/>
    <n v="177.05555555555554"/>
  </r>
  <r>
    <n v="107360"/>
    <x v="227"/>
    <x v="0"/>
    <s v="E1-BMP Enea"/>
    <n v="27"/>
    <n v="2957.74"/>
    <n v="79858.98"/>
    <d v="2026-06-07T00:00:00"/>
    <n v="0"/>
    <x v="6"/>
    <n v="0"/>
    <n v="0"/>
  </r>
  <r>
    <n v="107204"/>
    <x v="228"/>
    <x v="0"/>
    <s v="E1-BMP Enea"/>
    <n v="670.5"/>
    <n v="3304.6"/>
    <n v="2215734.2999999998"/>
    <d v="2026-06-07T00:00:00"/>
    <n v="20.75"/>
    <x v="6"/>
    <n v="32.313253012048193"/>
    <n v="83"/>
  </r>
  <r>
    <n v="107262"/>
    <x v="229"/>
    <x v="0"/>
    <s v="E1-BMP Enea"/>
    <n v="1643"/>
    <n v="1987.9"/>
    <n v="3266119.7"/>
    <d v="2026-06-07T00:00:00"/>
    <n v="101.49019607843138"/>
    <x v="21"/>
    <n v="16.18875579598145"/>
    <n v="405.96078431372553"/>
  </r>
  <r>
    <n v="170180"/>
    <x v="230"/>
    <x v="0"/>
    <s v="E1-BMP Enea"/>
    <n v="1395"/>
    <n v="1930"/>
    <n v="2692350"/>
    <d v="2026-06-07T00:00:00"/>
    <n v="192.08"/>
    <x v="6"/>
    <n v="7.2625989171178666"/>
    <n v="960.40000000000009"/>
  </r>
  <r>
    <n v="405556"/>
    <x v="231"/>
    <x v="0"/>
    <s v="E1-BMP Enea"/>
    <n v="319.5"/>
    <n v="3299.88"/>
    <n v="1054311.6599999999"/>
    <d v="2026-06-07T00:00:00"/>
    <n v="47.85"/>
    <x v="6"/>
    <n v="6.677115987460815"/>
    <n v="191.4"/>
  </r>
  <r>
    <n v="107148"/>
    <x v="232"/>
    <x v="0"/>
    <s v="E1-BMP Enea"/>
    <n v="40"/>
    <n v="20900"/>
    <n v="836000"/>
    <d v="2026-06-07T00:00:00"/>
    <n v="3.75"/>
    <x v="1"/>
    <n v="10.666666666666666"/>
    <n v="22.5"/>
  </r>
  <r>
    <n v="107246"/>
    <x v="233"/>
    <x v="0"/>
    <s v="E1-BMP Enea"/>
    <n v="400"/>
    <n v="4334"/>
    <n v="1733600"/>
    <d v="2026-06-07T00:00:00"/>
    <n v="8.3333333333333339"/>
    <x v="6"/>
    <n v="48"/>
    <n v="33.333333333333336"/>
  </r>
  <r>
    <n v="107275"/>
    <x v="234"/>
    <x v="0"/>
    <s v="E1-BMP Enea"/>
    <n v="860"/>
    <n v="5524.72"/>
    <n v="4751259.2"/>
    <d v="2026-06-07T00:00:00"/>
    <n v="105.23148148148148"/>
    <x v="6"/>
    <n v="8.1724593048834144"/>
    <n v="420.92592592592592"/>
  </r>
  <r>
    <n v="405651"/>
    <x v="235"/>
    <x v="0"/>
    <s v="E1-BMP Enea"/>
    <n v="50"/>
    <n v="6990.04"/>
    <n v="349502"/>
    <d v="2026-06-07T00:00:00"/>
    <n v="2.2222222222222223"/>
    <x v="1"/>
    <n v="22.5"/>
    <n v="8.8888888888888893"/>
  </r>
  <r>
    <n v="401015"/>
    <x v="236"/>
    <x v="0"/>
    <s v="E1-BMP Enea"/>
    <n v="62"/>
    <n v="3930.94"/>
    <n v="243718.28"/>
    <d v="2026-06-07T00:00:00"/>
    <n v="1.2"/>
    <x v="17"/>
    <n v="51.666666666666671"/>
    <n v="7.1999999999999993"/>
  </r>
  <r>
    <n v="401014"/>
    <x v="237"/>
    <x v="0"/>
    <s v="E1-BMP Enea"/>
    <n v="54"/>
    <n v="3803.93"/>
    <n v="205412.22"/>
    <d v="2026-06-07T00:00:00"/>
    <n v="1"/>
    <x v="17"/>
    <n v="54"/>
    <n v="6"/>
  </r>
  <r>
    <n v="401010"/>
    <x v="238"/>
    <x v="0"/>
    <s v="E1-BMP Enea"/>
    <n v="81"/>
    <n v="3944.68"/>
    <n v="319519.08"/>
    <d v="2026-06-07T00:00:00"/>
    <n v="1.25"/>
    <x v="17"/>
    <n v="64.8"/>
    <n v="7.5"/>
  </r>
  <r>
    <n v="401011"/>
    <x v="239"/>
    <x v="0"/>
    <s v="E1-BMP Enea"/>
    <n v="101"/>
    <n v="3873.77"/>
    <n v="391250.77"/>
    <d v="2026-06-07T00:00:00"/>
    <n v="1"/>
    <x v="17"/>
    <n v="101"/>
    <n v="6"/>
  </r>
  <r>
    <n v="401019"/>
    <x v="240"/>
    <x v="0"/>
    <s v="E1-BMP Enea"/>
    <n v="128"/>
    <n v="3833.38"/>
    <n v="490672.64000000001"/>
    <d v="2026-06-07T00:00:00"/>
    <n v="1"/>
    <x v="17"/>
    <n v="128"/>
    <n v="6"/>
  </r>
  <r>
    <n v="401012"/>
    <x v="241"/>
    <x v="0"/>
    <s v="E1-BMP Enea"/>
    <n v="63"/>
    <n v="3933.32"/>
    <n v="247799.16"/>
    <d v="2026-06-07T00:00:00"/>
    <n v="1.3333333333333333"/>
    <x v="17"/>
    <n v="47.25"/>
    <n v="8"/>
  </r>
  <r>
    <n v="393040"/>
    <x v="242"/>
    <x v="0"/>
    <s v="E1-BMP Enea"/>
    <n v="28620"/>
    <n v="181.31"/>
    <n v="5189092.2"/>
    <d v="2026-06-07T00:00:00"/>
    <n v="5317.9629629629626"/>
    <x v="3"/>
    <n v="5.3817599331406489"/>
    <n v="21271.85185185185"/>
  </r>
  <r>
    <n v="393427"/>
    <x v="243"/>
    <x v="0"/>
    <s v="E1-BMP Enea"/>
    <n v="412"/>
    <n v="529.17999999999995"/>
    <n v="218022.16"/>
    <d v="2026-06-07T00:00:00"/>
    <n v="628.63888888888891"/>
    <x v="3"/>
    <n v="0.65538420750298265"/>
    <n v="0"/>
  </r>
  <r>
    <n v="393349"/>
    <x v="244"/>
    <x v="0"/>
    <s v="E1-BMP Enea"/>
    <n v="1320"/>
    <n v="398.72"/>
    <n v="526310.40000000002"/>
    <d v="2026-06-07T00:00:00"/>
    <n v="212"/>
    <x v="3"/>
    <n v="6.2264150943396226"/>
    <n v="0"/>
  </r>
  <r>
    <n v="405683"/>
    <x v="245"/>
    <x v="0"/>
    <s v="E1-BMP Enea"/>
    <n v="6536"/>
    <n v="138"/>
    <n v="901968"/>
    <d v="2026-06-07T00:00:00"/>
    <n v="165.16666666666666"/>
    <x v="2"/>
    <n v="39.572149344096871"/>
    <n v="0"/>
  </r>
  <r>
    <n v="107102"/>
    <x v="246"/>
    <x v="0"/>
    <s v="E1-BMP Enea"/>
    <n v="2412"/>
    <n v="3120"/>
    <n v="7525440"/>
    <d v="2026-06-07T00:00:00"/>
    <n v="149.02564102564102"/>
    <x v="8"/>
    <n v="16.185134205092911"/>
    <n v="140.58823529411765"/>
  </r>
  <r>
    <n v="405533"/>
    <x v="247"/>
    <x v="0"/>
    <s v="E1-BMP Enea"/>
    <n v="937"/>
    <n v="2266"/>
    <n v="2123242"/>
    <d v="2026-06-07T00:00:00"/>
    <n v="186.86111111111111"/>
    <x v="13"/>
    <n v="5.0144195034933849"/>
    <n v="240.49019607843135"/>
  </r>
  <r>
    <n v="405590"/>
    <x v="248"/>
    <x v="0"/>
    <s v="E1-BMP Enea"/>
    <n v="20000"/>
    <n v="12.2"/>
    <n v="244000"/>
    <d v="2026-06-07T00:00:00"/>
    <n v="0"/>
    <x v="14"/>
    <n v="0"/>
    <n v="0"/>
  </r>
  <r>
    <n v="405371"/>
    <x v="249"/>
    <x v="0"/>
    <s v="E1-BMP Enea"/>
    <n v="7200"/>
    <n v="45"/>
    <n v="324000"/>
    <d v="2026-06-07T00:00:00"/>
    <n v="400"/>
    <x v="2"/>
    <n v="18"/>
    <n v="0"/>
  </r>
  <r>
    <n v="405134"/>
    <x v="250"/>
    <x v="0"/>
    <s v="E1-BMP Enea"/>
    <n v="13200"/>
    <n v="36"/>
    <n v="475200"/>
    <d v="2026-06-07T00:00:00"/>
    <n v="1216.6666666666667"/>
    <x v="2"/>
    <n v="10.84931506849315"/>
    <n v="16235.294117647058"/>
  </r>
  <r>
    <n v="405797"/>
    <x v="251"/>
    <x v="0"/>
    <s v="E1-BMP Enea"/>
    <n v="25.42"/>
    <n v="7709.28"/>
    <n v="195969.8976"/>
    <d v="2026-06-07T00:00:00"/>
    <n v="0"/>
    <x v="18"/>
    <n v="0"/>
    <n v="0"/>
  </r>
  <r>
    <n v="107164"/>
    <x v="252"/>
    <x v="0"/>
    <s v="E1-BMP Enea"/>
    <n v="936"/>
    <n v="1129"/>
    <n v="1056744"/>
    <d v="2026-06-07T00:00:00"/>
    <n v="167.34259259259258"/>
    <x v="25"/>
    <n v="5.5933159962374814"/>
    <n v="196.31372549019611"/>
  </r>
  <r>
    <n v="104004"/>
    <x v="253"/>
    <x v="1"/>
    <s v="P1-BMP Puerto Vespucio"/>
    <n v="93"/>
    <n v="1239.49"/>
    <n v="115272.57"/>
    <d v="2026-06-07T00:00:00"/>
    <n v="0"/>
    <x v="0"/>
    <n v="0"/>
    <n v="0"/>
  </r>
  <r>
    <n v="104006"/>
    <x v="1"/>
    <x v="1"/>
    <s v="P1-BMP Puerto Vespucio"/>
    <n v="1068"/>
    <n v="900"/>
    <n v="961200"/>
    <d v="2026-06-07T00:00:00"/>
    <n v="43.245098039215691"/>
    <x v="0"/>
    <n v="24.696440716390839"/>
    <n v="172.98039215686276"/>
  </r>
  <r>
    <n v="405445"/>
    <x v="7"/>
    <x v="1"/>
    <s v="P1-BMP Puerto Vespucio"/>
    <n v="14200"/>
    <n v="93.56"/>
    <n v="1328552"/>
    <d v="2026-06-07T00:00:00"/>
    <n v="2906.6666666666665"/>
    <x v="4"/>
    <n v="4.8853211009174311"/>
    <n v="11626.666666666666"/>
  </r>
  <r>
    <n v="405501"/>
    <x v="254"/>
    <x v="1"/>
    <s v="P1-BMP Puerto Vespucio"/>
    <n v="1000"/>
    <n v="65"/>
    <n v="65000"/>
    <d v="2026-06-07T00:00:00"/>
    <n v="259.52380952380952"/>
    <x v="4"/>
    <n v="3.8532110091743119"/>
    <n v="1038.0952380952381"/>
  </r>
  <r>
    <n v="403338"/>
    <x v="10"/>
    <x v="1"/>
    <s v="P1-BMP Puerto Vespucio"/>
    <n v="21000"/>
    <n v="49.44"/>
    <n v="1038240"/>
    <d v="2026-06-07T00:00:00"/>
    <n v="3827.4509803921569"/>
    <x v="4"/>
    <n v="5.4866803278688527"/>
    <n v="19137.254901960783"/>
  </r>
  <r>
    <n v="103104"/>
    <x v="255"/>
    <x v="1"/>
    <s v="P1-BMP Puerto Vespucio"/>
    <n v="3085"/>
    <n v="1600"/>
    <n v="4936000"/>
    <d v="2026-06-07T00:00:00"/>
    <n v="31.303921568627448"/>
    <x v="26"/>
    <n v="98.549953022236153"/>
    <n v="125.21568627450979"/>
  </r>
  <r>
    <n v="405418"/>
    <x v="0"/>
    <x v="1"/>
    <s v="P1-BMP Puerto Vespucio"/>
    <n v="310"/>
    <n v="1371.59"/>
    <n v="425192.9"/>
    <d v="2026-06-07T00:00:00"/>
    <n v="72.990196078431367"/>
    <x v="0"/>
    <n v="4.2471457353928814"/>
    <n v="291.96078431372547"/>
  </r>
  <r>
    <n v="400205"/>
    <x v="11"/>
    <x v="1"/>
    <s v="P1-BMP Puerto Vespucio"/>
    <n v="12000"/>
    <n v="32"/>
    <n v="384000"/>
    <d v="2026-06-07T00:00:00"/>
    <n v="722.22222222222217"/>
    <x v="5"/>
    <n v="16.615384615384617"/>
    <n v="5055.5555555555547"/>
  </r>
  <r>
    <n v="400202"/>
    <x v="256"/>
    <x v="1"/>
    <s v="P1-BMP Puerto Vespucio"/>
    <n v="170"/>
    <n v="2550"/>
    <n v="433500"/>
    <d v="2026-06-07T00:00:00"/>
    <n v="3.3333333333333335"/>
    <x v="5"/>
    <n v="51"/>
    <n v="23.333333333333336"/>
  </r>
  <r>
    <n v="403245"/>
    <x v="257"/>
    <x v="1"/>
    <s v="P1-BMP Puerto Vespucio"/>
    <n v="7540"/>
    <n v="160"/>
    <n v="1206400"/>
    <d v="2026-06-07T00:00:00"/>
    <n v="1219.047619047619"/>
    <x v="14"/>
    <n v="6.1851562500000004"/>
    <n v="7314.2857142857138"/>
  </r>
  <r>
    <n v="402263"/>
    <x v="15"/>
    <x v="1"/>
    <s v="P1-BMP Puerto Vespucio"/>
    <n v="61.2"/>
    <n v="2478.6799999999998"/>
    <n v="151695.21599999999"/>
    <d v="2026-06-07T00:00:00"/>
    <n v="5.9375"/>
    <x v="5"/>
    <n v="10.307368421052631"/>
    <n v="100.9375"/>
  </r>
  <r>
    <n v="107120"/>
    <x v="14"/>
    <x v="1"/>
    <s v="P1-BMP Puerto Vespucio"/>
    <n v="1039.5"/>
    <n v="1829.38"/>
    <n v="1901640.51"/>
    <d v="2026-06-07T00:00:00"/>
    <n v="46.5"/>
    <x v="6"/>
    <n v="22.35483870967742"/>
    <n v="279"/>
  </r>
  <r>
    <n v="107361"/>
    <x v="19"/>
    <x v="1"/>
    <s v="P1-BMP Puerto Vespucio"/>
    <n v="500"/>
    <n v="585"/>
    <n v="292500"/>
    <d v="2026-06-07T00:00:00"/>
    <n v="83.333333333333329"/>
    <x v="7"/>
    <n v="6"/>
    <n v="1416.6666666666667"/>
  </r>
  <r>
    <n v="107367"/>
    <x v="18"/>
    <x v="1"/>
    <s v="P1-BMP Puerto Vespucio"/>
    <n v="200"/>
    <n v="890.77"/>
    <n v="178154"/>
    <d v="2026-06-07T00:00:00"/>
    <n v="69.047619047619051"/>
    <x v="7"/>
    <n v="2.896551724137931"/>
    <n v="1173.8095238095239"/>
  </r>
  <r>
    <n v="107365"/>
    <x v="22"/>
    <x v="1"/>
    <s v="P1-BMP Puerto Vespucio"/>
    <n v="89"/>
    <n v="493"/>
    <n v="43877"/>
    <d v="2026-06-07T00:00:00"/>
    <n v="93.75"/>
    <x v="7"/>
    <n v="0.94933333333333336"/>
    <n v="1593.75"/>
  </r>
  <r>
    <n v="402251"/>
    <x v="258"/>
    <x v="1"/>
    <s v="P1-BMP Puerto Vespucio"/>
    <n v="1340"/>
    <n v="566.26"/>
    <n v="758788.4"/>
    <d v="2026-06-07T00:00:00"/>
    <n v="95.238095238095241"/>
    <x v="7"/>
    <n v="14.07"/>
    <n v="1619.0476190476193"/>
  </r>
  <r>
    <n v="405696"/>
    <x v="23"/>
    <x v="1"/>
    <s v="P1-BMP Puerto Vespucio"/>
    <n v="1100"/>
    <n v="600"/>
    <n v="660000"/>
    <d v="2026-06-07T00:00:00"/>
    <n v="83.333333333333329"/>
    <x v="7"/>
    <n v="13.200000000000001"/>
    <n v="1416.6666666666667"/>
  </r>
  <r>
    <n v="403393"/>
    <x v="259"/>
    <x v="1"/>
    <s v="P1-BMP Puerto Vespucio"/>
    <n v="1000"/>
    <n v="555"/>
    <n v="555000"/>
    <d v="2026-06-07T00:00:00"/>
    <n v="83.333333333333329"/>
    <x v="7"/>
    <n v="12"/>
    <n v="1416.6666666666667"/>
  </r>
  <r>
    <n v="106302"/>
    <x v="260"/>
    <x v="1"/>
    <s v="P1-BMP Puerto Vespucio"/>
    <n v="130"/>
    <n v="9777.9699999999993"/>
    <n v="1271136.1000000001"/>
    <d v="2026-06-07T00:00:00"/>
    <n v="0.42708333333333331"/>
    <x v="1"/>
    <n v="304.39024390243901"/>
    <n v="2.1354166666666665"/>
  </r>
  <r>
    <n v="403219"/>
    <x v="27"/>
    <x v="1"/>
    <s v="P1-BMP Puerto Vespucio"/>
    <n v="34000"/>
    <n v="6.1"/>
    <n v="207400"/>
    <d v="2026-06-07T00:00:00"/>
    <n v="3843.1372549019611"/>
    <x v="4"/>
    <n v="8.8469387755102034"/>
    <n v="19215.686274509804"/>
  </r>
  <r>
    <n v="402253"/>
    <x v="261"/>
    <x v="1"/>
    <s v="P1-BMP Puerto Vespucio"/>
    <n v="500"/>
    <n v="522.5"/>
    <n v="261250"/>
    <d v="2026-06-07T00:00:00"/>
    <n v="100"/>
    <x v="7"/>
    <n v="5"/>
    <n v="1700"/>
  </r>
  <r>
    <n v="403258"/>
    <x v="262"/>
    <x v="1"/>
    <s v="P1-BMP Puerto Vespucio"/>
    <n v="8000"/>
    <n v="14.23"/>
    <n v="113840"/>
    <d v="2026-06-07T00:00:00"/>
    <n v="0"/>
    <x v="14"/>
    <n v="0"/>
    <n v="0"/>
  </r>
  <r>
    <n v="405728"/>
    <x v="263"/>
    <x v="1"/>
    <s v="P1-BMP Puerto Vespucio"/>
    <n v="43"/>
    <n v="13496.65"/>
    <n v="580355.94999999995"/>
    <d v="2026-06-07T00:00:00"/>
    <n v="4.8"/>
    <x v="2"/>
    <n v="8.9583333333333339"/>
    <n v="38.4"/>
  </r>
  <r>
    <n v="402255"/>
    <x v="31"/>
    <x v="1"/>
    <s v="P1-BMP Puerto Vespucio"/>
    <n v="1153"/>
    <n v="1290"/>
    <n v="1487370"/>
    <d v="2026-06-07T00:00:00"/>
    <n v="15.225490196078432"/>
    <x v="9"/>
    <n v="75.728267868641339"/>
    <n v="76.127450980392155"/>
  </r>
  <r>
    <n v="405304"/>
    <x v="264"/>
    <x v="1"/>
    <s v="P1-BMP Puerto Vespucio"/>
    <n v="55"/>
    <n v="10134"/>
    <n v="557370"/>
    <d v="2026-06-07T00:00:00"/>
    <n v="1.6666666666666667"/>
    <x v="27"/>
    <n v="33"/>
    <n v="10"/>
  </r>
  <r>
    <n v="107134"/>
    <x v="34"/>
    <x v="1"/>
    <s v="P1-BMP Puerto Vespucio"/>
    <n v="235"/>
    <n v="3599.97"/>
    <n v="845992.95"/>
    <d v="2026-06-07T00:00:00"/>
    <n v="7.1875"/>
    <x v="1"/>
    <n v="32.695652173913047"/>
    <n v="35.9375"/>
  </r>
  <r>
    <n v="170183"/>
    <x v="43"/>
    <x v="1"/>
    <s v="P1-BMP Puerto Vespucio"/>
    <n v="300"/>
    <n v="3376"/>
    <n v="1012800"/>
    <d v="2026-06-07T00:00:00"/>
    <n v="0"/>
    <x v="13"/>
    <n v="0"/>
    <n v="0"/>
  </r>
  <r>
    <n v="107300"/>
    <x v="39"/>
    <x v="1"/>
    <s v="P1-BMP Puerto Vespucio"/>
    <n v="5460"/>
    <n v="212.88"/>
    <n v="1162324.8"/>
    <d v="2026-06-07T00:00:00"/>
    <n v="1343.8541666666667"/>
    <x v="4"/>
    <n v="4.0629408572978836"/>
    <n v="5375.416666666667"/>
  </r>
  <r>
    <n v="107237"/>
    <x v="45"/>
    <x v="1"/>
    <s v="P1-BMP Puerto Vespucio"/>
    <n v="676"/>
    <n v="4078.17"/>
    <n v="2756842.92"/>
    <d v="2026-06-07T00:00:00"/>
    <n v="16.0625"/>
    <x v="13"/>
    <n v="42.085603112840467"/>
    <n v="80.3125"/>
  </r>
  <r>
    <n v="107104"/>
    <x v="52"/>
    <x v="1"/>
    <s v="P1-BMP Puerto Vespucio"/>
    <n v="821"/>
    <n v="3380"/>
    <n v="2774980"/>
    <d v="2026-06-07T00:00:00"/>
    <n v="168.16666666666666"/>
    <x v="13"/>
    <n v="4.8820614469772057"/>
    <n v="672.66666666666663"/>
  </r>
  <r>
    <n v="107142"/>
    <x v="46"/>
    <x v="1"/>
    <s v="P1-BMP Puerto Vespucio"/>
    <n v="200"/>
    <n v="3249.7"/>
    <n v="649940"/>
    <d v="2026-06-07T00:00:00"/>
    <n v="56.931372549019606"/>
    <x v="13"/>
    <n v="3.5130015498536249"/>
    <n v="341.58823529411762"/>
  </r>
  <r>
    <n v="405161"/>
    <x v="265"/>
    <x v="1"/>
    <s v="P1-BMP Puerto Vespucio"/>
    <n v="1080"/>
    <n v="2557.06"/>
    <n v="2761624.8"/>
    <d v="2026-06-07T00:00:00"/>
    <n v="23.523809523809522"/>
    <x v="13"/>
    <n v="45.910931174089072"/>
    <n v="117.61904761904762"/>
  </r>
  <r>
    <n v="107098"/>
    <x v="48"/>
    <x v="1"/>
    <s v="P1-BMP Puerto Vespucio"/>
    <n v="870"/>
    <n v="3195.59"/>
    <n v="2780163.3"/>
    <d v="2026-06-07T00:00:00"/>
    <n v="163.33333333333334"/>
    <x v="13"/>
    <n v="5.3265306122448974"/>
    <n v="980"/>
  </r>
  <r>
    <n v="107417"/>
    <x v="266"/>
    <x v="1"/>
    <s v="P1-BMP Puerto Vespucio"/>
    <n v="660"/>
    <n v="2980"/>
    <n v="1966800"/>
    <d v="2026-06-07T00:00:00"/>
    <n v="64.523809523809533"/>
    <x v="13"/>
    <n v="10.228782287822877"/>
    <n v="322.61904761904771"/>
  </r>
  <r>
    <n v="103612"/>
    <x v="51"/>
    <x v="1"/>
    <s v="P1-BMP Puerto Vespucio"/>
    <n v="737"/>
    <n v="2600"/>
    <n v="1916200"/>
    <d v="2026-06-07T00:00:00"/>
    <n v="7.3725490196078427"/>
    <x v="13"/>
    <n v="99.965425531914903"/>
    <n v="29.490196078431371"/>
  </r>
  <r>
    <n v="107209"/>
    <x v="54"/>
    <x v="1"/>
    <s v="P1-BMP Puerto Vespucio"/>
    <n v="4584"/>
    <n v="2402.34"/>
    <n v="11012326.560000001"/>
    <d v="2026-06-07T00:00:00"/>
    <n v="784.74509803921558"/>
    <x v="13"/>
    <n v="5.8413872370196396"/>
    <n v="3923.7254901960778"/>
  </r>
  <r>
    <n v="405524"/>
    <x v="267"/>
    <x v="1"/>
    <s v="P1-BMP Puerto Vespucio"/>
    <n v="153"/>
    <n v="3627.97"/>
    <n v="555079.41"/>
    <d v="2026-06-07T00:00:00"/>
    <n v="8.8921568627450984"/>
    <x v="6"/>
    <n v="17.206174200661522"/>
    <n v="53.352941176470594"/>
  </r>
  <r>
    <n v="405214"/>
    <x v="268"/>
    <x v="1"/>
    <s v="P1-BMP Puerto Vespucio"/>
    <n v="4640"/>
    <n v="2980"/>
    <n v="13827200"/>
    <d v="2026-06-07T00:00:00"/>
    <n v="101.25"/>
    <x v="13"/>
    <n v="45.827160493827158"/>
    <n v="607.5"/>
  </r>
  <r>
    <n v="107317"/>
    <x v="269"/>
    <x v="1"/>
    <s v="P1-BMP Puerto Vespucio"/>
    <n v="450"/>
    <n v="4202.0600000000004"/>
    <n v="1890927"/>
    <d v="2026-06-07T00:00:00"/>
    <n v="45.416666666666664"/>
    <x v="18"/>
    <n v="9.9082568807339459"/>
    <n v="227.08333333333331"/>
  </r>
  <r>
    <n v="107242"/>
    <x v="49"/>
    <x v="1"/>
    <s v="P1-BMP Puerto Vespucio"/>
    <n v="120"/>
    <n v="4270.74"/>
    <n v="512488.8"/>
    <d v="2026-06-07T00:00:00"/>
    <n v="26.617647058823533"/>
    <x v="13"/>
    <n v="4.5082872928176787"/>
    <n v="106.47058823529413"/>
  </r>
  <r>
    <n v="107345"/>
    <x v="55"/>
    <x v="1"/>
    <s v="P1-BMP Puerto Vespucio"/>
    <n v="2370"/>
    <n v="185.4"/>
    <n v="439398"/>
    <d v="2026-06-07T00:00:00"/>
    <n v="344.11764705882348"/>
    <x v="4"/>
    <n v="6.8871794871794885"/>
    <n v="1720.5882352941176"/>
  </r>
  <r>
    <n v="403244"/>
    <x v="270"/>
    <x v="1"/>
    <s v="P1-BMP Puerto Vespucio"/>
    <n v="2850"/>
    <n v="231.74"/>
    <n v="660459"/>
    <d v="2026-06-07T00:00:00"/>
    <n v="764.11764705882354"/>
    <x v="4"/>
    <n v="3.7297921478060045"/>
    <n v="3820.588235294118"/>
  </r>
  <r>
    <n v="107240"/>
    <x v="271"/>
    <x v="1"/>
    <s v="P1-BMP Puerto Vespucio"/>
    <n v="208.1"/>
    <n v="3378.32"/>
    <n v="703028.39199999999"/>
    <d v="2026-06-07T00:00:00"/>
    <n v="1.8944444444444446"/>
    <x v="8"/>
    <n v="109.84750733137828"/>
    <n v="9.4722222222222232"/>
  </r>
  <r>
    <n v="107339"/>
    <x v="57"/>
    <x v="1"/>
    <s v="P1-BMP Puerto Vespucio"/>
    <n v="7210"/>
    <n v="258.66000000000003"/>
    <n v="1864938.6"/>
    <d v="2026-06-07T00:00:00"/>
    <n v="590.19607843137248"/>
    <x v="4"/>
    <n v="12.216279069767443"/>
    <n v="2360.7843137254899"/>
  </r>
  <r>
    <n v="405489"/>
    <x v="272"/>
    <x v="1"/>
    <s v="P1-BMP Puerto Vespucio"/>
    <n v="800"/>
    <n v="247"/>
    <n v="197600"/>
    <d v="2026-06-07T00:00:00"/>
    <n v="114.16666666666667"/>
    <x v="4"/>
    <n v="7.0072992700729921"/>
    <n v="456.66666666666669"/>
  </r>
  <r>
    <n v="405594"/>
    <x v="273"/>
    <x v="1"/>
    <s v="P1-BMP Puerto Vespucio"/>
    <n v="2000"/>
    <n v="176"/>
    <n v="352000"/>
    <d v="2026-06-07T00:00:00"/>
    <n v="0"/>
    <x v="4"/>
    <n v="0"/>
    <n v="0"/>
  </r>
  <r>
    <n v="107344"/>
    <x v="63"/>
    <x v="1"/>
    <s v="P1-BMP Puerto Vespucio"/>
    <n v="11760"/>
    <n v="235.06"/>
    <n v="2764305.6"/>
    <d v="2026-06-07T00:00:00"/>
    <n v="488.11111111111109"/>
    <x v="4"/>
    <n v="24.092875028454362"/>
    <n v="1952.4444444444443"/>
  </r>
  <r>
    <n v="201002"/>
    <x v="274"/>
    <x v="1"/>
    <s v="P1-BMP Puerto Vespucio"/>
    <n v="1580"/>
    <n v="3210"/>
    <n v="5071800"/>
    <d v="2026-06-07T00:00:00"/>
    <n v="67.352941176470594"/>
    <x v="28"/>
    <n v="23.458515283842793"/>
    <n v="404.11764705882354"/>
  </r>
  <r>
    <n v="405444"/>
    <x v="58"/>
    <x v="1"/>
    <s v="P1-BMP Puerto Vespucio"/>
    <n v="14300"/>
    <n v="251.98"/>
    <n v="3603314"/>
    <d v="2026-06-07T00:00:00"/>
    <n v="2772.5490196078431"/>
    <x v="4"/>
    <n v="5.1577086280056577"/>
    <n v="11090.196078431372"/>
  </r>
  <r>
    <n v="405770"/>
    <x v="275"/>
    <x v="1"/>
    <s v="P1-BMP Puerto Vespucio"/>
    <n v="5800"/>
    <n v="210"/>
    <n v="1218000"/>
    <d v="2026-06-07T00:00:00"/>
    <n v="0"/>
    <x v="4"/>
    <n v="0"/>
    <n v="0"/>
  </r>
  <r>
    <n v="405278"/>
    <x v="59"/>
    <x v="1"/>
    <s v="P1-BMP Puerto Vespucio"/>
    <n v="6580"/>
    <n v="244.74"/>
    <n v="1610389.2"/>
    <d v="2026-06-07T00:00:00"/>
    <n v="155.09803921568627"/>
    <x v="4"/>
    <n v="42.424778761061951"/>
    <n v="620.39215686274508"/>
  </r>
  <r>
    <n v="107127"/>
    <x v="62"/>
    <x v="1"/>
    <s v="P1-BMP Puerto Vespucio"/>
    <n v="492"/>
    <n v="6286.92"/>
    <n v="3093164.64"/>
    <d v="2026-06-07T00:00:00"/>
    <n v="6.109375"/>
    <x v="2"/>
    <n v="80.531969309462909"/>
    <n v="36.65625"/>
  </r>
  <r>
    <n v="107108"/>
    <x v="64"/>
    <x v="1"/>
    <s v="P1-BMP Puerto Vespucio"/>
    <n v="225"/>
    <n v="4197.54"/>
    <n v="944446.5"/>
    <d v="2026-06-07T00:00:00"/>
    <n v="63.254901960784309"/>
    <x v="2"/>
    <n v="3.5570365778053321"/>
    <n v="379.52941176470586"/>
  </r>
  <r>
    <n v="405739"/>
    <x v="276"/>
    <x v="1"/>
    <s v="P1-BMP Puerto Vespucio"/>
    <n v="201000"/>
    <n v="20.9"/>
    <n v="4200900"/>
    <d v="2026-06-07T00:00:00"/>
    <n v="966.66666666666663"/>
    <x v="14"/>
    <n v="207.93103448275863"/>
    <n v="5800"/>
  </r>
  <r>
    <n v="405740"/>
    <x v="67"/>
    <x v="1"/>
    <s v="P1-BMP Puerto Vespucio"/>
    <n v="93900"/>
    <n v="24.9"/>
    <n v="2338110"/>
    <d v="2026-06-07T00:00:00"/>
    <n v="4700"/>
    <x v="14"/>
    <n v="19.978723404255319"/>
    <n v="28200"/>
  </r>
  <r>
    <n v="405741"/>
    <x v="277"/>
    <x v="1"/>
    <s v="P1-BMP Puerto Vespucio"/>
    <n v="198400"/>
    <n v="33.4"/>
    <n v="6626560"/>
    <d v="2026-06-07T00:00:00"/>
    <n v="416.66666666666669"/>
    <x v="14"/>
    <n v="476.15999999999997"/>
    <n v="2500"/>
  </r>
  <r>
    <n v="403100"/>
    <x v="278"/>
    <x v="1"/>
    <s v="P1-BMP Puerto Vespucio"/>
    <n v="40600"/>
    <n v="34.1"/>
    <n v="1384460"/>
    <d v="2026-06-07T00:00:00"/>
    <n v="2311.2745098039218"/>
    <x v="14"/>
    <n v="17.566065747613997"/>
    <n v="13867.647058823532"/>
  </r>
  <r>
    <n v="403271"/>
    <x v="279"/>
    <x v="1"/>
    <s v="P1-BMP Puerto Vespucio"/>
    <n v="29500"/>
    <n v="37"/>
    <n v="1091500"/>
    <d v="2026-06-07T00:00:00"/>
    <n v="1148.75"/>
    <x v="14"/>
    <n v="25.680087051142547"/>
    <n v="19528.75"/>
  </r>
  <r>
    <n v="107292"/>
    <x v="66"/>
    <x v="1"/>
    <s v="P1-BMP Puerto Vespucio"/>
    <n v="7500"/>
    <n v="39"/>
    <n v="292500"/>
    <d v="2026-06-07T00:00:00"/>
    <n v="2201.5625"/>
    <x v="14"/>
    <n v="3.4066713981547196"/>
    <n v="37426.5625"/>
  </r>
  <r>
    <n v="405583"/>
    <x v="71"/>
    <x v="1"/>
    <s v="P1-BMP Puerto Vespucio"/>
    <n v="350"/>
    <n v="49"/>
    <n v="17150"/>
    <d v="2026-06-07T00:00:00"/>
    <n v="1746.4285714285716"/>
    <x v="14"/>
    <n v="0.20040899795501022"/>
    <n v="29689.285714285717"/>
  </r>
  <r>
    <n v="107210"/>
    <x v="69"/>
    <x v="1"/>
    <s v="P1-BMP Puerto Vespucio"/>
    <n v="648"/>
    <n v="771.66"/>
    <n v="500035.68"/>
    <d v="2026-06-07T00:00:00"/>
    <n v="260"/>
    <x v="3"/>
    <n v="2.4923076923076923"/>
    <n v="1300"/>
  </r>
  <r>
    <n v="107294"/>
    <x v="74"/>
    <x v="1"/>
    <s v="P1-BMP Puerto Vespucio"/>
    <n v="3648"/>
    <n v="1660"/>
    <n v="6055680"/>
    <d v="2026-06-07T00:00:00"/>
    <n v="294.23529411764707"/>
    <x v="6"/>
    <n v="12.398240703718512"/>
    <n v="1176.9411764705883"/>
  </r>
  <r>
    <n v="107125"/>
    <x v="75"/>
    <x v="1"/>
    <s v="P1-BMP Puerto Vespucio"/>
    <n v="28.8"/>
    <n v="2582.9899999999998"/>
    <n v="74390.111999999994"/>
    <d v="2026-06-07T00:00:00"/>
    <n v="31.933627450980392"/>
    <x v="8"/>
    <n v="0.90187060784777251"/>
    <n v="159.66813725490195"/>
  </r>
  <r>
    <n v="107124"/>
    <x v="280"/>
    <x v="1"/>
    <s v="P1-BMP Puerto Vespucio"/>
    <n v="486"/>
    <n v="2694.44"/>
    <n v="1309497.8400000001"/>
    <d v="2026-06-07T00:00:00"/>
    <n v="0.6"/>
    <x v="8"/>
    <n v="810"/>
    <n v="3"/>
  </r>
  <r>
    <n v="405720"/>
    <x v="281"/>
    <x v="1"/>
    <s v="P1-BMP Puerto Vespucio"/>
    <n v="15000"/>
    <n v="18.34"/>
    <n v="275100"/>
    <d v="2026-06-07T00:00:00"/>
    <n v="750"/>
    <x v="16"/>
    <n v="20"/>
    <n v="6000"/>
  </r>
  <r>
    <n v="405719"/>
    <x v="282"/>
    <x v="1"/>
    <s v="P1-BMP Puerto Vespucio"/>
    <n v="26000"/>
    <n v="18.34"/>
    <n v="476840"/>
    <d v="2026-06-07T00:00:00"/>
    <n v="833.33333333333337"/>
    <x v="16"/>
    <n v="31.2"/>
    <n v="6666.666666666667"/>
  </r>
  <r>
    <n v="405718"/>
    <x v="283"/>
    <x v="1"/>
    <s v="P1-BMP Puerto Vespucio"/>
    <n v="10500"/>
    <n v="22.7"/>
    <n v="238350"/>
    <d v="2026-06-07T00:00:00"/>
    <n v="979.16666666666663"/>
    <x v="16"/>
    <n v="10.723404255319149"/>
    <n v="7833.333333333333"/>
  </r>
  <r>
    <n v="405711"/>
    <x v="284"/>
    <x v="1"/>
    <s v="P1-BMP Puerto Vespucio"/>
    <n v="24500"/>
    <n v="22.7"/>
    <n v="556150"/>
    <d v="2026-06-07T00:00:00"/>
    <n v="194.44444444444446"/>
    <x v="16"/>
    <n v="125.99999999999999"/>
    <n v="1555.5555555555557"/>
  </r>
  <r>
    <n v="405712"/>
    <x v="80"/>
    <x v="1"/>
    <s v="P1-BMP Puerto Vespucio"/>
    <n v="10000"/>
    <n v="22.7"/>
    <n v="227000"/>
    <d v="2026-06-07T00:00:00"/>
    <n v="3333.3333333333335"/>
    <x v="16"/>
    <n v="3"/>
    <n v="26666.666666666668"/>
  </r>
  <r>
    <n v="405713"/>
    <x v="285"/>
    <x v="1"/>
    <s v="P1-BMP Puerto Vespucio"/>
    <n v="10000"/>
    <n v="22.7"/>
    <n v="227000"/>
    <d v="2026-06-07T00:00:00"/>
    <n v="450"/>
    <x v="16"/>
    <n v="22.222222222222221"/>
    <n v="3600"/>
  </r>
  <r>
    <n v="405716"/>
    <x v="286"/>
    <x v="1"/>
    <s v="P1-BMP Puerto Vespucio"/>
    <n v="10000"/>
    <n v="22.7"/>
    <n v="227000"/>
    <d v="2026-06-07T00:00:00"/>
    <n v="0"/>
    <x v="16"/>
    <n v="0"/>
    <n v="0"/>
  </r>
  <r>
    <n v="405717"/>
    <x v="287"/>
    <x v="1"/>
    <s v="P1-BMP Puerto Vespucio"/>
    <n v="13000"/>
    <n v="22.7"/>
    <n v="295100"/>
    <d v="2026-06-07T00:00:00"/>
    <n v="1111.1111111111111"/>
    <x v="16"/>
    <n v="11.700000000000001"/>
    <n v="8888.8888888888887"/>
  </r>
  <r>
    <n v="405714"/>
    <x v="288"/>
    <x v="1"/>
    <s v="P1-BMP Puerto Vespucio"/>
    <n v="4000"/>
    <n v="22.7"/>
    <n v="90800"/>
    <d v="2026-06-07T00:00:00"/>
    <n v="1066.6666666666667"/>
    <x v="16"/>
    <n v="3.7499999999999996"/>
    <n v="8533.3333333333339"/>
  </r>
  <r>
    <n v="405773"/>
    <x v="289"/>
    <x v="1"/>
    <s v="P1-BMP Puerto Vespucio"/>
    <n v="10000"/>
    <n v="20.399999999999999"/>
    <n v="204000"/>
    <d v="2026-06-07T00:00:00"/>
    <n v="0"/>
    <x v="16"/>
    <n v="0"/>
    <n v="0"/>
  </r>
  <r>
    <n v="405354"/>
    <x v="290"/>
    <x v="1"/>
    <s v="P1-BMP Puerto Vespucio"/>
    <n v="5000"/>
    <n v="17.170000000000002"/>
    <n v="85850"/>
    <d v="2026-06-07T00:00:00"/>
    <n v="208.33333333333334"/>
    <x v="16"/>
    <n v="24"/>
    <n v="1666.6666666666667"/>
  </r>
  <r>
    <n v="405360"/>
    <x v="291"/>
    <x v="1"/>
    <s v="P1-BMP Puerto Vespucio"/>
    <n v="4000"/>
    <n v="17.170000000000002"/>
    <n v="68680"/>
    <d v="2026-06-07T00:00:00"/>
    <n v="314.81481481481484"/>
    <x v="16"/>
    <n v="12.705882352941176"/>
    <n v="2518.5185185185187"/>
  </r>
  <r>
    <n v="405704"/>
    <x v="292"/>
    <x v="1"/>
    <s v="P1-BMP Puerto Vespucio"/>
    <n v="6000"/>
    <n v="20.7"/>
    <n v="124200"/>
    <d v="2026-06-07T00:00:00"/>
    <n v="0"/>
    <x v="16"/>
    <n v="0"/>
    <n v="0"/>
  </r>
  <r>
    <n v="405356"/>
    <x v="293"/>
    <x v="1"/>
    <s v="P1-BMP Puerto Vespucio"/>
    <n v="7000"/>
    <n v="19.38"/>
    <n v="135660"/>
    <d v="2026-06-07T00:00:00"/>
    <n v="225"/>
    <x v="16"/>
    <n v="31.111111111111111"/>
    <n v="1800"/>
  </r>
  <r>
    <n v="405357"/>
    <x v="294"/>
    <x v="1"/>
    <s v="P1-BMP Puerto Vespucio"/>
    <n v="6500"/>
    <n v="20.49"/>
    <n v="133185"/>
    <d v="2026-06-07T00:00:00"/>
    <n v="177.08333333333334"/>
    <x v="16"/>
    <n v="36.705882352941174"/>
    <n v="1416.6666666666667"/>
  </r>
  <r>
    <n v="405736"/>
    <x v="295"/>
    <x v="1"/>
    <s v="P1-BMP Puerto Vespucio"/>
    <n v="16000"/>
    <n v="22.7"/>
    <n v="363200"/>
    <d v="2026-06-07T00:00:00"/>
    <n v="611.11111111111109"/>
    <x v="16"/>
    <n v="26.181818181818183"/>
    <n v="4888.8888888888887"/>
  </r>
  <r>
    <n v="405710"/>
    <x v="296"/>
    <x v="1"/>
    <s v="P1-BMP Puerto Vespucio"/>
    <n v="17000"/>
    <n v="22.7"/>
    <n v="385900"/>
    <d v="2026-06-07T00:00:00"/>
    <n v="500"/>
    <x v="16"/>
    <n v="34"/>
    <n v="4000"/>
  </r>
  <r>
    <n v="405733"/>
    <x v="297"/>
    <x v="1"/>
    <s v="P1-BMP Puerto Vespucio"/>
    <n v="8000"/>
    <n v="22.7"/>
    <n v="181600"/>
    <d v="2026-06-07T00:00:00"/>
    <n v="708.33333333333337"/>
    <x v="16"/>
    <n v="11.294117647058822"/>
    <n v="5666.666666666667"/>
  </r>
  <r>
    <n v="405709"/>
    <x v="298"/>
    <x v="1"/>
    <s v="P1-BMP Puerto Vespucio"/>
    <n v="15000"/>
    <n v="22.7"/>
    <n v="340500"/>
    <d v="2026-06-07T00:00:00"/>
    <n v="611.11111111111109"/>
    <x v="16"/>
    <n v="24.545454545454547"/>
    <n v="4888.8888888888887"/>
  </r>
  <r>
    <n v="405737"/>
    <x v="299"/>
    <x v="1"/>
    <s v="P1-BMP Puerto Vespucio"/>
    <n v="9000"/>
    <n v="22.7"/>
    <n v="204300"/>
    <d v="2026-06-07T00:00:00"/>
    <n v="1000"/>
    <x v="16"/>
    <n v="9"/>
    <n v="8000"/>
  </r>
  <r>
    <n v="405734"/>
    <x v="300"/>
    <x v="1"/>
    <s v="P1-BMP Puerto Vespucio"/>
    <n v="10000"/>
    <n v="22.7"/>
    <n v="227000"/>
    <d v="2026-06-07T00:00:00"/>
    <n v="1000"/>
    <x v="16"/>
    <n v="10"/>
    <n v="8000"/>
  </r>
  <r>
    <n v="405735"/>
    <x v="301"/>
    <x v="1"/>
    <s v="P1-BMP Puerto Vespucio"/>
    <n v="9000"/>
    <n v="22.7"/>
    <n v="204300"/>
    <d v="2026-06-07T00:00:00"/>
    <n v="625"/>
    <x v="16"/>
    <n v="14.4"/>
    <n v="5000"/>
  </r>
  <r>
    <n v="405049"/>
    <x v="104"/>
    <x v="1"/>
    <s v="P1-BMP Puerto Vespucio"/>
    <n v="185000"/>
    <n v="1.54"/>
    <n v="284900"/>
    <d v="2026-06-07T00:00:00"/>
    <n v="12291.666666666666"/>
    <x v="16"/>
    <n v="15.050847457627119"/>
    <n v="98333.333333333328"/>
  </r>
  <r>
    <n v="405771"/>
    <x v="302"/>
    <x v="1"/>
    <s v="P1-BMP Puerto Vespucio"/>
    <n v="7000"/>
    <n v="45.5"/>
    <n v="318500"/>
    <d v="2026-06-07T00:00:00"/>
    <n v="0"/>
    <x v="16"/>
    <n v="0"/>
    <n v="0"/>
  </r>
  <r>
    <n v="405772"/>
    <x v="303"/>
    <x v="1"/>
    <s v="P1-BMP Puerto Vespucio"/>
    <n v="10000"/>
    <n v="45.5"/>
    <n v="455000"/>
    <d v="2026-06-07T00:00:00"/>
    <n v="0"/>
    <x v="16"/>
    <n v="0"/>
    <n v="0"/>
  </r>
  <r>
    <n v="404718"/>
    <x v="304"/>
    <x v="1"/>
    <s v="P1-BMP Puerto Vespucio"/>
    <n v="73000"/>
    <n v="8.08"/>
    <n v="589840"/>
    <d v="2026-06-07T00:00:00"/>
    <n v="2577.7777777777778"/>
    <x v="16"/>
    <n v="28.318965517241377"/>
    <n v="20622.222222222223"/>
  </r>
  <r>
    <n v="405159"/>
    <x v="106"/>
    <x v="1"/>
    <s v="P1-BMP Puerto Vespucio"/>
    <n v="23000"/>
    <n v="14.5"/>
    <n v="333500"/>
    <d v="2026-06-07T00:00:00"/>
    <n v="2441.1764705882356"/>
    <x v="16"/>
    <n v="9.4216867469879499"/>
    <n v="19529.411764705885"/>
  </r>
  <r>
    <n v="405479"/>
    <x v="305"/>
    <x v="1"/>
    <s v="P1-BMP Puerto Vespucio"/>
    <n v="32400"/>
    <n v="10.95"/>
    <n v="354780"/>
    <d v="2026-06-07T00:00:00"/>
    <n v="0"/>
    <x v="16"/>
    <n v="0"/>
    <n v="0"/>
  </r>
  <r>
    <n v="405103"/>
    <x v="112"/>
    <x v="1"/>
    <s v="P1-BMP Puerto Vespucio"/>
    <n v="104000"/>
    <n v="17.27"/>
    <n v="1796080"/>
    <d v="2026-06-07T00:00:00"/>
    <n v="1211.5384615384617"/>
    <x v="16"/>
    <n v="85.841269841269835"/>
    <n v="9692.3076923076933"/>
  </r>
  <r>
    <n v="404748"/>
    <x v="114"/>
    <x v="1"/>
    <s v="P1-BMP Puerto Vespucio"/>
    <n v="11000"/>
    <n v="13.67"/>
    <n v="150370"/>
    <d v="2026-06-07T00:00:00"/>
    <n v="656.25"/>
    <x v="16"/>
    <n v="16.761904761904763"/>
    <n v="5250"/>
  </r>
  <r>
    <n v="405461"/>
    <x v="107"/>
    <x v="1"/>
    <s v="P1-BMP Puerto Vespucio"/>
    <n v="27000"/>
    <n v="5"/>
    <n v="135000"/>
    <d v="2026-06-07T00:00:00"/>
    <n v="1500"/>
    <x v="16"/>
    <n v="18"/>
    <n v="12000"/>
  </r>
  <r>
    <n v="404733"/>
    <x v="306"/>
    <x v="1"/>
    <s v="P1-BMP Puerto Vespucio"/>
    <n v="3000"/>
    <n v="17.170000000000002"/>
    <n v="51510"/>
    <d v="2026-06-07T00:00:00"/>
    <n v="458.33333333333331"/>
    <x v="16"/>
    <n v="6.5454545454545459"/>
    <n v="3666.6666666666665"/>
  </r>
  <r>
    <n v="404720"/>
    <x v="307"/>
    <x v="1"/>
    <s v="P1-BMP Puerto Vespucio"/>
    <n v="253500"/>
    <n v="6.56"/>
    <n v="1662960"/>
    <d v="2026-06-07T00:00:00"/>
    <n v="5644.4444444444443"/>
    <x v="16"/>
    <n v="44.911417322834644"/>
    <n v="45155.555555555555"/>
  </r>
  <r>
    <n v="405721"/>
    <x v="130"/>
    <x v="1"/>
    <s v="P1-BMP Puerto Vespucio"/>
    <n v="89000"/>
    <n v="20.7"/>
    <n v="1842300"/>
    <d v="2026-06-07T00:00:00"/>
    <n v="9933.3333333333339"/>
    <x v="16"/>
    <n v="8.9597315436241605"/>
    <n v="79466.666666666672"/>
  </r>
  <r>
    <n v="404735"/>
    <x v="109"/>
    <x v="1"/>
    <s v="P1-BMP Puerto Vespucio"/>
    <n v="3000"/>
    <n v="17.170000000000002"/>
    <n v="51510"/>
    <d v="2026-06-07T00:00:00"/>
    <n v="261.90476190476187"/>
    <x v="16"/>
    <n v="11.454545454545457"/>
    <n v="2095.238095238095"/>
  </r>
  <r>
    <n v="405722"/>
    <x v="308"/>
    <x v="1"/>
    <s v="P1-BMP Puerto Vespucio"/>
    <n v="67000"/>
    <n v="14.2"/>
    <n v="951400"/>
    <d v="2026-06-07T00:00:00"/>
    <n v="4666.666666666667"/>
    <x v="16"/>
    <n v="14.357142857142856"/>
    <n v="37333.333333333336"/>
  </r>
  <r>
    <n v="405738"/>
    <x v="309"/>
    <x v="1"/>
    <s v="P1-BMP Puerto Vespucio"/>
    <n v="21000"/>
    <n v="14.2"/>
    <n v="298200"/>
    <d v="2026-06-07T00:00:00"/>
    <n v="5000"/>
    <x v="16"/>
    <n v="4.2"/>
    <n v="40000"/>
  </r>
  <r>
    <n v="405199"/>
    <x v="310"/>
    <x v="1"/>
    <s v="P1-BMP Puerto Vespucio"/>
    <n v="32000"/>
    <n v="9.8699999999999992"/>
    <n v="315840"/>
    <d v="2026-06-07T00:00:00"/>
    <n v="2363.6363636363635"/>
    <x v="16"/>
    <n v="13.538461538461538"/>
    <n v="18909.090909090908"/>
  </r>
  <r>
    <n v="405494"/>
    <x v="311"/>
    <x v="1"/>
    <s v="P1-BMP Puerto Vespucio"/>
    <n v="17500"/>
    <n v="7.74"/>
    <n v="135450"/>
    <d v="2026-06-07T00:00:00"/>
    <n v="0"/>
    <x v="16"/>
    <n v="0"/>
    <n v="0"/>
  </r>
  <r>
    <n v="405497"/>
    <x v="312"/>
    <x v="1"/>
    <s v="P1-BMP Puerto Vespucio"/>
    <n v="20000"/>
    <n v="7.74"/>
    <n v="154800"/>
    <d v="2026-06-07T00:00:00"/>
    <n v="0"/>
    <x v="16"/>
    <n v="0"/>
    <n v="0"/>
  </r>
  <r>
    <n v="405495"/>
    <x v="313"/>
    <x v="1"/>
    <s v="P1-BMP Puerto Vespucio"/>
    <n v="17500"/>
    <n v="7.74"/>
    <n v="135450"/>
    <d v="2026-06-07T00:00:00"/>
    <n v="0"/>
    <x v="16"/>
    <n v="0"/>
    <n v="0"/>
  </r>
  <r>
    <n v="405498"/>
    <x v="314"/>
    <x v="1"/>
    <s v="P1-BMP Puerto Vespucio"/>
    <n v="20000"/>
    <n v="7.74"/>
    <n v="154800"/>
    <d v="2026-06-07T00:00:00"/>
    <n v="0"/>
    <x v="16"/>
    <n v="0"/>
    <n v="0"/>
  </r>
  <r>
    <n v="107408"/>
    <x v="315"/>
    <x v="1"/>
    <s v="P1-BMP Puerto Vespucio"/>
    <n v="3000"/>
    <n v="18.760000000000002"/>
    <n v="56280"/>
    <d v="2026-06-07T00:00:00"/>
    <n v="0"/>
    <x v="16"/>
    <n v="0"/>
    <n v="0"/>
  </r>
  <r>
    <n v="405493"/>
    <x v="316"/>
    <x v="1"/>
    <s v="P1-BMP Puerto Vespucio"/>
    <n v="5000"/>
    <n v="7.74"/>
    <n v="38700"/>
    <d v="2026-06-07T00:00:00"/>
    <n v="0"/>
    <x v="16"/>
    <n v="0"/>
    <n v="0"/>
  </r>
  <r>
    <n v="405310"/>
    <x v="135"/>
    <x v="1"/>
    <s v="P1-BMP Puerto Vespucio"/>
    <n v="170000"/>
    <n v="7.3"/>
    <n v="1241000"/>
    <d v="2026-06-07T00:00:00"/>
    <n v="2500"/>
    <x v="16"/>
    <n v="68"/>
    <n v="20000"/>
  </r>
  <r>
    <n v="405491"/>
    <x v="317"/>
    <x v="1"/>
    <s v="P1-BMP Puerto Vespucio"/>
    <n v="849"/>
    <n v="2767.58"/>
    <n v="2349675.42"/>
    <d v="2026-06-07T00:00:00"/>
    <n v="41.903921568627446"/>
    <x v="6"/>
    <n v="20.260633568854992"/>
    <n v="167.61568627450978"/>
  </r>
  <r>
    <n v="402132"/>
    <x v="160"/>
    <x v="1"/>
    <s v="P1-BMP Puerto Vespucio"/>
    <n v="75"/>
    <n v="5870"/>
    <n v="440250"/>
    <d v="2026-06-07T00:00:00"/>
    <n v="27.489743589743586"/>
    <x v="18"/>
    <n v="2.7282902714299042"/>
    <n v="137.44871794871793"/>
  </r>
  <r>
    <n v="107183"/>
    <x v="318"/>
    <x v="1"/>
    <s v="P1-BMP Puerto Vespucio"/>
    <n v="291.5"/>
    <n v="2300"/>
    <n v="670450"/>
    <d v="2026-06-07T00:00:00"/>
    <n v="79.296153846153842"/>
    <x v="8"/>
    <n v="3.6760925449871467"/>
    <n v="555.07307692307688"/>
  </r>
  <r>
    <n v="107335"/>
    <x v="319"/>
    <x v="1"/>
    <s v="P1-BMP Puerto Vespucio"/>
    <n v="395.8"/>
    <n v="4290.32"/>
    <n v="1698108.656"/>
    <d v="2026-06-07T00:00:00"/>
    <n v="11.19"/>
    <x v="12"/>
    <n v="35.370866845397678"/>
    <n v="44.76"/>
  </r>
  <r>
    <n v="107160"/>
    <x v="164"/>
    <x v="1"/>
    <s v="P1-BMP Puerto Vespucio"/>
    <n v="162"/>
    <n v="5349.96"/>
    <n v="866693.52"/>
    <d v="2026-06-07T00:00:00"/>
    <n v="3.3529411764705883"/>
    <x v="19"/>
    <n v="48.315789473684212"/>
    <n v="16.764705882352942"/>
  </r>
  <r>
    <n v="107159"/>
    <x v="163"/>
    <x v="1"/>
    <s v="P1-BMP Puerto Vespucio"/>
    <n v="116"/>
    <n v="9800"/>
    <n v="1136800"/>
    <d v="2026-06-07T00:00:00"/>
    <n v="2.4313725490196076"/>
    <x v="19"/>
    <n v="47.70967741935484"/>
    <n v="12.156862745098039"/>
  </r>
  <r>
    <n v="107311"/>
    <x v="320"/>
    <x v="1"/>
    <s v="P1-BMP Puerto Vespucio"/>
    <n v="350"/>
    <n v="540"/>
    <n v="189000"/>
    <d v="2026-06-07T00:00:00"/>
    <n v="254.16666666666666"/>
    <x v="20"/>
    <n v="1.3770491803278688"/>
    <n v="1270.8333333333333"/>
  </r>
  <r>
    <n v="403368"/>
    <x v="171"/>
    <x v="1"/>
    <s v="P1-BMP Puerto Vespucio"/>
    <n v="2800"/>
    <n v="165"/>
    <n v="462000"/>
    <d v="2026-06-07T00:00:00"/>
    <n v="176.66666666666666"/>
    <x v="14"/>
    <n v="15.849056603773585"/>
    <n v="3003.3333333333335"/>
  </r>
  <r>
    <n v="393322"/>
    <x v="173"/>
    <x v="1"/>
    <s v="P1-BMP Puerto Vespucio"/>
    <n v="6000"/>
    <n v="150.5"/>
    <n v="903000"/>
    <d v="2026-06-07T00:00:00"/>
    <n v="375.92592592592592"/>
    <x v="14"/>
    <n v="15.960591133004927"/>
    <n v="6390.7407407407409"/>
  </r>
  <r>
    <n v="402257"/>
    <x v="321"/>
    <x v="1"/>
    <s v="P1-BMP Puerto Vespucio"/>
    <n v="6000"/>
    <n v="145"/>
    <n v="870000"/>
    <d v="2026-06-07T00:00:00"/>
    <n v="1020"/>
    <x v="14"/>
    <n v="5.882352941176471"/>
    <n v="17340"/>
  </r>
  <r>
    <n v="405789"/>
    <x v="174"/>
    <x v="1"/>
    <s v="P1-BMP Puerto Vespucio"/>
    <n v="5700"/>
    <n v="145"/>
    <n v="826500"/>
    <d v="2026-06-07T00:00:00"/>
    <n v="0"/>
    <x v="14"/>
    <n v="0"/>
    <n v="0"/>
  </r>
  <r>
    <n v="393320"/>
    <x v="175"/>
    <x v="1"/>
    <s v="P1-BMP Puerto Vespucio"/>
    <n v="10200"/>
    <n v="151"/>
    <n v="1540200"/>
    <d v="2026-06-07T00:00:00"/>
    <n v="1175"/>
    <x v="14"/>
    <n v="8.6808510638297864"/>
    <n v="19975"/>
  </r>
  <r>
    <n v="107226"/>
    <x v="322"/>
    <x v="1"/>
    <s v="P1-BMP Puerto Vespucio"/>
    <n v="620"/>
    <n v="2300"/>
    <n v="1426000"/>
    <d v="2026-06-07T00:00:00"/>
    <n v="103.33333333333333"/>
    <x v="29"/>
    <n v="6"/>
    <n v="413.33333333333331"/>
  </r>
  <r>
    <n v="393321"/>
    <x v="176"/>
    <x v="1"/>
    <s v="P1-BMP Puerto Vespucio"/>
    <n v="4700"/>
    <n v="151"/>
    <n v="709700"/>
    <d v="2026-06-07T00:00:00"/>
    <n v="740"/>
    <x v="14"/>
    <n v="6.3513513513513518"/>
    <n v="12580"/>
  </r>
  <r>
    <n v="362105"/>
    <x v="177"/>
    <x v="1"/>
    <s v="P1-BMP Puerto Vespucio"/>
    <n v="30456"/>
    <n v="178.44"/>
    <n v="5434568.6399999997"/>
    <d v="2026-06-07T00:00:00"/>
    <n v="8505.5119047619046"/>
    <x v="3"/>
    <n v="3.5807368611110721"/>
    <n v="42527.559523809527"/>
  </r>
  <r>
    <n v="107278"/>
    <x v="187"/>
    <x v="1"/>
    <s v="P1-BMP Puerto Vespucio"/>
    <n v="1500"/>
    <n v="720.8"/>
    <n v="1081200"/>
    <d v="2026-06-07T00:00:00"/>
    <n v="200"/>
    <x v="21"/>
    <n v="7.5"/>
    <n v="800"/>
  </r>
  <r>
    <n v="107259"/>
    <x v="185"/>
    <x v="1"/>
    <s v="P1-BMP Puerto Vespucio"/>
    <n v="280"/>
    <n v="2189.4299999999998"/>
    <n v="613040.4"/>
    <d v="2026-06-07T00:00:00"/>
    <n v="28.235294117647058"/>
    <x v="21"/>
    <n v="9.9166666666666661"/>
    <n v="112.94117647058823"/>
  </r>
  <r>
    <n v="501147"/>
    <x v="323"/>
    <x v="1"/>
    <s v="P1-BMP Puerto Vespucio"/>
    <n v="2440"/>
    <n v="689"/>
    <n v="1681160"/>
    <d v="2026-06-07T00:00:00"/>
    <n v="0"/>
    <x v="21"/>
    <n v="0"/>
    <n v="0"/>
  </r>
  <r>
    <n v="100303"/>
    <x v="324"/>
    <x v="1"/>
    <s v="P1-BMP Puerto Vespucio"/>
    <n v="6000"/>
    <n v="689"/>
    <n v="4134000"/>
    <d v="2026-06-07T00:00:00"/>
    <n v="676.61764705882354"/>
    <x v="21"/>
    <n v="8.8676374701151914"/>
    <n v="2706.4705882352941"/>
  </r>
  <r>
    <n v="405593"/>
    <x v="325"/>
    <x v="1"/>
    <s v="P1-BMP Puerto Vespucio"/>
    <n v="22.4"/>
    <n v="7398.88"/>
    <n v="165734.91200000001"/>
    <d v="2026-06-07T00:00:00"/>
    <n v="0.3859313725490196"/>
    <x v="22"/>
    <n v="58.041407341547057"/>
    <n v="1.9296568627450981"/>
  </r>
  <r>
    <n v="405745"/>
    <x v="326"/>
    <x v="1"/>
    <s v="P1-BMP Puerto Vespucio"/>
    <n v="125"/>
    <n v="6200"/>
    <n v="775000"/>
    <d v="2026-06-07T00:00:00"/>
    <n v="0"/>
    <x v="24"/>
    <n v="0"/>
    <n v="0"/>
  </r>
  <r>
    <n v="107109"/>
    <x v="193"/>
    <x v="1"/>
    <s v="P1-BMP Puerto Vespucio"/>
    <n v="1725"/>
    <n v="2322.9499999999998"/>
    <n v="4007088.75"/>
    <d v="2026-06-07T00:00:00"/>
    <n v="167.99019607843138"/>
    <x v="15"/>
    <n v="10.268456375838925"/>
    <n v="671.96078431372553"/>
  </r>
  <r>
    <n v="107147"/>
    <x v="327"/>
    <x v="1"/>
    <s v="P1-BMP Puerto Vespucio"/>
    <n v="1812"/>
    <n v="1530"/>
    <n v="2772360"/>
    <d v="2026-06-07T00:00:00"/>
    <n v="483.88235294117652"/>
    <x v="15"/>
    <n v="3.7447118891320201"/>
    <n v="2419.4117647058824"/>
  </r>
  <r>
    <n v="107331"/>
    <x v="194"/>
    <x v="1"/>
    <s v="P1-BMP Puerto Vespucio"/>
    <n v="380"/>
    <n v="5799.71"/>
    <n v="2203889.7999999998"/>
    <d v="2026-06-07T00:00:00"/>
    <n v="16.260416666666668"/>
    <x v="24"/>
    <n v="23.369634849455476"/>
    <n v="65.041666666666671"/>
  </r>
  <r>
    <n v="107144"/>
    <x v="195"/>
    <x v="1"/>
    <s v="P1-BMP Puerto Vespucio"/>
    <n v="106.4"/>
    <n v="3150.13"/>
    <n v="335173.83199999999"/>
    <d v="2026-06-07T00:00:00"/>
    <n v="49.623529411764707"/>
    <x v="8"/>
    <n v="2.144144144144144"/>
    <n v="198.49411764705883"/>
  </r>
  <r>
    <n v="103007"/>
    <x v="328"/>
    <x v="1"/>
    <s v="P1-BMP Puerto Vespucio"/>
    <n v="695"/>
    <n v="1750"/>
    <n v="1216250"/>
    <d v="2026-06-07T00:00:00"/>
    <n v="203.59803921568627"/>
    <x v="24"/>
    <n v="3.4135888669523764"/>
    <n v="814.39215686274508"/>
  </r>
  <r>
    <n v="107001"/>
    <x v="196"/>
    <x v="1"/>
    <s v="P1-BMP Puerto Vespucio"/>
    <n v="786"/>
    <n v="5888.37"/>
    <n v="4628258.82"/>
    <d v="2026-06-07T00:00:00"/>
    <n v="6"/>
    <x v="8"/>
    <n v="131"/>
    <n v="30"/>
  </r>
  <r>
    <n v="107112"/>
    <x v="208"/>
    <x v="1"/>
    <s v="P1-BMP Puerto Vespucio"/>
    <n v="305"/>
    <n v="2712.97"/>
    <n v="827455.85"/>
    <d v="2026-06-07T00:00:00"/>
    <n v="10.343137254901961"/>
    <x v="3"/>
    <n v="29.488151658767769"/>
    <n v="62.058823529411768"/>
  </r>
  <r>
    <n v="405318"/>
    <x v="329"/>
    <x v="1"/>
    <s v="P1-BMP Puerto Vespucio"/>
    <n v="490"/>
    <n v="2862"/>
    <n v="1402380"/>
    <d v="2026-06-07T00:00:00"/>
    <n v="40.5"/>
    <x v="6"/>
    <n v="12.098765432098766"/>
    <n v="162"/>
  </r>
  <r>
    <n v="170173"/>
    <x v="200"/>
    <x v="1"/>
    <s v="P1-BMP Puerto Vespucio"/>
    <n v="545"/>
    <n v="2035.48"/>
    <n v="1109336.6000000001"/>
    <d v="2026-06-07T00:00:00"/>
    <n v="11.519607843137257"/>
    <x v="6"/>
    <n v="47.31063829787233"/>
    <n v="46.078431372549026"/>
  </r>
  <r>
    <n v="107157"/>
    <x v="201"/>
    <x v="1"/>
    <s v="P1-BMP Puerto Vespucio"/>
    <n v="830"/>
    <n v="2098.8000000000002"/>
    <n v="1742004"/>
    <d v="2026-06-07T00:00:00"/>
    <n v="148.72549019607843"/>
    <x v="6"/>
    <n v="5.5807514831905074"/>
    <n v="594.9019607843137"/>
  </r>
  <r>
    <n v="403391"/>
    <x v="330"/>
    <x v="1"/>
    <s v="P1-BMP Puerto Vespucio"/>
    <n v="175"/>
    <n v="1611.62"/>
    <n v="282033.5"/>
    <d v="2026-06-07T00:00:00"/>
    <n v="123.75"/>
    <x v="6"/>
    <n v="1.4141414141414141"/>
    <n v="495"/>
  </r>
  <r>
    <n v="403408"/>
    <x v="331"/>
    <x v="1"/>
    <s v="P1-BMP Puerto Vespucio"/>
    <n v="345"/>
    <n v="1705.48"/>
    <n v="588390.6"/>
    <d v="2026-06-07T00:00:00"/>
    <n v="22.833333333333332"/>
    <x v="6"/>
    <n v="15.109489051094892"/>
    <n v="91.333333333333329"/>
  </r>
  <r>
    <n v="403407"/>
    <x v="332"/>
    <x v="1"/>
    <s v="P1-BMP Puerto Vespucio"/>
    <n v="475"/>
    <n v="2346.84"/>
    <n v="1114749"/>
    <d v="2026-06-07T00:00:00"/>
    <n v="233.28431372549019"/>
    <x v="6"/>
    <n v="2.0361420466484557"/>
    <n v="933.13725490196077"/>
  </r>
  <r>
    <n v="107131"/>
    <x v="333"/>
    <x v="1"/>
    <s v="P1-BMP Puerto Vespucio"/>
    <n v="455"/>
    <n v="2473.38"/>
    <n v="1125387.8999999999"/>
    <d v="2026-06-07T00:00:00"/>
    <n v="27.892156862745097"/>
    <x v="6"/>
    <n v="16.312829525483306"/>
    <n v="111.56862745098039"/>
  </r>
  <r>
    <n v="107172"/>
    <x v="203"/>
    <x v="1"/>
    <s v="P1-BMP Puerto Vespucio"/>
    <n v="345"/>
    <n v="2017.37"/>
    <n v="695992.65"/>
    <d v="2026-06-07T00:00:00"/>
    <n v="15.931372549019608"/>
    <x v="6"/>
    <n v="21.655384615384616"/>
    <n v="63.725490196078432"/>
  </r>
  <r>
    <n v="107129"/>
    <x v="204"/>
    <x v="1"/>
    <s v="P1-BMP Puerto Vespucio"/>
    <n v="245"/>
    <n v="4316.21"/>
    <n v="1057471.45"/>
    <d v="2026-06-07T00:00:00"/>
    <n v="50.588235294117645"/>
    <x v="6"/>
    <n v="4.8430232558139537"/>
    <n v="202.35294117647058"/>
  </r>
  <r>
    <n v="107113"/>
    <x v="205"/>
    <x v="1"/>
    <s v="P1-BMP Puerto Vespucio"/>
    <n v="715"/>
    <n v="3294.48"/>
    <n v="2355553.2000000002"/>
    <d v="2026-06-07T00:00:00"/>
    <n v="148.38235294117646"/>
    <x v="6"/>
    <n v="4.8186323092170467"/>
    <n v="593.52941176470586"/>
  </r>
  <r>
    <n v="107359"/>
    <x v="334"/>
    <x v="1"/>
    <s v="P1-BMP Puerto Vespucio"/>
    <n v="400"/>
    <n v="2114.0500000000002"/>
    <n v="845620"/>
    <d v="2026-06-07T00:00:00"/>
    <n v="14.950980392156863"/>
    <x v="6"/>
    <n v="26.754098360655739"/>
    <n v="59.803921568627452"/>
  </r>
  <r>
    <n v="107155"/>
    <x v="335"/>
    <x v="1"/>
    <s v="P1-BMP Puerto Vespucio"/>
    <n v="35"/>
    <n v="2988.89"/>
    <n v="104611.15"/>
    <d v="2026-06-07T00:00:00"/>
    <n v="19.222222222222221"/>
    <x v="6"/>
    <n v="1.8208092485549134"/>
    <n v="76.888888888888886"/>
  </r>
  <r>
    <n v="107158"/>
    <x v="206"/>
    <x v="1"/>
    <s v="P1-BMP Puerto Vespucio"/>
    <n v="360"/>
    <n v="3390.87"/>
    <n v="1220713.2"/>
    <d v="2026-06-07T00:00:00"/>
    <n v="29.691176470588236"/>
    <x v="6"/>
    <n v="12.12481426448737"/>
    <n v="118.76470588235294"/>
  </r>
  <r>
    <n v="107321"/>
    <x v="336"/>
    <x v="1"/>
    <s v="P1-BMP Puerto Vespucio"/>
    <n v="870"/>
    <n v="2629.99"/>
    <n v="2288091.2999999998"/>
    <d v="2026-06-07T00:00:00"/>
    <n v="115.04901960784314"/>
    <x v="3"/>
    <n v="7.5619940349382189"/>
    <n v="690.29411764705878"/>
  </r>
  <r>
    <n v="403331"/>
    <x v="337"/>
    <x v="1"/>
    <s v="P1-BMP Puerto Vespucio"/>
    <n v="5616"/>
    <n v="1600"/>
    <n v="8985600"/>
    <d v="2026-06-07T00:00:00"/>
    <n v="900.83333333333337"/>
    <x v="20"/>
    <n v="6.2342275670675296"/>
    <n v="5405"/>
  </r>
  <r>
    <n v="107193"/>
    <x v="207"/>
    <x v="1"/>
    <s v="P1-BMP Puerto Vespucio"/>
    <n v="330"/>
    <n v="3837.19"/>
    <n v="1266272.7"/>
    <d v="2026-06-07T00:00:00"/>
    <n v="29.411764705882351"/>
    <x v="6"/>
    <n v="11.22"/>
    <n v="117.64705882352941"/>
  </r>
  <r>
    <n v="100105"/>
    <x v="338"/>
    <x v="1"/>
    <s v="P1-BMP Puerto Vespucio"/>
    <n v="1880"/>
    <n v="2223"/>
    <n v="4179240"/>
    <d v="2026-06-07T00:00:00"/>
    <n v="45.686274509803923"/>
    <x v="20"/>
    <n v="41.150214592274679"/>
    <n v="274.11764705882354"/>
  </r>
  <r>
    <n v="100207"/>
    <x v="339"/>
    <x v="1"/>
    <s v="P1-BMP Puerto Vespucio"/>
    <n v="954"/>
    <n v="1426"/>
    <n v="1360404"/>
    <d v="2026-06-07T00:00:00"/>
    <n v="1664.5882352941178"/>
    <x v="20"/>
    <n v="0.57311470775319806"/>
    <n v="8322.9411764705892"/>
  </r>
  <r>
    <n v="100221"/>
    <x v="340"/>
    <x v="1"/>
    <s v="P1-BMP Puerto Vespucio"/>
    <n v="3276"/>
    <n v="1624"/>
    <n v="5320224"/>
    <d v="2026-06-07T00:00:00"/>
    <n v="1299.7058823529412"/>
    <x v="20"/>
    <n v="2.5205702647657842"/>
    <n v="6498.5294117647063"/>
  </r>
  <r>
    <n v="402128"/>
    <x v="341"/>
    <x v="1"/>
    <s v="P1-BMP Puerto Vespucio"/>
    <n v="280"/>
    <n v="2800.03"/>
    <n v="784008.4"/>
    <d v="2026-06-07T00:00:00"/>
    <n v="12.656862745098039"/>
    <x v="20"/>
    <n v="22.122385747482571"/>
    <n v="75.941176470588232"/>
  </r>
  <r>
    <n v="100200"/>
    <x v="342"/>
    <x v="1"/>
    <s v="P1-BMP Puerto Vespucio"/>
    <n v="1310"/>
    <n v="1180"/>
    <n v="1545800"/>
    <d v="2026-06-07T00:00:00"/>
    <n v="476.03921568627447"/>
    <x v="20"/>
    <n v="2.7518741247219709"/>
    <n v="2380.1960784313724"/>
  </r>
  <r>
    <n v="405422"/>
    <x v="343"/>
    <x v="1"/>
    <s v="P1-BMP Puerto Vespucio"/>
    <n v="11960"/>
    <n v="166"/>
    <n v="1985360"/>
    <d v="2026-06-07T00:00:00"/>
    <n v="2038.0392156862745"/>
    <x v="14"/>
    <n v="5.8683856070810085"/>
    <n v="8152.1568627450979"/>
  </r>
  <r>
    <n v="107280"/>
    <x v="209"/>
    <x v="1"/>
    <s v="P1-BMP Puerto Vespucio"/>
    <n v="751"/>
    <n v="2750"/>
    <n v="2065250"/>
    <d v="2026-06-07T00:00:00"/>
    <n v="69.803921568627445"/>
    <x v="6"/>
    <n v="10.758707865168541"/>
    <n v="418.82352941176464"/>
  </r>
  <r>
    <n v="402130"/>
    <x v="212"/>
    <x v="1"/>
    <s v="P1-BMP Puerto Vespucio"/>
    <n v="65"/>
    <n v="5000"/>
    <n v="325000"/>
    <d v="2026-06-07T00:00:00"/>
    <n v="6.9047619047619051"/>
    <x v="1"/>
    <n v="9.4137931034482758"/>
    <n v="34.523809523809526"/>
  </r>
  <r>
    <n v="405732"/>
    <x v="344"/>
    <x v="1"/>
    <s v="P1-BMP Puerto Vespucio"/>
    <n v="55"/>
    <n v="17000"/>
    <n v="935000"/>
    <d v="2026-06-07T00:00:00"/>
    <n v="6.9444444444444438"/>
    <x v="2"/>
    <n v="7.9200000000000008"/>
    <n v="55.55555555555555"/>
  </r>
  <r>
    <n v="405507"/>
    <x v="213"/>
    <x v="1"/>
    <s v="P1-BMP Puerto Vespucio"/>
    <n v="20"/>
    <n v="5312.5"/>
    <n v="106250"/>
    <d v="2026-06-07T00:00:00"/>
    <n v="11.348666666666668"/>
    <x v="12"/>
    <n v="1.7623215649415493"/>
    <n v="56.743333333333339"/>
  </r>
  <r>
    <n v="107351"/>
    <x v="345"/>
    <x v="1"/>
    <s v="P1-BMP Puerto Vespucio"/>
    <n v="140"/>
    <n v="3199.99"/>
    <n v="447998.6"/>
    <d v="2026-06-07T00:00:00"/>
    <n v="8.7254901960784306"/>
    <x v="1"/>
    <n v="16.04494382022472"/>
    <n v="43.627450980392155"/>
  </r>
  <r>
    <n v="403015"/>
    <x v="346"/>
    <x v="1"/>
    <s v="P1-BMP Puerto Vespucio"/>
    <n v="19000"/>
    <n v="14.9"/>
    <n v="283100"/>
    <d v="2026-06-07T00:00:00"/>
    <n v="354.16666666666669"/>
    <x v="14"/>
    <n v="53.647058823529406"/>
    <n v="2125"/>
  </r>
  <r>
    <n v="107346"/>
    <x v="216"/>
    <x v="1"/>
    <s v="P1-BMP Puerto Vespucio"/>
    <n v="1078.26"/>
    <n v="3045.24"/>
    <n v="3283560.4824000001"/>
    <d v="2026-06-07T00:00:00"/>
    <n v="103.08095238095238"/>
    <x v="8"/>
    <n v="10.460322446528387"/>
    <n v="412.32380952380953"/>
  </r>
  <r>
    <n v="107348"/>
    <x v="217"/>
    <x v="1"/>
    <s v="P1-BMP Puerto Vespucio"/>
    <n v="31.43"/>
    <n v="3118.14"/>
    <n v="98003.140199999994"/>
    <d v="2026-06-07T00:00:00"/>
    <n v="47.565416666666671"/>
    <x v="8"/>
    <n v="0.66077419693930284"/>
    <n v="190.26166666666668"/>
  </r>
  <r>
    <n v="405730"/>
    <x v="347"/>
    <x v="1"/>
    <s v="P1-BMP Puerto Vespucio"/>
    <n v="7220"/>
    <n v="155"/>
    <n v="1119100"/>
    <d v="2026-06-07T00:00:00"/>
    <n v="544.66666666666663"/>
    <x v="2"/>
    <n v="13.255813953488373"/>
    <n v="4357.333333333333"/>
  </r>
  <r>
    <n v="107316"/>
    <x v="221"/>
    <x v="1"/>
    <s v="P1-BMP Puerto Vespucio"/>
    <n v="250"/>
    <n v="615.04"/>
    <n v="153760"/>
    <d v="2026-06-07T00:00:00"/>
    <n v="112.17948717948718"/>
    <x v="14"/>
    <n v="2.2285714285714286"/>
    <n v="1907.051282051282"/>
  </r>
  <r>
    <n v="362029"/>
    <x v="348"/>
    <x v="1"/>
    <s v="P1-BMP Puerto Vespucio"/>
    <n v="60"/>
    <n v="1067.5999999999999"/>
    <n v="64056"/>
    <d v="2026-06-07T00:00:00"/>
    <n v="144.33333333333334"/>
    <x v="3"/>
    <n v="0.41570438799076209"/>
    <n v="577.33333333333337"/>
  </r>
  <r>
    <n v="393222"/>
    <x v="349"/>
    <x v="1"/>
    <s v="P1-BMP Puerto Vespucio"/>
    <n v="640"/>
    <n v="2444.4"/>
    <n v="1564416"/>
    <d v="2026-06-07T00:00:00"/>
    <n v="115.98039215686275"/>
    <x v="3"/>
    <n v="5.5181741335587491"/>
    <n v="579.9019607843137"/>
  </r>
  <r>
    <n v="403269"/>
    <x v="350"/>
    <x v="1"/>
    <s v="P1-BMP Puerto Vespucio"/>
    <n v="12.24"/>
    <n v="3689.38"/>
    <n v="45158.011200000001"/>
    <d v="2026-06-07T00:00:00"/>
    <n v="0.41666666666666669"/>
    <x v="30"/>
    <n v="29.375999999999998"/>
    <n v="2.0833333333333335"/>
  </r>
  <r>
    <n v="107095"/>
    <x v="224"/>
    <x v="1"/>
    <s v="P1-BMP Puerto Vespucio"/>
    <n v="1729"/>
    <n v="4446.7"/>
    <n v="7688344.2999999998"/>
    <d v="2026-06-07T00:00:00"/>
    <n v="86.725490196078439"/>
    <x v="6"/>
    <n v="19.936468460321048"/>
    <n v="346.90196078431376"/>
  </r>
  <r>
    <n v="405436"/>
    <x v="225"/>
    <x v="1"/>
    <s v="P1-BMP Puerto Vespucio"/>
    <n v="444.5"/>
    <n v="2428.5300000000002"/>
    <n v="1079481.585"/>
    <d v="2026-06-07T00:00:00"/>
    <n v="34.385416666666664"/>
    <x v="6"/>
    <n v="12.926991820660406"/>
    <n v="137.54166666666666"/>
  </r>
  <r>
    <n v="201103"/>
    <x v="351"/>
    <x v="1"/>
    <s v="P1-BMP Puerto Vespucio"/>
    <n v="20"/>
    <n v="5673"/>
    <n v="113460"/>
    <d v="2026-06-07T00:00:00"/>
    <n v="1.2395833333333333"/>
    <x v="21"/>
    <n v="16.134453781512605"/>
    <n v="7.4375"/>
  </r>
  <r>
    <n v="405133"/>
    <x v="226"/>
    <x v="1"/>
    <s v="P1-BMP Puerto Vespucio"/>
    <n v="545"/>
    <n v="5887"/>
    <n v="3208415"/>
    <d v="2026-06-07T00:00:00"/>
    <n v="34.274509803921568"/>
    <x v="2"/>
    <n v="15.901029748283753"/>
    <n v="274.19607843137254"/>
  </r>
  <r>
    <n v="405558"/>
    <x v="352"/>
    <x v="1"/>
    <s v="P1-BMP Puerto Vespucio"/>
    <n v="292"/>
    <n v="2750"/>
    <n v="803000"/>
    <d v="2026-06-07T00:00:00"/>
    <n v="37.80952380952381"/>
    <x v="6"/>
    <n v="7.7229219143576824"/>
    <n v="189.04761904761904"/>
  </r>
  <r>
    <n v="107263"/>
    <x v="353"/>
    <x v="1"/>
    <s v="P1-BMP Puerto Vespucio"/>
    <n v="729"/>
    <n v="1391"/>
    <n v="1014039"/>
    <d v="2026-06-07T00:00:00"/>
    <n v="249.47549019607843"/>
    <x v="6"/>
    <n v="2.9221307448961547"/>
    <n v="1496.8529411764705"/>
  </r>
  <r>
    <n v="107148"/>
    <x v="232"/>
    <x v="1"/>
    <s v="P1-BMP Puerto Vespucio"/>
    <n v="40"/>
    <n v="20900"/>
    <n v="836000"/>
    <d v="2026-06-07T00:00:00"/>
    <n v="3.3333333333333335"/>
    <x v="1"/>
    <n v="12"/>
    <n v="26.666666666666668"/>
  </r>
  <r>
    <n v="107262"/>
    <x v="229"/>
    <x v="1"/>
    <s v="P1-BMP Puerto Vespucio"/>
    <n v="1440"/>
    <n v="1987.9"/>
    <n v="2862576"/>
    <d v="2026-06-07T00:00:00"/>
    <n v="278.94117647058823"/>
    <x v="21"/>
    <n v="5.1623787431463519"/>
    <n v="1394.705882352941"/>
  </r>
  <r>
    <n v="405612"/>
    <x v="354"/>
    <x v="1"/>
    <s v="P1-BMP Puerto Vespucio"/>
    <n v="60"/>
    <n v="1645"/>
    <n v="98700"/>
    <d v="2026-06-07T00:00:00"/>
    <n v="34.313725490196077"/>
    <x v="6"/>
    <n v="1.7485714285714287"/>
    <n v="205.88235294117646"/>
  </r>
  <r>
    <n v="405651"/>
    <x v="235"/>
    <x v="1"/>
    <s v="P1-BMP Puerto Vespucio"/>
    <n v="10"/>
    <n v="6990"/>
    <n v="69900"/>
    <d v="2026-06-07T00:00:00"/>
    <n v="0"/>
    <x v="1"/>
    <n v="0"/>
    <n v="0"/>
  </r>
  <r>
    <n v="401015"/>
    <x v="236"/>
    <x v="1"/>
    <s v="P1-BMP Puerto Vespucio"/>
    <n v="87"/>
    <n v="3931.24"/>
    <n v="342017.88"/>
    <d v="2026-06-07T00:00:00"/>
    <n v="0.30952380952380953"/>
    <x v="17"/>
    <n v="281.07692307692309"/>
    <n v="1.5476190476190477"/>
  </r>
  <r>
    <n v="401014"/>
    <x v="237"/>
    <x v="1"/>
    <s v="P1-BMP Puerto Vespucio"/>
    <n v="133"/>
    <n v="3788.32"/>
    <n v="503846.56"/>
    <d v="2026-06-07T00:00:00"/>
    <n v="0.25"/>
    <x v="17"/>
    <n v="532"/>
    <n v="1.25"/>
  </r>
  <r>
    <n v="401013"/>
    <x v="355"/>
    <x v="1"/>
    <s v="P1-BMP Puerto Vespucio"/>
    <n v="123"/>
    <n v="3959.01"/>
    <n v="486958.23"/>
    <d v="2026-06-07T00:00:00"/>
    <n v="2.1666666666666665"/>
    <x v="17"/>
    <n v="56.769230769230774"/>
    <n v="10.833333333333332"/>
  </r>
  <r>
    <n v="401010"/>
    <x v="238"/>
    <x v="1"/>
    <s v="P1-BMP Puerto Vespucio"/>
    <n v="188"/>
    <n v="3955.2"/>
    <n v="743577.59999999998"/>
    <d v="2026-06-07T00:00:00"/>
    <n v="0.83333333333333337"/>
    <x v="17"/>
    <n v="225.6"/>
    <n v="4.166666666666667"/>
  </r>
  <r>
    <n v="405335"/>
    <x v="356"/>
    <x v="1"/>
    <s v="P1-BMP Puerto Vespucio"/>
    <n v="720"/>
    <n v="2320"/>
    <n v="1670400"/>
    <d v="2026-06-07T00:00:00"/>
    <n v="0"/>
    <x v="17"/>
    <n v="0"/>
    <n v="0"/>
  </r>
  <r>
    <n v="401019"/>
    <x v="240"/>
    <x v="1"/>
    <s v="P1-BMP Puerto Vespucio"/>
    <n v="116"/>
    <n v="3840"/>
    <n v="445440"/>
    <d v="2026-06-07T00:00:00"/>
    <n v="0.55555555555555558"/>
    <x v="17"/>
    <n v="208.79999999999998"/>
    <n v="2.7777777777777777"/>
  </r>
  <r>
    <n v="401012"/>
    <x v="241"/>
    <x v="1"/>
    <s v="P1-BMP Puerto Vespucio"/>
    <n v="81"/>
    <n v="3934.12"/>
    <n v="318663.71999999997"/>
    <d v="2026-06-07T00:00:00"/>
    <n v="0.59375"/>
    <x v="17"/>
    <n v="136.42105263157896"/>
    <n v="2.96875"/>
  </r>
  <r>
    <n v="393253"/>
    <x v="357"/>
    <x v="1"/>
    <s v="P1-BMP Puerto Vespucio"/>
    <n v="8370"/>
    <n v="141.87"/>
    <n v="1187451.8999999999"/>
    <d v="2026-06-07T00:00:00"/>
    <n v="801.19047619047615"/>
    <x v="3"/>
    <n v="10.446953937592868"/>
    <n v="3204.7619047619046"/>
  </r>
  <r>
    <n v="393040"/>
    <x v="242"/>
    <x v="1"/>
    <s v="P1-BMP Puerto Vespucio"/>
    <n v="900"/>
    <n v="181.33"/>
    <n v="163197"/>
    <d v="2026-06-07T00:00:00"/>
    <n v="1191.1805555555554"/>
    <x v="3"/>
    <n v="0.75555296449600662"/>
    <n v="4764.7222222222217"/>
  </r>
  <r>
    <n v="405658"/>
    <x v="358"/>
    <x v="1"/>
    <s v="P1-BMP Puerto Vespucio"/>
    <n v="12920"/>
    <n v="148.15"/>
    <n v="1914098"/>
    <d v="2026-06-07T00:00:00"/>
    <n v="1308.9166666666667"/>
    <x v="3"/>
    <n v="9.8707582606481186"/>
    <n v="5235.666666666667"/>
  </r>
  <r>
    <n v="107301"/>
    <x v="359"/>
    <x v="1"/>
    <s v="P1-BMP Puerto Vespucio"/>
    <n v="90"/>
    <n v="3312"/>
    <n v="298080"/>
    <d v="2026-06-07T00:00:00"/>
    <n v="68.722222222222214"/>
    <x v="20"/>
    <n v="1.3096200485044465"/>
    <n v="412.33333333333326"/>
  </r>
  <r>
    <n v="405134"/>
    <x v="250"/>
    <x v="1"/>
    <s v="P1-BMP Puerto Vespucio"/>
    <n v="13200"/>
    <n v="36"/>
    <n v="475200"/>
    <d v="2026-06-07T00:00:00"/>
    <n v="2029.4117647058822"/>
    <x v="2"/>
    <n v="6.5043478260869572"/>
    <n v="16235.294117647058"/>
  </r>
  <r>
    <n v="107102"/>
    <x v="246"/>
    <x v="1"/>
    <s v="P1-BMP Puerto Vespucio"/>
    <n v="650"/>
    <n v="3127.01"/>
    <n v="2032556.5"/>
    <d v="2026-06-07T00:00:00"/>
    <n v="23.43137254901961"/>
    <x v="8"/>
    <n v="27.740585774058577"/>
    <n v="140.58823529411765"/>
  </r>
  <r>
    <n v="405533"/>
    <x v="247"/>
    <x v="1"/>
    <s v="P1-BMP Puerto Vespucio"/>
    <n v="809"/>
    <n v="2265.9899999999998"/>
    <n v="1833185.91"/>
    <d v="2026-06-07T00:00:00"/>
    <n v="48.098039215686271"/>
    <x v="13"/>
    <n v="16.819812474520997"/>
    <n v="240.49019607843135"/>
  </r>
  <r>
    <n v="405311"/>
    <x v="360"/>
    <x v="1"/>
    <s v="P1-BMP Puerto Vespucio"/>
    <n v="4715"/>
    <n v="104"/>
    <n v="490360"/>
    <d v="2026-06-07T00:00:00"/>
    <n v="468.11111111111109"/>
    <x v="2"/>
    <n v="10.072394967956326"/>
    <n v="3744.8888888888887"/>
  </r>
  <r>
    <n v="107164"/>
    <x v="252"/>
    <x v="1"/>
    <s v="P1-BMP Puerto Vespucio"/>
    <n v="209"/>
    <n v="1129"/>
    <n v="235961"/>
    <d v="2026-06-07T00:00:00"/>
    <n v="49.078431372549026"/>
    <x v="25"/>
    <n v="4.2584898122253287"/>
    <n v="196.31372549019611"/>
  </r>
  <r>
    <n v="405445"/>
    <x v="7"/>
    <x v="2"/>
    <s v="C4-BMP Curico"/>
    <n v="6504"/>
    <n v="93.34"/>
    <n v="607083.36"/>
    <d v="2026-06-07T00:00:00"/>
    <m/>
    <x v="4"/>
    <n v="7"/>
    <m/>
  </r>
  <r>
    <n v="400202"/>
    <x v="256"/>
    <x v="2"/>
    <s v="C4-BMP Curico"/>
    <n v="120.93"/>
    <n v="2688.86"/>
    <n v="325163.83980000002"/>
    <d v="2026-06-07T00:00:00"/>
    <m/>
    <x v="5"/>
    <n v="7"/>
    <m/>
  </r>
  <r>
    <n v="400203"/>
    <x v="13"/>
    <x v="2"/>
    <s v="C4-BMP Curico"/>
    <n v="348.00483000000003"/>
    <n v="2700.22"/>
    <n v="939689.60210000002"/>
    <d v="2026-06-07T00:00:00"/>
    <m/>
    <x v="5"/>
    <n v="7"/>
    <m/>
  </r>
  <r>
    <n v="400104"/>
    <x v="12"/>
    <x v="2"/>
    <s v="C4-BMP Curico"/>
    <n v="42712"/>
    <n v="25.26"/>
    <n v="1078905.1200000001"/>
    <d v="2026-06-07T00:00:00"/>
    <m/>
    <x v="5"/>
    <n v="7"/>
    <m/>
  </r>
  <r>
    <n v="107366"/>
    <x v="20"/>
    <x v="2"/>
    <s v="C4-BMP Curico"/>
    <n v="183"/>
    <n v="721.98"/>
    <n v="132122.34"/>
    <d v="2026-06-07T00:00:00"/>
    <m/>
    <x v="7"/>
    <n v="7"/>
    <m/>
  </r>
  <r>
    <n v="107365"/>
    <x v="22"/>
    <x v="2"/>
    <s v="C4-BMP Curico"/>
    <n v="10"/>
    <n v="493"/>
    <n v="4930"/>
    <d v="2026-06-07T00:00:00"/>
    <m/>
    <x v="7"/>
    <n v="7"/>
    <m/>
  </r>
  <r>
    <n v="402251"/>
    <x v="258"/>
    <x v="2"/>
    <s v="C4-BMP Curico"/>
    <n v="274"/>
    <n v="562.71"/>
    <n v="154182.54"/>
    <d v="2026-06-07T00:00:00"/>
    <m/>
    <x v="7"/>
    <n v="7"/>
    <m/>
  </r>
  <r>
    <n v="402253"/>
    <x v="261"/>
    <x v="2"/>
    <s v="C4-BMP Curico"/>
    <n v="577"/>
    <n v="518.45000000000005"/>
    <n v="299145.65000000002"/>
    <d v="2026-06-07T00:00:00"/>
    <m/>
    <x v="7"/>
    <n v="7"/>
    <m/>
  </r>
  <r>
    <n v="404309"/>
    <x v="30"/>
    <x v="2"/>
    <s v="C4-BMP Curico"/>
    <n v="91.22"/>
    <n v="8881.9699999999993"/>
    <n v="810213.30339999998"/>
    <d v="2026-06-07T00:00:00"/>
    <m/>
    <x v="2"/>
    <n v="7"/>
    <m/>
  </r>
  <r>
    <n v="402255"/>
    <x v="31"/>
    <x v="2"/>
    <s v="C4-BMP Curico"/>
    <n v="54.123333000000002"/>
    <n v="1289.96"/>
    <n v="69816.934599999993"/>
    <d v="2026-06-07T00:00:00"/>
    <m/>
    <x v="9"/>
    <n v="7"/>
    <m/>
  </r>
  <r>
    <n v="107300"/>
    <x v="39"/>
    <x v="2"/>
    <s v="C4-BMP Curico"/>
    <n v="1914"/>
    <n v="206.69"/>
    <n v="395604.66"/>
    <d v="2026-06-07T00:00:00"/>
    <m/>
    <x v="4"/>
    <n v="7"/>
    <m/>
  </r>
  <r>
    <n v="107098"/>
    <x v="48"/>
    <x v="2"/>
    <s v="C4-BMP Curico"/>
    <n v="141.25"/>
    <n v="3187.53"/>
    <n v="450238.61249999999"/>
    <d v="2026-06-07T00:00:00"/>
    <m/>
    <x v="13"/>
    <n v="7"/>
    <m/>
  </r>
  <r>
    <n v="405444"/>
    <x v="58"/>
    <x v="2"/>
    <s v="C4-BMP Curico"/>
    <n v="6598"/>
    <n v="251.8"/>
    <n v="1661376.4"/>
    <d v="2026-06-07T00:00:00"/>
    <m/>
    <x v="4"/>
    <n v="7"/>
    <m/>
  </r>
  <r>
    <n v="107344"/>
    <x v="63"/>
    <x v="2"/>
    <s v="C4-BMP Curico"/>
    <n v="1120"/>
    <n v="239.15"/>
    <n v="267848"/>
    <d v="2026-06-07T00:00:00"/>
    <m/>
    <x v="4"/>
    <n v="7"/>
    <m/>
  </r>
  <r>
    <n v="107127"/>
    <x v="62"/>
    <x v="2"/>
    <s v="C4-BMP Curico"/>
    <n v="57.9"/>
    <n v="6263.85"/>
    <n v="362676.91499999998"/>
    <d v="2026-06-07T00:00:00"/>
    <m/>
    <x v="2"/>
    <n v="7"/>
    <m/>
  </r>
  <r>
    <n v="405740"/>
    <x v="67"/>
    <x v="2"/>
    <s v="C4-BMP Curico"/>
    <n v="2162"/>
    <n v="24.9"/>
    <n v="53833.8"/>
    <d v="2026-06-07T00:00:00"/>
    <m/>
    <x v="14"/>
    <n v="7"/>
    <m/>
  </r>
  <r>
    <n v="107108"/>
    <x v="64"/>
    <x v="2"/>
    <s v="C4-BMP Curico"/>
    <n v="393.95"/>
    <n v="4199.47"/>
    <n v="1654381.2065000001"/>
    <d v="2026-06-07T00:00:00"/>
    <m/>
    <x v="2"/>
    <n v="7"/>
    <m/>
  </r>
  <r>
    <n v="405587"/>
    <x v="68"/>
    <x v="2"/>
    <s v="C4-BMP Curico"/>
    <n v="324920"/>
    <n v="10"/>
    <n v="3249200"/>
    <d v="2026-06-07T00:00:00"/>
    <m/>
    <x v="14"/>
    <n v="7"/>
    <m/>
  </r>
  <r>
    <n v="107187"/>
    <x v="361"/>
    <x v="2"/>
    <s v="C4-BMP Curico"/>
    <n v="32632"/>
    <n v="14.6"/>
    <n v="476427.2"/>
    <d v="2026-06-07T00:00:00"/>
    <m/>
    <x v="14"/>
    <n v="7"/>
    <m/>
  </r>
  <r>
    <n v="107420"/>
    <x v="362"/>
    <x v="2"/>
    <s v="C4-BMP Curico"/>
    <n v="39500"/>
    <n v="19.2"/>
    <n v="758400"/>
    <d v="2026-06-07T00:00:00"/>
    <m/>
    <x v="14"/>
    <n v="7"/>
    <m/>
  </r>
  <r>
    <n v="403103"/>
    <x v="363"/>
    <x v="2"/>
    <s v="C4-BMP Curico"/>
    <n v="19848"/>
    <n v="26.9"/>
    <n v="533911.19999999995"/>
    <d v="2026-06-07T00:00:00"/>
    <m/>
    <x v="14"/>
    <n v="7"/>
    <m/>
  </r>
  <r>
    <n v="107294"/>
    <x v="74"/>
    <x v="2"/>
    <s v="C4-BMP Curico"/>
    <n v="21147.5"/>
    <n v="1660"/>
    <n v="35104850"/>
    <d v="2026-06-07T00:00:00"/>
    <m/>
    <x v="6"/>
    <n v="7"/>
    <m/>
  </r>
  <r>
    <n v="405712"/>
    <x v="80"/>
    <x v="2"/>
    <s v="C4-BMP Curico"/>
    <n v="22749"/>
    <n v="22.7"/>
    <n v="516402.3"/>
    <d v="2026-06-07T00:00:00"/>
    <m/>
    <x v="16"/>
    <n v="7"/>
    <m/>
  </r>
  <r>
    <n v="405129"/>
    <x v="94"/>
    <x v="2"/>
    <s v="C4-BMP Curico"/>
    <n v="6950"/>
    <n v="20.7"/>
    <n v="143865"/>
    <d v="2026-06-07T00:00:00"/>
    <m/>
    <x v="16"/>
    <n v="7"/>
    <m/>
  </r>
  <r>
    <n v="405160"/>
    <x v="102"/>
    <x v="2"/>
    <s v="C4-BMP Curico"/>
    <n v="1840"/>
    <n v="16.16"/>
    <n v="29734.400000000001"/>
    <d v="2026-06-07T00:00:00"/>
    <m/>
    <x v="16"/>
    <n v="7"/>
    <m/>
  </r>
  <r>
    <n v="405049"/>
    <x v="104"/>
    <x v="2"/>
    <s v="C4-BMP Curico"/>
    <n v="16760"/>
    <n v="1.55"/>
    <n v="25978"/>
    <d v="2026-06-07T00:00:00"/>
    <m/>
    <x v="16"/>
    <n v="7"/>
    <m/>
  </r>
  <r>
    <n v="404719"/>
    <x v="105"/>
    <x v="2"/>
    <s v="C4-BMP Curico"/>
    <n v="46062"/>
    <n v="15.86"/>
    <n v="730543.32"/>
    <d v="2026-06-07T00:00:00"/>
    <m/>
    <x v="16"/>
    <n v="7"/>
    <m/>
  </r>
  <r>
    <n v="404720"/>
    <x v="307"/>
    <x v="2"/>
    <s v="C4-BMP Curico"/>
    <n v="22350"/>
    <n v="8.1999999999999993"/>
    <n v="183270"/>
    <d v="2026-06-07T00:00:00"/>
    <m/>
    <x v="16"/>
    <n v="7"/>
    <m/>
  </r>
  <r>
    <n v="405103"/>
    <x v="112"/>
    <x v="2"/>
    <s v="C4-BMP Curico"/>
    <n v="10314"/>
    <n v="15.74"/>
    <n v="162342.35999999999"/>
    <d v="2026-06-07T00:00:00"/>
    <m/>
    <x v="16"/>
    <n v="7"/>
    <m/>
  </r>
  <r>
    <n v="404722"/>
    <x v="113"/>
    <x v="2"/>
    <s v="C4-BMP Curico"/>
    <n v="76167"/>
    <n v="2.98"/>
    <n v="226977.66"/>
    <d v="2026-06-07T00:00:00"/>
    <m/>
    <x v="16"/>
    <n v="7"/>
    <m/>
  </r>
  <r>
    <n v="405721"/>
    <x v="130"/>
    <x v="2"/>
    <s v="C4-BMP Curico"/>
    <n v="13060"/>
    <n v="20.7"/>
    <n v="270342"/>
    <d v="2026-06-07T00:00:00"/>
    <m/>
    <x v="16"/>
    <n v="7"/>
    <m/>
  </r>
  <r>
    <n v="405128"/>
    <x v="133"/>
    <x v="2"/>
    <s v="C4-BMP Curico"/>
    <n v="17261"/>
    <n v="20.07"/>
    <n v="346428.27"/>
    <d v="2026-06-07T00:00:00"/>
    <m/>
    <x v="16"/>
    <n v="7"/>
    <m/>
  </r>
  <r>
    <n v="405492"/>
    <x v="364"/>
    <x v="2"/>
    <s v="C4-BMP Curico"/>
    <n v="42500"/>
    <n v="27.3"/>
    <n v="1160250"/>
    <d v="2026-06-07T00:00:00"/>
    <m/>
    <x v="16"/>
    <n v="7"/>
    <m/>
  </r>
  <r>
    <n v="405034"/>
    <x v="145"/>
    <x v="2"/>
    <s v="C4-BMP Curico"/>
    <n v="3343"/>
    <n v="17.170000000000002"/>
    <n v="57399.31"/>
    <d v="2026-06-07T00:00:00"/>
    <m/>
    <x v="16"/>
    <n v="7"/>
    <m/>
  </r>
  <r>
    <n v="405705"/>
    <x v="365"/>
    <x v="2"/>
    <s v="C4-BMP Curico"/>
    <n v="75"/>
    <n v="606"/>
    <n v="45450"/>
    <d v="2026-06-07T00:00:00"/>
    <m/>
    <x v="31"/>
    <n v="7"/>
    <m/>
  </r>
  <r>
    <n v="100206"/>
    <x v="366"/>
    <x v="2"/>
    <s v="C4-BMP Curico"/>
    <n v="14547.49"/>
    <n v="676"/>
    <n v="9834103.2400000002"/>
    <d v="2026-06-07T00:00:00"/>
    <m/>
    <x v="20"/>
    <n v="7"/>
    <m/>
  </r>
  <r>
    <n v="100104"/>
    <x v="367"/>
    <x v="2"/>
    <s v="C4-BMP Curico"/>
    <n v="300"/>
    <n v="665.5"/>
    <n v="199650"/>
    <d v="2026-06-07T00:00:00"/>
    <m/>
    <x v="20"/>
    <n v="7"/>
    <m/>
  </r>
  <r>
    <n v="362099"/>
    <x v="368"/>
    <x v="2"/>
    <s v="C4-BMP Curico"/>
    <n v="0.04"/>
    <n v="1350"/>
    <n v="54"/>
    <d v="2026-06-07T00:00:00"/>
    <m/>
    <x v="3"/>
    <n v="7"/>
    <m/>
  </r>
  <r>
    <n v="402257"/>
    <x v="321"/>
    <x v="2"/>
    <s v="C4-BMP Curico"/>
    <n v="2456"/>
    <n v="145"/>
    <n v="356120"/>
    <d v="2026-06-07T00:00:00"/>
    <m/>
    <x v="14"/>
    <n v="7"/>
    <m/>
  </r>
  <r>
    <n v="393320"/>
    <x v="175"/>
    <x v="2"/>
    <s v="C4-BMP Curico"/>
    <n v="3000"/>
    <n v="151"/>
    <n v="453000"/>
    <d v="2026-06-07T00:00:00"/>
    <m/>
    <x v="14"/>
    <n v="7"/>
    <m/>
  </r>
  <r>
    <n v="405246"/>
    <x v="369"/>
    <x v="2"/>
    <s v="C4-BMP Curico"/>
    <n v="896.27139"/>
    <n v="7800"/>
    <n v="6990916.8420000002"/>
    <d v="2026-06-07T00:00:00"/>
    <m/>
    <x v="29"/>
    <n v="7"/>
    <m/>
  </r>
  <r>
    <n v="403373"/>
    <x v="172"/>
    <x v="2"/>
    <s v="C4-BMP Curico"/>
    <n v="1705"/>
    <n v="205"/>
    <n v="349525"/>
    <d v="2026-06-07T00:00:00"/>
    <m/>
    <x v="14"/>
    <n v="7"/>
    <m/>
  </r>
  <r>
    <n v="403104"/>
    <x v="370"/>
    <x v="2"/>
    <s v="C4-BMP Curico"/>
    <n v="210.55"/>
    <n v="990"/>
    <n v="208444.5"/>
    <d v="2026-06-07T00:00:00"/>
    <m/>
    <x v="14"/>
    <n v="7"/>
    <m/>
  </r>
  <r>
    <n v="107109"/>
    <x v="193"/>
    <x v="2"/>
    <s v="C4-BMP Curico"/>
    <n v="7792.64"/>
    <n v="2323"/>
    <n v="18102302.719999999"/>
    <d v="2026-06-07T00:00:00"/>
    <m/>
    <x v="15"/>
    <n v="7"/>
    <m/>
  </r>
  <r>
    <n v="201006"/>
    <x v="371"/>
    <x v="2"/>
    <s v="C4-BMP Curico"/>
    <n v="5036"/>
    <n v="2339.6999999999998"/>
    <n v="11782729.199999999"/>
    <d v="2026-06-07T00:00:00"/>
    <m/>
    <x v="24"/>
    <n v="7"/>
    <m/>
  </r>
  <r>
    <n v="103006"/>
    <x v="372"/>
    <x v="2"/>
    <s v="C4-BMP Curico"/>
    <n v="3145.8066399999998"/>
    <n v="1797"/>
    <n v="5653014.5321000004"/>
    <d v="2026-06-07T00:00:00"/>
    <m/>
    <x v="24"/>
    <n v="7"/>
    <m/>
  </r>
  <r>
    <n v="107001"/>
    <x v="196"/>
    <x v="2"/>
    <s v="C4-BMP Curico"/>
    <n v="10.8"/>
    <n v="5603.52"/>
    <n v="60518.016000000003"/>
    <d v="2026-06-07T00:00:00"/>
    <m/>
    <x v="8"/>
    <n v="7"/>
    <m/>
  </r>
  <r>
    <n v="107324"/>
    <x v="373"/>
    <x v="2"/>
    <s v="C4-BMP Curico"/>
    <n v="9.93"/>
    <n v="5177.6400000000003"/>
    <n v="51413.965199999999"/>
    <d v="2026-06-07T00:00:00"/>
    <m/>
    <x v="8"/>
    <n v="7"/>
    <m/>
  </r>
  <r>
    <n v="107285"/>
    <x v="374"/>
    <x v="2"/>
    <s v="C4-BMP Curico"/>
    <n v="849.71"/>
    <n v="2760"/>
    <n v="2345199.6"/>
    <d v="2026-06-07T00:00:00"/>
    <m/>
    <x v="20"/>
    <n v="7"/>
    <m/>
  </r>
  <r>
    <n v="405248"/>
    <x v="375"/>
    <x v="2"/>
    <s v="C4-BMP Curico"/>
    <n v="5587.8279400000001"/>
    <n v="1280"/>
    <n v="7152419.7631999999"/>
    <d v="2026-06-07T00:00:00"/>
    <m/>
    <x v="20"/>
    <n v="7"/>
    <m/>
  </r>
  <r>
    <n v="403014"/>
    <x v="376"/>
    <x v="2"/>
    <s v="C4-BMP Curico"/>
    <n v="500"/>
    <n v="56"/>
    <n v="28000"/>
    <d v="2026-06-07T00:00:00"/>
    <m/>
    <x v="14"/>
    <n v="7"/>
    <m/>
  </r>
  <r>
    <n v="107316"/>
    <x v="221"/>
    <x v="2"/>
    <s v="C4-BMP Curico"/>
    <n v="253"/>
    <n v="611.75"/>
    <n v="154772.75"/>
    <d v="2026-06-07T00:00:00"/>
    <m/>
    <x v="14"/>
    <n v="7"/>
    <m/>
  </r>
  <r>
    <n v="403269"/>
    <x v="350"/>
    <x v="2"/>
    <s v="C4-BMP Curico"/>
    <n v="65.12"/>
    <n v="3689.97"/>
    <n v="240290.84640000001"/>
    <d v="2026-06-07T00:00:00"/>
    <m/>
    <x v="30"/>
    <n v="7"/>
    <m/>
  </r>
  <r>
    <n v="104010"/>
    <x v="377"/>
    <x v="2"/>
    <s v="C4-BMP Curico"/>
    <n v="269.5"/>
    <n v="465"/>
    <n v="125317.5"/>
    <d v="2026-06-07T00:00:00"/>
    <m/>
    <x v="3"/>
    <n v="7"/>
    <m/>
  </r>
  <r>
    <n v="401013"/>
    <x v="355"/>
    <x v="2"/>
    <s v="C4-BMP Curico"/>
    <n v="19"/>
    <n v="3935.84"/>
    <n v="74780.960000000006"/>
    <d v="2026-06-07T00:00:00"/>
    <m/>
    <x v="17"/>
    <n v="7"/>
    <m/>
  </r>
  <r>
    <n v="401010"/>
    <x v="238"/>
    <x v="2"/>
    <s v="C4-BMP Curico"/>
    <n v="17"/>
    <n v="3904.12"/>
    <n v="66370.039999999994"/>
    <d v="2026-06-07T00:00:00"/>
    <m/>
    <x v="17"/>
    <n v="7"/>
    <m/>
  </r>
  <r>
    <n v="401011"/>
    <x v="239"/>
    <x v="2"/>
    <s v="C4-BMP Curico"/>
    <n v="18"/>
    <n v="3865.44"/>
    <n v="69577.919999999998"/>
    <d v="2026-06-07T00:00:00"/>
    <m/>
    <x v="17"/>
    <n v="7"/>
    <m/>
  </r>
  <r>
    <n v="401012"/>
    <x v="241"/>
    <x v="2"/>
    <s v="C4-BMP Curico"/>
    <n v="18"/>
    <n v="3894.94"/>
    <n v="70108.92"/>
    <d v="2026-06-07T00:00:00"/>
    <m/>
    <x v="17"/>
    <n v="7"/>
    <m/>
  </r>
  <r>
    <n v="401015"/>
    <x v="236"/>
    <x v="2"/>
    <s v="C4-BMP Curico"/>
    <n v="18"/>
    <n v="3904.22"/>
    <n v="70275.960000000006"/>
    <d v="2026-06-07T00:00:00"/>
    <m/>
    <x v="17"/>
    <n v="7"/>
    <m/>
  </r>
  <r>
    <n v="401014"/>
    <x v="237"/>
    <x v="2"/>
    <s v="C4-BMP Curico"/>
    <n v="17"/>
    <n v="3926.88"/>
    <n v="66756.960000000006"/>
    <d v="2026-06-07T00:00:00"/>
    <m/>
    <x v="17"/>
    <n v="7"/>
    <m/>
  </r>
  <r>
    <n v="106101"/>
    <x v="378"/>
    <x v="2"/>
    <s v="C4-BMP Curico"/>
    <n v="90.5"/>
    <n v="620"/>
    <n v="56110"/>
    <d v="2026-06-07T00:00:00"/>
    <m/>
    <x v="3"/>
    <n v="7"/>
    <m/>
  </r>
  <r>
    <n v="107401"/>
    <x v="76"/>
    <x v="3"/>
    <s v="E14-Bodega Apolo Enea"/>
    <n v="9361.6200000000008"/>
    <n v="2426.1"/>
    <n v="22712226.282000002"/>
    <d v="2026-06-07T00:00:00"/>
    <m/>
    <x v="8"/>
    <n v="7"/>
    <m/>
  </r>
  <r>
    <n v="405700"/>
    <x v="379"/>
    <x v="3"/>
    <s v="E14-Bodega Apolo Enea"/>
    <n v="21000"/>
    <n v="1472.97"/>
    <n v="30932370"/>
    <d v="2026-06-07T00:00:00"/>
    <m/>
    <x v="24"/>
    <n v="7"/>
    <m/>
  </r>
  <r>
    <n v="107346"/>
    <x v="216"/>
    <x v="3"/>
    <s v="E14-Bodega Apolo Enea"/>
    <n v="18248.8"/>
    <n v="3045.24"/>
    <n v="55571975.711999997"/>
    <d v="2026-06-07T00:00:00"/>
    <m/>
    <x v="8"/>
    <n v="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3">
  <r>
    <n v="405418"/>
    <s v="AZUCAR FLOR 5KG MEL ALIMENTOS"/>
    <x v="0"/>
    <s v="E1-BMP Enea"/>
    <n v="245"/>
    <n v="1371.65"/>
    <n v="336054.25"/>
    <d v="2026-07-02T00:00:00"/>
    <n v="65"/>
    <x v="0"/>
    <n v="3.7692307692307692"/>
    <n v="21.666666666666668"/>
  </r>
  <r>
    <n v="104006"/>
    <s v="AZUCAR GRANULADA EGC"/>
    <x v="0"/>
    <s v="E1-BMP Enea"/>
    <n v="2386"/>
    <n v="900"/>
    <n v="2147400"/>
    <d v="2026-07-02T00:00:00"/>
    <n v="1247.7367999999999"/>
    <x v="0"/>
    <n v="1.9122622655675461"/>
    <n v="623.86839999999995"/>
  </r>
  <r>
    <n v="405682"/>
    <s v="ALMENDRAS FILETEADAS TOSTADAS ALTO LA CRUZ"/>
    <x v="0"/>
    <s v="E1-BMP Enea"/>
    <n v="40"/>
    <n v="10690"/>
    <n v="427600"/>
    <d v="2026-07-02T00:00:00"/>
    <n v="10"/>
    <x v="1"/>
    <n v="4"/>
    <n v="3.3333333333333335"/>
  </r>
  <r>
    <n v="404316"/>
    <s v="BASE DE TARTALETA SOFT BLANCA PAVESI"/>
    <x v="0"/>
    <s v="E1-BMP Enea"/>
    <n v="288"/>
    <n v="1646"/>
    <n v="474048"/>
    <d v="2026-07-02T00:00:00"/>
    <n v="365.04"/>
    <x v="2"/>
    <n v="0.78895463510848118"/>
    <n v="182.52"/>
  </r>
  <r>
    <n v="405445"/>
    <s v="BASE TORTA 15PP ALTA COEXPAN"/>
    <x v="0"/>
    <s v="E1-BMP Enea"/>
    <n v="84800"/>
    <n v="93.6"/>
    <n v="7937280"/>
    <d v="2026-07-02T00:00:00"/>
    <n v="58368.84"/>
    <x v="3"/>
    <n v="1.4528299688669504"/>
    <n v="19456.28"/>
  </r>
  <r>
    <n v="107302"/>
    <s v="BELCOLADE AMARGO 55% PURATOS"/>
    <x v="0"/>
    <s v="E1-BMP Enea"/>
    <n v="265"/>
    <n v="12960"/>
    <n v="3434400"/>
    <d v="2026-07-02T00:00:00"/>
    <n v="107.5"/>
    <x v="4"/>
    <n v="2.4651162790697674"/>
    <n v="53.75"/>
  </r>
  <r>
    <n v="400216"/>
    <s v="BIZCOCHO CARROT CAKE PAVESI"/>
    <x v="0"/>
    <s v="E1-BMP Enea"/>
    <n v="48"/>
    <n v="4322"/>
    <n v="207456"/>
    <d v="2026-07-02T00:00:00"/>
    <n v="86.36363636363636"/>
    <x v="2"/>
    <n v="0.5557894736842105"/>
    <n v="43.18181818181818"/>
  </r>
  <r>
    <n v="405482"/>
    <s v="ALMENDRAS FILETEADAS EGC"/>
    <x v="0"/>
    <s v="E1-BMP Enea"/>
    <n v="146"/>
    <n v="11250.01"/>
    <n v="1642501.46"/>
    <d v="2026-07-02T00:00:00"/>
    <n v="0"/>
    <x v="1"/>
    <n v="0"/>
    <n v="0"/>
  </r>
  <r>
    <n v="405786"/>
    <s v="BLISTER 243BBTA DEANDES"/>
    <x v="0"/>
    <s v="E1-BMP Enea"/>
    <n v="6000"/>
    <n v="107"/>
    <n v="642000"/>
    <d v="2026-07-02T00:00:00"/>
    <n v="0"/>
    <x v="3"/>
    <n v="0"/>
    <n v="0"/>
  </r>
  <r>
    <n v="403338"/>
    <s v="BLISTER 7189 1 PASTEL DEANDES"/>
    <x v="0"/>
    <s v="E1-BMP Enea"/>
    <n v="14400"/>
    <n v="49.44"/>
    <n v="711936"/>
    <d v="2026-07-02T00:00:00"/>
    <n v="3488.04"/>
    <x v="3"/>
    <n v="4.128393023015791"/>
    <n v="1162.68"/>
  </r>
  <r>
    <n v="400205"/>
    <s v="BOLSA PEBD 40x42 CM x35 MICRAS"/>
    <x v="0"/>
    <s v="E1-BMP Enea"/>
    <n v="2000"/>
    <n v="39.29"/>
    <n v="78580"/>
    <d v="2026-07-02T00:00:00"/>
    <n v="2571.4285714285716"/>
    <x v="5"/>
    <n v="0.77777777777777779"/>
    <n v="2571.4285714285716"/>
  </r>
  <r>
    <n v="402263"/>
    <s v="BOLSA PREPICADA BANDEJA  100*90 COLOR AZUL ASTRA"/>
    <x v="0"/>
    <s v="E1-BMP Enea"/>
    <n v="291.89999999999998"/>
    <n v="2478.7399999999998"/>
    <n v="723544.20600000001"/>
    <d v="2026-07-02T00:00:00"/>
    <n v="31.12857142857143"/>
    <x v="5"/>
    <n v="9.3772372648003657"/>
    <n v="57.069047619047623"/>
  </r>
  <r>
    <n v="400203"/>
    <s v="BOLSA PREPICADA BANDEJA (22+60+22)104x90"/>
    <x v="0"/>
    <s v="E1-BMP Enea"/>
    <n v="403.5"/>
    <n v="2749.62"/>
    <n v="1109471.67"/>
    <d v="2026-07-02T00:00:00"/>
    <n v="341.56666666666666"/>
    <x v="5"/>
    <n v="1.1813213623499561"/>
    <n v="341.56666666666666"/>
  </r>
  <r>
    <n v="107120"/>
    <s v="BRILLO FRIO RTU PURATOS"/>
    <x v="0"/>
    <s v="E1-BMP Enea"/>
    <n v="981"/>
    <n v="1829.98"/>
    <n v="1795210.38"/>
    <d v="2026-07-02T00:00:00"/>
    <n v="450.17599999999999"/>
    <x v="6"/>
    <n v="2.1791477111174298"/>
    <n v="225.08799999999997"/>
  </r>
  <r>
    <n v="101002"/>
    <s v="CACAO AMARGO PURATOS"/>
    <x v="0"/>
    <s v="E1-BMP Enea"/>
    <n v="125"/>
    <n v="12467.56"/>
    <n v="1558445"/>
    <d v="2026-07-02T00:00:00"/>
    <n v="33.333333333333336"/>
    <x v="4"/>
    <n v="3.7499999999999996"/>
    <n v="16.666666666666668"/>
  </r>
  <r>
    <n v="106401"/>
    <s v="CAFE POLVO WINKLER"/>
    <x v="0"/>
    <s v="E1-BMP Enea"/>
    <n v="8.5"/>
    <n v="21844.240000000002"/>
    <n v="185676.04"/>
    <d v="2026-07-02T00:00:00"/>
    <n v="5.7941176470588234"/>
    <x v="1"/>
    <n v="1.467005076142132"/>
    <n v="2.8970588235294117"/>
  </r>
  <r>
    <n v="107361"/>
    <s v="CAJA  PTG AZUL 15PP ALTA SYCOR"/>
    <x v="0"/>
    <s v="E1-BMP Enea"/>
    <n v="3598"/>
    <n v="585"/>
    <n v="2104830"/>
    <d v="2026-07-02T00:00:00"/>
    <n v="1000"/>
    <x v="7"/>
    <n v="3.5979999999999999"/>
    <n v="2500"/>
  </r>
  <r>
    <n v="107367"/>
    <s v="CAJA DE ENCOMIENDA (EN) SYCOR"/>
    <x v="0"/>
    <s v="E1-BMP Enea"/>
    <n v="2800"/>
    <n v="890.76"/>
    <n v="2494128"/>
    <d v="2026-07-02T00:00:00"/>
    <n v="530"/>
    <x v="7"/>
    <n v="5.283018867924528"/>
    <n v="1325"/>
  </r>
  <r>
    <n v="107366"/>
    <s v="CAJA MADRE DE PLANCHAS (PL) SYCOR"/>
    <x v="0"/>
    <s v="E1-BMP Enea"/>
    <n v="1325"/>
    <n v="721.89"/>
    <n v="956504.25"/>
    <d v="2026-07-02T00:00:00"/>
    <n v="392.85714285714283"/>
    <x v="7"/>
    <n v="3.372727272727273"/>
    <n v="982.142857142857"/>
  </r>
  <r>
    <n v="405696"/>
    <s v="CAJA PASTELES 600X325X120 ASTRA"/>
    <x v="0"/>
    <s v="E1-BMP Enea"/>
    <n v="659"/>
    <n v="600"/>
    <n v="395400"/>
    <d v="2026-07-02T00:00:00"/>
    <n v="533.33333333333337"/>
    <x v="7"/>
    <n v="1.235625"/>
    <n v="1333.3333333333335"/>
  </r>
  <r>
    <n v="405794"/>
    <s v="CAJA PASTELES 600X325X120 FULL CARTON"/>
    <x v="0"/>
    <s v="E1-BMP Enea"/>
    <n v="1500"/>
    <n v="600"/>
    <n v="900000"/>
    <d v="2026-07-02T00:00:00"/>
    <n v="1117"/>
    <x v="8"/>
    <n v="1.3428827215756491"/>
    <n v="2792.5"/>
  </r>
  <r>
    <n v="405503"/>
    <s v="CAJA PASTELES ASTRA"/>
    <x v="0"/>
    <s v="E1-BMP Enea"/>
    <n v="362"/>
    <n v="407"/>
    <n v="147334"/>
    <d v="2026-07-02T00:00:00"/>
    <n v="556"/>
    <x v="7"/>
    <n v="0.65107913669064743"/>
    <n v="1390"/>
  </r>
  <r>
    <n v="107365"/>
    <s v="CAJA PRODUCTO SECO (PS) SYCOR"/>
    <x v="0"/>
    <s v="E1-BMP Enea"/>
    <n v="2191"/>
    <n v="493"/>
    <n v="1080163"/>
    <d v="2026-07-02T00:00:00"/>
    <n v="1047.5714285714287"/>
    <x v="7"/>
    <n v="2.091504159279967"/>
    <n v="2618.9285714285716"/>
  </r>
  <r>
    <n v="403219"/>
    <s v="CAPSULA OVALADA N° 10 ARRIAZA"/>
    <x v="0"/>
    <s v="E1-BMP Enea"/>
    <n v="6000"/>
    <n v="6.1"/>
    <n v="36600"/>
    <d v="2026-07-02T00:00:00"/>
    <n v="7833.333333333333"/>
    <x v="3"/>
    <n v="0.76595744680851063"/>
    <n v="7833.3333333333321"/>
  </r>
  <r>
    <n v="405749"/>
    <s v="CARAVELLA RELL FRÍO-CALIENTE AVELLANA 13 KG MASTER MARTINI"/>
    <x v="0"/>
    <s v="E1-BMP Enea"/>
    <n v="364"/>
    <n v="6000"/>
    <n v="2184000"/>
    <d v="2026-07-02T00:00:00"/>
    <n v="209.75"/>
    <x v="4"/>
    <n v="1.735399284862932"/>
    <n v="104.875"/>
  </r>
  <r>
    <n v="107312"/>
    <s v="CEREZAS AL JUGO CAMPOS"/>
    <x v="0"/>
    <s v="E1-BMP Enea"/>
    <n v="531.1"/>
    <n v="5980"/>
    <n v="3175978"/>
    <d v="2026-07-02T00:00:00"/>
    <n v="193.16315789473686"/>
    <x v="9"/>
    <n v="2.7494891147380178"/>
    <n v="96.581578947368428"/>
  </r>
  <r>
    <n v="403336"/>
    <s v="CEREZAS AL JUGO DESCAROZADAS TRES ERRES"/>
    <x v="0"/>
    <s v="E1-BMP Enea"/>
    <n v="57.9"/>
    <n v="5056.18"/>
    <n v="292752.82199999999"/>
    <d v="2026-07-02T00:00:00"/>
    <n v="104.14000000000001"/>
    <x v="9"/>
    <n v="0.55598233147685794"/>
    <n v="34.713333333333338"/>
  </r>
  <r>
    <n v="405748"/>
    <s v="CHOCOLATE BLANCO SICAO MEL"/>
    <x v="0"/>
    <s v="E1-BMP Enea"/>
    <n v="170"/>
    <n v="12238"/>
    <n v="2080460"/>
    <d v="2026-07-02T00:00:00"/>
    <n v="0"/>
    <x v="10"/>
    <n v="0"/>
    <n v="0"/>
  </r>
  <r>
    <n v="405373"/>
    <s v="CINTA BICOLOR BNEGRO #500"/>
    <x v="0"/>
    <s v="E1-BMP Enea"/>
    <n v="351.5"/>
    <n v="14167.83"/>
    <n v="4979992.2450000001"/>
    <d v="2026-07-02T00:00:00"/>
    <n v="56.24"/>
    <x v="4"/>
    <n v="6.25"/>
    <n v="37.493333333333332"/>
  </r>
  <r>
    <n v="402255"/>
    <s v="CINTA DE EMBALAJE 72x100 SOLUTION"/>
    <x v="0"/>
    <s v="E1-BMP Enea"/>
    <n v="984"/>
    <n v="1290"/>
    <n v="1269360"/>
    <d v="2026-07-02T00:00:00"/>
    <n v="271"/>
    <x v="11"/>
    <n v="3.6309963099630997"/>
    <n v="135.5"/>
  </r>
  <r>
    <n v="404309"/>
    <s v="CINTA NEGRA GC ZUKKER"/>
    <x v="0"/>
    <s v="E1-BMP Enea"/>
    <n v="136"/>
    <n v="8884.99"/>
    <n v="1208358.6399999999"/>
    <d v="2026-07-02T00:00:00"/>
    <n v="218.66666666666666"/>
    <x v="4"/>
    <n v="0.62195121951219512"/>
    <n v="145.77777777777777"/>
  </r>
  <r>
    <n v="107197"/>
    <s v="COBERTURA CHOCOLATE BLANCO"/>
    <x v="0"/>
    <s v="E1-BMP Enea"/>
    <n v="420"/>
    <n v="5296.65"/>
    <n v="2224593"/>
    <d v="2026-07-02T00:00:00"/>
    <n v="56.727272727272727"/>
    <x v="4"/>
    <n v="7.4038461538461542"/>
    <n v="28.363636363636367"/>
  </r>
  <r>
    <n v="107249"/>
    <s v="COBERTURA CHOCOLATES MONEDAS PURATOS"/>
    <x v="0"/>
    <s v="E1-BMP Enea"/>
    <n v="303"/>
    <n v="3750"/>
    <n v="1136250"/>
    <d v="2026-07-02T00:00:00"/>
    <n v="67.769230769230774"/>
    <x v="4"/>
    <n v="4.4710556186152095"/>
    <n v="33.884615384615387"/>
  </r>
  <r>
    <n v="107134"/>
    <s v="COCO RALLADO ALTO LA CRUZ"/>
    <x v="0"/>
    <s v="E1-BMP Enea"/>
    <n v="255"/>
    <n v="3599.96"/>
    <n v="917989.8"/>
    <d v="2026-07-02T00:00:00"/>
    <n v="111.67833333333334"/>
    <x v="1"/>
    <n v="2.2833435312728518"/>
    <n v="37.226111111111116"/>
  </r>
  <r>
    <n v="405747"/>
    <s v="COCTEL DE FRUTA CAMPOS"/>
    <x v="0"/>
    <s v="E1-BMP Enea"/>
    <n v="379.8"/>
    <n v="3703"/>
    <n v="1406399.4"/>
    <d v="2026-07-02T00:00:00"/>
    <n v="174.26666666666668"/>
    <x v="9"/>
    <n v="2.1794185156847741"/>
    <n v="58.088888888888896"/>
  </r>
  <r>
    <n v="403355"/>
    <s v="COGÑAC TRES PALOS DE 1LT"/>
    <x v="0"/>
    <s v="E1-BMP Enea"/>
    <n v="58.9"/>
    <n v="1975.94"/>
    <n v="116382.86599999999"/>
    <d v="2026-07-02T00:00:00"/>
    <n v="0"/>
    <x v="12"/>
    <n v="0"/>
    <n v="0"/>
  </r>
  <r>
    <n v="107320"/>
    <s v="COLDFIL PIE DE LIMÓN"/>
    <x v="0"/>
    <s v="E1-BMP Enea"/>
    <n v="436.5"/>
    <n v="3122"/>
    <n v="1362753"/>
    <d v="2026-07-02T00:00:00"/>
    <n v="205.65"/>
    <x v="6"/>
    <n v="2.1225382932166301"/>
    <n v="102.82499999999999"/>
  </r>
  <r>
    <n v="405427"/>
    <s v="COLORANTE ARTIFICIAL AMARILLO DUAS RODAS"/>
    <x v="0"/>
    <s v="E1-BMP Enea"/>
    <n v="5"/>
    <n v="8897.7999999999993"/>
    <n v="44489"/>
    <d v="2026-07-02T00:00:00"/>
    <n v="0"/>
    <x v="13"/>
    <n v="0"/>
    <n v="0"/>
  </r>
  <r>
    <n v="107323"/>
    <s v="COMBO 88 ALTA 12 PP LISA MOLDES PAC"/>
    <x v="0"/>
    <s v="E1-BMP Enea"/>
    <n v="4260"/>
    <n v="231.4"/>
    <n v="985764"/>
    <d v="2026-07-02T00:00:00"/>
    <n v="792.08333333333337"/>
    <x v="3"/>
    <n v="5.3782219884271436"/>
    <n v="264.02777777777777"/>
  </r>
  <r>
    <n v="107300"/>
    <s v="COMBO 88 ALTA 12 PP MOLDES PAC"/>
    <x v="0"/>
    <s v="E1-BMP Enea"/>
    <n v="6370"/>
    <n v="212.15"/>
    <n v="1351395.5"/>
    <d v="2026-07-02T00:00:00"/>
    <n v="8331.6"/>
    <x v="3"/>
    <n v="0.7645590282778818"/>
    <n v="2777.2000000000003"/>
  </r>
  <r>
    <n v="405560"/>
    <s v="COSTA CHOCOLATE 24X140 GRS CAROZZI"/>
    <x v="0"/>
    <s v="E1-BMP Enea"/>
    <n v="179.48"/>
    <n v="3848.3"/>
    <n v="690692.88399999996"/>
    <d v="2026-07-02T00:00:00"/>
    <n v="64.775000000000006"/>
    <x v="14"/>
    <n v="2.7708220764183711"/>
    <n v="32.387500000000003"/>
  </r>
  <r>
    <n v="393400"/>
    <s v="COVER PASTELERÍA U2 SEMIAMARGO GOTA PURATOS"/>
    <x v="0"/>
    <s v="E1-BMP Enea"/>
    <n v="98"/>
    <n v="3770"/>
    <n v="369460"/>
    <d v="2026-07-02T00:00:00"/>
    <n v="34.175000000000004"/>
    <x v="4"/>
    <n v="2.867593269934162"/>
    <n v="17.087500000000002"/>
  </r>
  <r>
    <n v="405559"/>
    <s v="CREAM CHEESE BALDE MILKAUT SANTA ROSA"/>
    <x v="0"/>
    <s v="E1-BMP Enea"/>
    <n v="360"/>
    <n v="6554.03"/>
    <n v="2359450.7999999998"/>
    <d v="2026-07-02T00:00:00"/>
    <n v="89.174999999999997"/>
    <x v="15"/>
    <n v="4.0370058873002526"/>
    <n v="44.587499999999999"/>
  </r>
  <r>
    <n v="170183"/>
    <s v="CREMA AMBIANTE NATA PURATOS"/>
    <x v="0"/>
    <s v="E1-BMP Enea"/>
    <n v="1143"/>
    <n v="3376"/>
    <n v="3858768"/>
    <d v="2026-07-02T00:00:00"/>
    <n v="200.25"/>
    <x v="15"/>
    <n v="5.7078651685393256"/>
    <n v="133.5"/>
  </r>
  <r>
    <n v="107337"/>
    <s v="CREMA AMBIENTE PURATOS"/>
    <x v="0"/>
    <s v="E1-BMP Enea"/>
    <n v="27"/>
    <n v="2560"/>
    <n v="69120"/>
    <d v="2026-07-02T00:00:00"/>
    <n v="0"/>
    <x v="15"/>
    <n v="0"/>
    <n v="0"/>
  </r>
  <r>
    <n v="107342"/>
    <s v="CREMA CHANTYPACK PURATOS"/>
    <x v="0"/>
    <s v="E1-BMP Enea"/>
    <n v="1546"/>
    <n v="2391"/>
    <n v="3696486"/>
    <d v="2026-07-02T00:00:00"/>
    <n v="862.25"/>
    <x v="15"/>
    <n v="1.7929834734705712"/>
    <n v="431.125"/>
  </r>
  <r>
    <n v="107237"/>
    <s v="CREMA CHOCOLATE RICHS"/>
    <x v="0"/>
    <s v="E1-BMP Enea"/>
    <n v="962.5"/>
    <n v="4103.25"/>
    <n v="3949378.125"/>
    <d v="2026-07-02T00:00:00"/>
    <n v="979.91199999999992"/>
    <x v="15"/>
    <n v="0.98223105748271278"/>
    <n v="489.9559999999999"/>
  </r>
  <r>
    <n v="107104"/>
    <s v="CREMA LACTEA DIWATTS"/>
    <x v="0"/>
    <s v="E1-BMP Enea"/>
    <n v="4805"/>
    <n v="3380"/>
    <n v="16240900"/>
    <d v="2026-07-02T00:00:00"/>
    <n v="9931.32"/>
    <x v="15"/>
    <n v="0.48382289564730568"/>
    <n v="4965.66"/>
  </r>
  <r>
    <n v="107142"/>
    <s v="CREMA LACTEA SOPROLE"/>
    <x v="0"/>
    <s v="E1-BMP Enea"/>
    <n v="977"/>
    <n v="3250"/>
    <n v="3175250"/>
    <d v="2026-07-02T00:00:00"/>
    <n v="1042.2050400000001"/>
    <x v="15"/>
    <n v="0.93743549733745291"/>
    <n v="521.10252000000003"/>
  </r>
  <r>
    <n v="107098"/>
    <s v="CREMA PASTELERA ESPECIAL PURATOS"/>
    <x v="0"/>
    <s v="E1-BMP Enea"/>
    <n v="1980"/>
    <n v="3200"/>
    <n v="6336000"/>
    <d v="2026-07-02T00:00:00"/>
    <n v="1873.08"/>
    <x v="15"/>
    <n v="1.0570824524312896"/>
    <n v="936.54"/>
  </r>
  <r>
    <n v="107242"/>
    <s v="CREMA RELLENO SABOR NARANJA ESP. QUINTA SC 1X5 Kg"/>
    <x v="0"/>
    <s v="E1-BMP Enea"/>
    <n v="3090"/>
    <n v="4270.74"/>
    <n v="13196586.6"/>
    <d v="2026-07-02T00:00:00"/>
    <n v="1760.4166666666667"/>
    <x v="15"/>
    <n v="1.7552662721893491"/>
    <n v="586.80555555555554"/>
  </r>
  <r>
    <n v="405673"/>
    <s v="CREMA VEGETAL AMBIANTE"/>
    <x v="0"/>
    <s v="E1-BMP Enea"/>
    <n v="273"/>
    <n v="3512"/>
    <n v="958776"/>
    <d v="2026-07-02T00:00:00"/>
    <n v="141.25"/>
    <x v="15"/>
    <n v="1.9327433628318584"/>
    <n v="94.166666666666671"/>
  </r>
  <r>
    <n v="103612"/>
    <s v="CREMA VEGETAL MASTER MARTINI"/>
    <x v="0"/>
    <s v="E1-BMP Enea"/>
    <n v="2509"/>
    <n v="2600"/>
    <n v="6523400"/>
    <d v="2026-07-02T00:00:00"/>
    <n v="2755.16"/>
    <x v="15"/>
    <n v="0.91065491659286579"/>
    <n v="1377.58"/>
  </r>
  <r>
    <n v="107209"/>
    <s v="CREMA WHIP TOPPIN RICH"/>
    <x v="0"/>
    <s v="E1-BMP Enea"/>
    <n v="2356"/>
    <n v="2402.5"/>
    <n v="5660290"/>
    <d v="2026-07-02T00:00:00"/>
    <n v="5549"/>
    <x v="15"/>
    <n v="0.42458100558659218"/>
    <n v="2774.5"/>
  </r>
  <r>
    <n v="107105"/>
    <s v="CREMFIL PIE DE LIMON PURATOS"/>
    <x v="0"/>
    <s v="E1-BMP Enea"/>
    <n v="661.5"/>
    <n v="1914.73"/>
    <n v="1266593.895"/>
    <d v="2026-07-02T00:00:00"/>
    <n v="433.8"/>
    <x v="6"/>
    <n v="1.5248962655601659"/>
    <n v="216.89999999999998"/>
  </r>
  <r>
    <n v="403225"/>
    <s v="CUPULA 170B DEANDES"/>
    <x v="0"/>
    <s v="E1-BMP Enea"/>
    <n v="2040"/>
    <n v="256"/>
    <n v="522240"/>
    <d v="2026-07-02T00:00:00"/>
    <n v="0"/>
    <x v="3"/>
    <n v="0"/>
    <n v="0"/>
  </r>
  <r>
    <n v="107345"/>
    <s v="CUPULA 170BX DEANDES"/>
    <x v="0"/>
    <s v="E1-BMP Enea"/>
    <n v="7920"/>
    <n v="185.4"/>
    <n v="1468368"/>
    <d v="2026-07-02T00:00:00"/>
    <n v="1686.2916666666667"/>
    <x v="3"/>
    <n v="4.6966963998912803"/>
    <n v="562.09722222222229"/>
  </r>
  <r>
    <n v="403212"/>
    <s v="CUPULA BRAZO REINA MONSALVE"/>
    <x v="0"/>
    <s v="E1-BMP Enea"/>
    <n v="2084"/>
    <n v="210"/>
    <n v="437640"/>
    <d v="2026-07-02T00:00:00"/>
    <n v="0"/>
    <x v="3"/>
    <n v="0"/>
    <n v="0"/>
  </r>
  <r>
    <n v="404314"/>
    <s v="CUPULA MEDIA TORTA FOOD PACK"/>
    <x v="0"/>
    <s v="E1-BMP Enea"/>
    <n v="3200"/>
    <n v="235.82"/>
    <n v="754624"/>
    <d v="2026-07-02T00:00:00"/>
    <n v="395.875"/>
    <x v="3"/>
    <n v="8.0833596463530153"/>
    <n v="263.91666666666669"/>
  </r>
  <r>
    <n v="107339"/>
    <s v="CUPULA TARTA 1025-3 MOLDES PAC"/>
    <x v="0"/>
    <s v="E1-BMP Enea"/>
    <n v="5390"/>
    <n v="258.99"/>
    <n v="1395956.1"/>
    <d v="2026-07-02T00:00:00"/>
    <n v="5419.24"/>
    <x v="3"/>
    <n v="0.99460440947439133"/>
    <n v="1806.4133333333332"/>
  </r>
  <r>
    <n v="405444"/>
    <s v="CUPULA TORTA 15 PP ALTA COEXPAN"/>
    <x v="0"/>
    <s v="E1-BMP Enea"/>
    <n v="62100"/>
    <n v="252"/>
    <n v="15649200"/>
    <d v="2026-07-02T00:00:00"/>
    <n v="57700.2"/>
    <x v="3"/>
    <n v="1.0762527686212526"/>
    <n v="19233.399999999998"/>
  </r>
  <r>
    <n v="405278"/>
    <s v="CUPULA TORTA 15PP (98-45) MOLDESPAC"/>
    <x v="0"/>
    <s v="E1-BMP Enea"/>
    <n v="12850"/>
    <n v="244.99"/>
    <n v="3148121.5"/>
    <d v="2026-07-02T00:00:00"/>
    <n v="7226.96"/>
    <x v="3"/>
    <n v="1.7780643590112579"/>
    <n v="2408.9866666666667"/>
  </r>
  <r>
    <n v="107344"/>
    <s v="CUPULA TORTA ALTA  15PP (98-5) MOLDESPAC"/>
    <x v="0"/>
    <s v="E1-BMP Enea"/>
    <n v="4480"/>
    <n v="239.97"/>
    <n v="1075065.6000000001"/>
    <d v="2026-07-02T00:00:00"/>
    <n v="4354"/>
    <x v="3"/>
    <n v="1.0289389067524115"/>
    <n v="1451.3333333333333"/>
  </r>
  <r>
    <n v="107303"/>
    <s v="CURLS CHOCOLATE PURATOS"/>
    <x v="0"/>
    <s v="E1-BMP Enea"/>
    <n v="140"/>
    <n v="22359.41"/>
    <n v="3130317.4"/>
    <d v="2026-07-02T00:00:00"/>
    <n v="22.181818181818183"/>
    <x v="4"/>
    <n v="6.3114754098360653"/>
    <n v="11.090909090909092"/>
  </r>
  <r>
    <n v="107127"/>
    <s v="DECORCREM BLANCO 4k PURATOS"/>
    <x v="0"/>
    <s v="E1-BMP Enea"/>
    <n v="360"/>
    <n v="6263.22"/>
    <n v="2254759.2000000002"/>
    <d v="2026-07-02T00:00:00"/>
    <n v="138.79166666666666"/>
    <x v="4"/>
    <n v="2.5938156709696791"/>
    <n v="69.395833333333329"/>
  </r>
  <r>
    <n v="107108"/>
    <s v="DECORCREM NEGRO PURATOS"/>
    <x v="0"/>
    <s v="E1-BMP Enea"/>
    <n v="931.5"/>
    <n v="4199.99"/>
    <n v="3912290.6850000001"/>
    <d v="2026-07-02T00:00:00"/>
    <n v="1153.44"/>
    <x v="4"/>
    <n v="0.80758426966292129"/>
    <n v="576.72"/>
  </r>
  <r>
    <n v="405740"/>
    <s v="DISCO CARTON BLANCO 19 CM PRAGGA"/>
    <x v="0"/>
    <s v="E1-BMP Enea"/>
    <n v="50300"/>
    <n v="24.9"/>
    <n v="1252470"/>
    <d v="2026-07-02T00:00:00"/>
    <n v="38455.555555555555"/>
    <x v="8"/>
    <n v="1.3080034672060099"/>
    <n v="38455.555555555555"/>
  </r>
  <r>
    <n v="403278"/>
    <s v="DISCO CARTON CAFE CORRUGADO 15,5CM CM ASTRA"/>
    <x v="0"/>
    <s v="E1-BMP Enea"/>
    <n v="30509"/>
    <n v="27"/>
    <n v="823743"/>
    <d v="2026-07-02T00:00:00"/>
    <n v="4905.8571428571431"/>
    <x v="8"/>
    <n v="6.2188928685827429"/>
    <n v="12264.642857142859"/>
  </r>
  <r>
    <n v="107210"/>
    <s v="DISCO MERENGUE PAVESI"/>
    <x v="0"/>
    <s v="E1-BMP Enea"/>
    <n v="18252"/>
    <n v="771.66"/>
    <n v="14084338.32"/>
    <d v="2026-07-02T00:00:00"/>
    <n v="13573.5"/>
    <x v="2"/>
    <n v="1.3446789700519395"/>
    <n v="6786.75"/>
  </r>
  <r>
    <n v="405582"/>
    <s v="DISCO MICROCORRUGADO EMPLACADO 15,5 CM DIÁMETRO ASTRA"/>
    <x v="0"/>
    <s v="E1-BMP Enea"/>
    <n v="29536"/>
    <n v="49"/>
    <n v="1447264"/>
    <d v="2026-07-02T00:00:00"/>
    <n v="4123.5294117647063"/>
    <x v="8"/>
    <n v="7.1627960057061335"/>
    <n v="10308.823529411766"/>
  </r>
  <r>
    <n v="405583"/>
    <s v="DISCO MICROCORRUGADO EMPLACADO 19 CM DIÁMETRO ASTRA"/>
    <x v="0"/>
    <s v="E1-BMP Enea"/>
    <n v="151950"/>
    <n v="49"/>
    <n v="7445550"/>
    <d v="2026-07-02T00:00:00"/>
    <n v="10897.619047619048"/>
    <x v="8"/>
    <n v="13.943412715752677"/>
    <n v="27244.047619047618"/>
  </r>
  <r>
    <n v="405795"/>
    <s v="DISCO MICROCORRUGADO EMPLACADO 19 CM DIÁMETRO FULL CARTON"/>
    <x v="0"/>
    <s v="E1-BMP Enea"/>
    <n v="6250"/>
    <n v="49"/>
    <n v="306250"/>
    <d v="2026-07-02T00:00:00"/>
    <n v="4200"/>
    <x v="2"/>
    <n v="1.4880952380952381"/>
    <n v="10500"/>
  </r>
  <r>
    <n v="353009"/>
    <s v="DISCO PANQUEQUE VAINILLA 19 CM. SEMI ELABORADO UND"/>
    <x v="0"/>
    <s v="E1-BMP Enea"/>
    <n v="20808"/>
    <n v="147.88999999999999"/>
    <n v="3077295.12"/>
    <d v="2026-07-02T00:00:00"/>
    <n v="0"/>
    <x v="2"/>
    <n v="0"/>
    <n v="0"/>
  </r>
  <r>
    <n v="107247"/>
    <s v="DULCE DE LECHE MASTER MARTINI"/>
    <x v="0"/>
    <s v="E1-BMP Enea"/>
    <n v="2060"/>
    <n v="3090"/>
    <n v="6365400"/>
    <d v="2026-07-02T00:00:00"/>
    <n v="888.125"/>
    <x v="16"/>
    <n v="2.3194933145672061"/>
    <n v="296.04166666666669"/>
  </r>
  <r>
    <n v="107294"/>
    <s v="DULCE DE RELLENO DIWATTS"/>
    <x v="0"/>
    <s v="E1-BMP Enea"/>
    <n v="2262"/>
    <n v="1660"/>
    <n v="3754920"/>
    <d v="2026-07-02T00:00:00"/>
    <n v="2216.08"/>
    <x v="6"/>
    <n v="1.0207212736002311"/>
    <n v="1108.04"/>
  </r>
  <r>
    <n v="107125"/>
    <s v="DURAZNO EN CUBOS ALTO LA CRUZ"/>
    <x v="0"/>
    <s v="E1-BMP Enea"/>
    <n v="945"/>
    <n v="2583"/>
    <n v="2440935"/>
    <d v="2026-07-02T00:00:00"/>
    <n v="652.4666666666667"/>
    <x v="9"/>
    <n v="1.4483498518442832"/>
    <n v="326.23333333333335"/>
  </r>
  <r>
    <n v="107401"/>
    <s v="DURAZNO EN SLICE LAS PERDICES"/>
    <x v="0"/>
    <s v="E1-BMP Enea"/>
    <n v="599.4"/>
    <n v="2426.11"/>
    <n v="1454210.334"/>
    <d v="2026-07-02T00:00:00"/>
    <n v="558.42999999999995"/>
    <x v="9"/>
    <n v="1.073366402234837"/>
    <n v="186.14333333333332"/>
  </r>
  <r>
    <n v="405652"/>
    <s v="ESENCIA DE VAINILLA TRAVERSO EGC"/>
    <x v="0"/>
    <s v="E1-BMP Enea"/>
    <n v="17"/>
    <n v="1970.18"/>
    <n v="33493.06"/>
    <d v="2026-07-02T00:00:00"/>
    <n v="2.1538461538461537"/>
    <x v="1"/>
    <n v="7.8928571428571432"/>
    <n v="0.71794871794871795"/>
  </r>
  <r>
    <n v="405358"/>
    <s v="ETIQ. CIRCULAR 90cm IMPR. JUMBO TARTA FRUTA MIXTA SURTIDA"/>
    <x v="0"/>
    <s v="E1-BMP Enea"/>
    <n v="10000"/>
    <n v="20.309999999999999"/>
    <n v="203100"/>
    <d v="2026-07-02T00:00:00"/>
    <n v="2190.4761904761904"/>
    <x v="17"/>
    <n v="4.5652173913043477"/>
    <n v="2190.4761904761904"/>
  </r>
  <r>
    <n v="405712"/>
    <s v="ETIQ. CIRCULAR 90cm IMPR. OPP TORTA MIL HOJAS MANJAR ARTESANAL WALMART"/>
    <x v="0"/>
    <s v="E1-BMP Enea"/>
    <n v="20000"/>
    <n v="22.7"/>
    <n v="454000"/>
    <d v="2026-07-02T00:00:00"/>
    <n v="10000"/>
    <x v="17"/>
    <n v="2"/>
    <n v="10000"/>
  </r>
  <r>
    <n v="405453"/>
    <s v="ETIQ. CIRCULAR 90cm IMPR. TARTA MANJAR NUEZ ESPECIAL JUMBO"/>
    <x v="0"/>
    <s v="E1-BMP Enea"/>
    <n v="1000"/>
    <n v="20.7"/>
    <n v="20700"/>
    <d v="2026-07-02T00:00:00"/>
    <n v="1000"/>
    <x v="17"/>
    <n v="1"/>
    <n v="1000"/>
  </r>
  <r>
    <n v="405785"/>
    <s v="ETIQ. CIRCULAR 90cm IMPR. TARTA PISTACHO ESPECIAL JUMBO"/>
    <x v="0"/>
    <s v="E1-BMP Enea"/>
    <n v="5000"/>
    <n v="20.7"/>
    <n v="103500"/>
    <d v="2026-07-02T00:00:00"/>
    <n v="0"/>
    <x v="17"/>
    <n v="0"/>
    <n v="0"/>
  </r>
  <r>
    <n v="405752"/>
    <s v="ETIQ. CIRCULAR 90cm IMPR. TORTA BROWNIE ESPECIAL JUMBO"/>
    <x v="0"/>
    <s v="E1-BMP Enea"/>
    <n v="5000"/>
    <n v="22.7"/>
    <n v="113500"/>
    <d v="2026-07-02T00:00:00"/>
    <n v="0"/>
    <x v="17"/>
    <n v="0"/>
    <n v="0"/>
  </r>
  <r>
    <n v="405687"/>
    <s v="ETIQ. CIRCULAR 90cm IMPR. TORTA CARROT CAKE ARTESANAL JUMBO"/>
    <x v="0"/>
    <s v="E1-BMP Enea"/>
    <n v="4000"/>
    <n v="45"/>
    <n v="180000"/>
    <d v="2026-07-02T00:00:00"/>
    <n v="1090.909090909091"/>
    <x v="17"/>
    <n v="3.6666666666666665"/>
    <n v="1090.909090909091"/>
  </r>
  <r>
    <n v="405353"/>
    <s v="ETIQ. CIRCULAR 90cm IMPR. TORTA CUSINE &amp; CO JUMBO COOKIES AND CREAM"/>
    <x v="0"/>
    <s v="E1-BMP Enea"/>
    <n v="4000"/>
    <n v="22.7"/>
    <n v="90800"/>
    <d v="2026-07-02T00:00:00"/>
    <n v="4071.4285714285716"/>
    <x v="17"/>
    <n v="0.98245614035087714"/>
    <n v="4071.4285714285716"/>
  </r>
  <r>
    <n v="405787"/>
    <s v="ETIQ. CIRCULAR 90cm IMPR. TORTA HOJA FRAMBUESA ESPECIAL JUMBO"/>
    <x v="0"/>
    <s v="E1-BMP Enea"/>
    <n v="7000"/>
    <n v="22.7"/>
    <n v="158900"/>
    <d v="2026-07-02T00:00:00"/>
    <n v="1000"/>
    <x v="17"/>
    <n v="7"/>
    <n v="1000"/>
  </r>
  <r>
    <n v="405688"/>
    <s v="ETIQ. CIRCULAR 90cm IMPR. TORTA IGNACIA ARTESANAL JUMBO"/>
    <x v="0"/>
    <s v="E1-BMP Enea"/>
    <n v="6000"/>
    <n v="45"/>
    <n v="270000"/>
    <d v="2026-07-02T00:00:00"/>
    <n v="1090.909090909091"/>
    <x v="17"/>
    <n v="5.5"/>
    <n v="1090.909090909091"/>
  </r>
  <r>
    <n v="405698"/>
    <s v="ETIQ. CIRCULAR 90cm IMPR. TORTA LEMON CAKE ESPECIAL JUMBO"/>
    <x v="0"/>
    <s v="E1-BMP Enea"/>
    <n v="3000"/>
    <n v="26"/>
    <n v="78000"/>
    <d v="2026-07-02T00:00:00"/>
    <n v="1285.7142857142858"/>
    <x v="17"/>
    <n v="2.333333333333333"/>
    <n v="1285.7142857142858"/>
  </r>
  <r>
    <n v="405449"/>
    <s v="ETIQ. CIRCULAR 90cm IMPR. TORTA MERENGUE MANZANA FRAMBUESA ESPECIAL JUMBO"/>
    <x v="0"/>
    <s v="E1-BMP Enea"/>
    <n v="15000"/>
    <n v="22.7"/>
    <n v="340500"/>
    <d v="2026-07-02T00:00:00"/>
    <n v="1200"/>
    <x v="17"/>
    <n v="12.5"/>
    <n v="1200"/>
  </r>
  <r>
    <n v="405448"/>
    <s v="ETIQ. CIRCULAR 90cm IMPR. TORTA MERENGUE NOUGAT ESPECIAL JUMBO"/>
    <x v="0"/>
    <s v="E1-BMP Enea"/>
    <n v="6000"/>
    <n v="21.95"/>
    <n v="131700"/>
    <d v="2026-07-02T00:00:00"/>
    <n v="1000"/>
    <x v="17"/>
    <n v="6"/>
    <n v="1000"/>
  </r>
  <r>
    <n v="405753"/>
    <s v="ETIQ. CIRCULAR 90cm IMPR. TORTA MOUSSE CHOCOLATE BLANCO ESPECIAL JUMBO"/>
    <x v="0"/>
    <s v="E1-BMP Enea"/>
    <n v="5000"/>
    <n v="22.7"/>
    <n v="113500"/>
    <d v="2026-07-02T00:00:00"/>
    <n v="0"/>
    <x v="17"/>
    <n v="0"/>
    <n v="0"/>
  </r>
  <r>
    <n v="405686"/>
    <s v="ETIQ. CIRCULAR 90cm IMPR. TORTA RED VELVET ARTESANAL JUMBO"/>
    <x v="0"/>
    <s v="E1-BMP Enea"/>
    <n v="6000"/>
    <n v="45"/>
    <n v="270000"/>
    <d v="2026-07-02T00:00:00"/>
    <n v="1083.3333333333333"/>
    <x v="17"/>
    <n v="5.5384615384615392"/>
    <n v="1083.3333333333333"/>
  </r>
  <r>
    <n v="405301"/>
    <s v="ETIQ. CIRCULAR 9cm IMPR. PIE DE FRAMBUESA ESPECIAL JUMBO"/>
    <x v="0"/>
    <s v="E1-BMP Enea"/>
    <n v="8000"/>
    <n v="17.170000000000002"/>
    <n v="137360"/>
    <d v="2026-07-02T00:00:00"/>
    <n v="1117.6470588235295"/>
    <x v="17"/>
    <n v="7.1578947368421044"/>
    <n v="1117.6470588235295"/>
  </r>
  <r>
    <n v="405300"/>
    <s v="ETIQ. CIRCULAR 9cm IMPR. PIE DE LIMÓN ESPECIAL JUMBO"/>
    <x v="0"/>
    <s v="E1-BMP Enea"/>
    <n v="2000"/>
    <n v="17.170000000000002"/>
    <n v="34340"/>
    <d v="2026-07-02T00:00:00"/>
    <n v="2550"/>
    <x v="17"/>
    <n v="0.78431372549019607"/>
    <n v="2550"/>
  </r>
  <r>
    <n v="405302"/>
    <s v="ETIQ. CIRCULAR 9cm IMPR. PIE DE MARACUYÁ ESPECIAL JUMBO"/>
    <x v="0"/>
    <s v="E1-BMP Enea"/>
    <n v="5000"/>
    <n v="17.170000000000002"/>
    <n v="85850"/>
    <d v="2026-07-02T00:00:00"/>
    <n v="1176.4705882352941"/>
    <x v="17"/>
    <n v="4.25"/>
    <n v="1176.4705882352941"/>
  </r>
  <r>
    <n v="405535"/>
    <s v="ETIQ. CIRCULAR 9cm IMPR. TORTA CALUGA NUEZ JUMBO"/>
    <x v="0"/>
    <s v="E1-BMP Enea"/>
    <n v="12000"/>
    <n v="26"/>
    <n v="312000"/>
    <d v="2026-07-02T00:00:00"/>
    <n v="0"/>
    <x v="17"/>
    <n v="0"/>
    <n v="0"/>
  </r>
  <r>
    <n v="405129"/>
    <s v="ETIQ.CIRCULAR 9cm IMPR. TORTA HOJA PASTELERA JUMBO"/>
    <x v="0"/>
    <s v="E1-BMP Enea"/>
    <n v="15000"/>
    <n v="20.7"/>
    <n v="310500"/>
    <d v="2026-07-02T00:00:00"/>
    <n v="6000"/>
    <x v="17"/>
    <n v="2.5"/>
    <n v="6000"/>
  </r>
  <r>
    <n v="405754"/>
    <s v="ETIQ.CIRCULAR 9cm IMPR. TORTA SAN JORGE AVELLANA ARTESANAL JUMBO"/>
    <x v="0"/>
    <s v="E1-BMP Enea"/>
    <n v="2000"/>
    <n v="45"/>
    <n v="90000"/>
    <d v="2026-07-02T00:00:00"/>
    <n v="1000"/>
    <x v="17"/>
    <n v="2"/>
    <n v="1000"/>
  </r>
  <r>
    <n v="405207"/>
    <s v="ETIQ.CIRCULAR 9cm IMPR. TORTA SAN JORGE CHOCOLATE ARTESANAL JUMBO"/>
    <x v="0"/>
    <s v="E1-BMP Enea"/>
    <n v="15000"/>
    <n v="29.4"/>
    <n v="441000"/>
    <d v="2026-07-02T00:00:00"/>
    <n v="1200"/>
    <x v="17"/>
    <n v="12.5"/>
    <n v="1200"/>
  </r>
  <r>
    <n v="405206"/>
    <s v="ETIQ.CIRCULAR 9cm IMPR. TORTA SAN JORGE GUINDA ARTESANAL JUMBO"/>
    <x v="0"/>
    <s v="E1-BMP Enea"/>
    <n v="5000"/>
    <n v="29.4"/>
    <n v="147000"/>
    <d v="2026-07-02T00:00:00"/>
    <n v="2619.0476190476193"/>
    <x v="17"/>
    <n v="1.9090909090909089"/>
    <n v="2619.0476190476193"/>
  </r>
  <r>
    <n v="405205"/>
    <s v="ETIQ.CIRCULAR 9cm IMPR. TORTA SAN JORGE LÚCUMA ARTESANAL JUMBO"/>
    <x v="0"/>
    <s v="E1-BMP Enea"/>
    <n v="2000"/>
    <n v="29.4"/>
    <n v="58800"/>
    <d v="2026-07-02T00:00:00"/>
    <n v="7476.1904761904761"/>
    <x v="17"/>
    <n v="0.26751592356687898"/>
    <n v="7476.1904761904761"/>
  </r>
  <r>
    <n v="404719"/>
    <s v="ETIQUETA BLANCA 100x120 SISA"/>
    <x v="0"/>
    <s v="E1-BMP Enea"/>
    <n v="18000"/>
    <n v="15.86"/>
    <n v="285480"/>
    <d v="2026-07-02T00:00:00"/>
    <n v="0"/>
    <x v="17"/>
    <n v="0"/>
    <n v="0"/>
  </r>
  <r>
    <n v="404718"/>
    <s v="ETIQUETA BLANCA 100x80 SISA"/>
    <x v="0"/>
    <s v="E1-BMP Enea"/>
    <n v="5000"/>
    <n v="7.9"/>
    <n v="39500"/>
    <d v="2026-07-02T00:00:00"/>
    <n v="3125"/>
    <x v="17"/>
    <n v="1.6"/>
    <n v="3125"/>
  </r>
  <r>
    <n v="405159"/>
    <s v="ETIQUETA BLANCA 120X100 OPP"/>
    <x v="0"/>
    <s v="E1-BMP Enea"/>
    <n v="4000"/>
    <n v="14.78"/>
    <n v="59120"/>
    <d v="2026-07-02T00:00:00"/>
    <n v="3500"/>
    <x v="17"/>
    <n v="1.1428571428571428"/>
    <n v="3500"/>
  </r>
  <r>
    <n v="405103"/>
    <s v="ETIQUETA BLANCA 200X50 SISA OPP"/>
    <x v="0"/>
    <s v="E1-BMP Enea"/>
    <n v="125000"/>
    <n v="15.7"/>
    <n v="1962500"/>
    <d v="2026-07-02T00:00:00"/>
    <n v="93458.333333333328"/>
    <x v="17"/>
    <n v="1.3374944271065539"/>
    <n v="93458.333333333328"/>
  </r>
  <r>
    <n v="404722"/>
    <s v="ETIQUETA BLANCA 30X40"/>
    <x v="0"/>
    <s v="E1-BMP Enea"/>
    <n v="220000"/>
    <n v="2.72"/>
    <n v="598400"/>
    <d v="2026-07-02T00:00:00"/>
    <n v="125000"/>
    <x v="17"/>
    <n v="1.76"/>
    <n v="125000"/>
  </r>
  <r>
    <n v="404748"/>
    <s v="ETIQUETA BLANCA 40x200 SISA"/>
    <x v="0"/>
    <s v="E1-BMP Enea"/>
    <n v="32000"/>
    <n v="13.69"/>
    <n v="438080"/>
    <d v="2026-07-02T00:00:00"/>
    <n v="3368.4210526315787"/>
    <x v="17"/>
    <n v="9.5"/>
    <n v="3368.4210526315783"/>
  </r>
  <r>
    <n v="405160"/>
    <s v="ETIQUETA 200X50 POLIPROPILENO IMPR. QUINTA"/>
    <x v="0"/>
    <s v="E1-BMP Enea"/>
    <n v="10000"/>
    <n v="16.16"/>
    <n v="161600"/>
    <d v="2026-07-02T00:00:00"/>
    <n v="6666.666666666667"/>
    <x v="17"/>
    <n v="1.5"/>
    <n v="6666.6666666666661"/>
  </r>
  <r>
    <n v="405461"/>
    <s v="ETIQUETA CIRCULAR 4cm IMPR. PASTEL SISA"/>
    <x v="0"/>
    <s v="E1-BMP Enea"/>
    <n v="15000"/>
    <n v="5"/>
    <n v="75000"/>
    <d v="2026-07-02T00:00:00"/>
    <n v="3333.3333333333335"/>
    <x v="17"/>
    <n v="4.5"/>
    <n v="3333.333333333333"/>
  </r>
  <r>
    <n v="404736"/>
    <s v="ETIQUETA CIRCULAR 9,8cm IMPR. PIE  5 COL +UV"/>
    <x v="0"/>
    <s v="E1-BMP Enea"/>
    <n v="1000"/>
    <n v="17.170000000000002"/>
    <n v="17170"/>
    <d v="2026-07-02T00:00:00"/>
    <n v="1304.3478260869565"/>
    <x v="17"/>
    <n v="0.76666666666666672"/>
    <n v="1304.3478260869565"/>
  </r>
  <r>
    <n v="404735"/>
    <s v="ETIQUETA CIRCULAR 9,8cm IMPR. TARTA  5 COL +UV"/>
    <x v="0"/>
    <s v="E1-BMP Enea"/>
    <n v="4000"/>
    <n v="17.170000000000002"/>
    <n v="68680"/>
    <d v="2026-07-02T00:00:00"/>
    <n v="2350"/>
    <x v="17"/>
    <n v="1.7021276595744681"/>
    <n v="2350"/>
  </r>
  <r>
    <n v="107228"/>
    <s v="ETIQUETA CIRCULAR 90 IMPRESA TORTA MERENGUE LÚCUMA ESPECIAL JUMBO"/>
    <x v="0"/>
    <s v="E1-BMP Enea"/>
    <n v="9000"/>
    <n v="22.7"/>
    <n v="204300"/>
    <d v="2026-07-02T00:00:00"/>
    <n v="1692.3076923076924"/>
    <x v="17"/>
    <n v="5.3181818181818183"/>
    <n v="1692.3076923076924"/>
  </r>
  <r>
    <n v="405798"/>
    <s v="ETIQUETA CIRCULAR 90cm IMPR. TORTA SAN JORGE SISA"/>
    <x v="0"/>
    <s v="E1-BMP Enea"/>
    <n v="10000"/>
    <n v="22.7"/>
    <n v="227000"/>
    <d v="2026-07-02T00:00:00"/>
    <n v="0"/>
    <x v="17"/>
    <n v="0"/>
    <n v="0"/>
  </r>
  <r>
    <n v="404737"/>
    <s v="ETIQUETA CIRCULAR 9cm IMPR. T.CREMA PIÑA 5 COL +UV"/>
    <x v="0"/>
    <s v="E1-BMP Enea"/>
    <n v="7000"/>
    <n v="22.7"/>
    <n v="158900"/>
    <d v="2026-07-02T00:00:00"/>
    <n v="5466.666666666667"/>
    <x v="17"/>
    <n v="1.2804878048780488"/>
    <n v="5466.666666666667"/>
  </r>
  <r>
    <n v="404739"/>
    <s v="ETIQUETA CIRCULAR 9cm IMPR. TORTA CREMA MANJAR"/>
    <x v="0"/>
    <s v="E1-BMP Enea"/>
    <n v="11000"/>
    <n v="22.68"/>
    <n v="249480"/>
    <d v="2026-07-02T00:00:00"/>
    <n v="6333.333333333333"/>
    <x v="17"/>
    <n v="1.736842105263158"/>
    <n v="6333.3333333333321"/>
  </r>
  <r>
    <n v="404745"/>
    <s v="ETIQUETA CIRCULAR 9cm IMPR. TORTA YOGURT FRUTILLA"/>
    <x v="0"/>
    <s v="E1-BMP Enea"/>
    <n v="12000"/>
    <n v="17.170000000000002"/>
    <n v="206040"/>
    <d v="2026-07-02T00:00:00"/>
    <n v="2608.695652173913"/>
    <x v="17"/>
    <n v="4.5999999999999996"/>
    <n v="2608.695652173913"/>
  </r>
  <r>
    <n v="393422"/>
    <s v="ETIQUETA CIRCULAR 9cm TORTA CALUGA"/>
    <x v="0"/>
    <s v="E1-BMP Enea"/>
    <n v="9000"/>
    <n v="22.43"/>
    <n v="201870"/>
    <d v="2026-07-02T00:00:00"/>
    <n v="1222.2222222222222"/>
    <x v="17"/>
    <n v="7.3636363636363642"/>
    <n v="1222.2222222222222"/>
  </r>
  <r>
    <n v="393421"/>
    <s v="ETIQUETA CIRCULAR 9cm TORTA CHOCOLATE REAL"/>
    <x v="0"/>
    <s v="E1-BMP Enea"/>
    <n v="5000"/>
    <n v="22.62"/>
    <n v="113100"/>
    <d v="2026-07-02T00:00:00"/>
    <n v="1187.5"/>
    <x v="17"/>
    <n v="4.2105263157894735"/>
    <n v="1187.5"/>
  </r>
  <r>
    <n v="405615"/>
    <s v="ETIQUETA CIRCULAR 9cm TORTA CHOCOTORTA JUMBO"/>
    <x v="0"/>
    <s v="E1-BMP Enea"/>
    <n v="10000"/>
    <n v="22.7"/>
    <n v="227000"/>
    <d v="2026-07-02T00:00:00"/>
    <n v="1200"/>
    <x v="17"/>
    <n v="8.3333333333333339"/>
    <n v="1200"/>
  </r>
  <r>
    <n v="405553"/>
    <s v="ETIQUETA CIRCULAR 9cm TORTA CREMA CHOCOLATE"/>
    <x v="0"/>
    <s v="E1-BMP Enea"/>
    <n v="6000"/>
    <n v="25.34"/>
    <n v="152040"/>
    <d v="2026-07-02T00:00:00"/>
    <n v="2833.3333333333335"/>
    <x v="17"/>
    <n v="2.1176470588235294"/>
    <n v="2833.3333333333335"/>
  </r>
  <r>
    <n v="393426"/>
    <s v="ETIQUETA CIRCULAR 9cm TORTA DOÑA ISABEL"/>
    <x v="0"/>
    <s v="E1-BMP Enea"/>
    <n v="2000"/>
    <n v="17.170000000000002"/>
    <n v="34340"/>
    <d v="2026-07-02T00:00:00"/>
    <n v="2294.1176470588234"/>
    <x v="17"/>
    <n v="0.87179487179487181"/>
    <n v="2294.1176470588234"/>
  </r>
  <r>
    <n v="405552"/>
    <s v="ETIQUETA CIRCULAR 9cm TORTA GALLETA FRAMBUESA"/>
    <x v="0"/>
    <s v="E1-BMP Enea"/>
    <n v="8000"/>
    <n v="22.7"/>
    <n v="181600"/>
    <d v="2026-07-02T00:00:00"/>
    <n v="0"/>
    <x v="17"/>
    <n v="0"/>
    <n v="0"/>
  </r>
  <r>
    <n v="405378"/>
    <s v="ETIQUETA CIRCULAR 9cm TORTA GUINDA CHOCOLATE"/>
    <x v="0"/>
    <s v="E1-BMP Enea"/>
    <n v="9000"/>
    <n v="22.7"/>
    <n v="204300"/>
    <d v="2026-07-02T00:00:00"/>
    <n v="0"/>
    <x v="17"/>
    <n v="0"/>
    <n v="0"/>
  </r>
  <r>
    <n v="405128"/>
    <s v="ETIQUETA CIRCULAR 9cm TORTA HOJA MANJAR JUMBO"/>
    <x v="0"/>
    <s v="E1-BMP Enea"/>
    <n v="10000"/>
    <n v="20.7"/>
    <n v="207000"/>
    <d v="2026-07-02T00:00:00"/>
    <n v="6800"/>
    <x v="17"/>
    <n v="1.4705882352941178"/>
    <n v="6800"/>
  </r>
  <r>
    <n v="405377"/>
    <s v="ETIQUETA CIRCULAR 9cm TORTA MANJAR LUCUMA"/>
    <x v="0"/>
    <s v="E1-BMP Enea"/>
    <n v="1000"/>
    <n v="22.7"/>
    <n v="22700"/>
    <d v="2026-07-02T00:00:00"/>
    <n v="5111.1111111111113"/>
    <x v="17"/>
    <n v="0.19565217391304346"/>
    <n v="5111.1111111111113"/>
  </r>
  <r>
    <n v="393423"/>
    <s v="ETIQUETA CIRCULAR 9cm TORTA PANQUEQUE CHOCOLATE GUINDA"/>
    <x v="0"/>
    <s v="E1-BMP Enea"/>
    <n v="9000"/>
    <n v="22.7"/>
    <n v="204300"/>
    <d v="2026-07-02T00:00:00"/>
    <n v="1733.3333333333333"/>
    <x v="17"/>
    <n v="5.1923076923076925"/>
    <n v="1733.333333333333"/>
  </r>
  <r>
    <n v="405554"/>
    <s v="ETIQUETA CIRCULAR 9cm TORTA SABOR MANJAR NUEZ"/>
    <x v="0"/>
    <s v="E1-BMP Enea"/>
    <n v="10000"/>
    <n v="26"/>
    <n v="260000"/>
    <d v="2026-07-02T00:00:00"/>
    <n v="1000"/>
    <x v="17"/>
    <n v="10"/>
    <n v="1000"/>
  </r>
  <r>
    <n v="405376"/>
    <s v="ETIQUETA CIRCULAR 9cm TORTA SACHER"/>
    <x v="0"/>
    <s v="E1-BMP Enea"/>
    <n v="13000"/>
    <n v="22.7"/>
    <n v="295100"/>
    <d v="2026-07-02T00:00:00"/>
    <n v="4583.333333333333"/>
    <x v="17"/>
    <n v="2.8363636363636364"/>
    <n v="4583.333333333333"/>
  </r>
  <r>
    <n v="393425"/>
    <s v="ETIQUETA CIRCULAR 9cm TORTA SELVA NEGRA VEGANA"/>
    <x v="0"/>
    <s v="E1-BMP Enea"/>
    <n v="2000"/>
    <n v="22.27"/>
    <n v="44540"/>
    <d v="2026-07-02T00:00:00"/>
    <n v="1272.7272727272727"/>
    <x v="17"/>
    <n v="1.5714285714285714"/>
    <n v="1272.7272727272727"/>
  </r>
  <r>
    <n v="405614"/>
    <s v="ETIQUETA CIRCULAR 9cm TORTA TENTACIÓN DE CHOCOLATE JUMBO"/>
    <x v="0"/>
    <s v="E1-BMP Enea"/>
    <n v="2000"/>
    <n v="22.7"/>
    <n v="45400"/>
    <d v="2026-07-02T00:00:00"/>
    <n v="1777.7777777777778"/>
    <x v="17"/>
    <n v="1.125"/>
    <n v="1777.7777777777778"/>
  </r>
  <r>
    <n v="107266"/>
    <s v="ETIQUETA CIRCULAR OPCIÓN VEGANA CRISME"/>
    <x v="0"/>
    <s v="E1-BMP Enea"/>
    <n v="6000"/>
    <n v="13.65"/>
    <n v="81900"/>
    <d v="2026-07-02T00:00:00"/>
    <n v="3000"/>
    <x v="17"/>
    <n v="2"/>
    <n v="3000"/>
  </r>
  <r>
    <n v="405809"/>
    <s v="ETIQUETA IMPRESA 150X35 TRES COLORES + U.V OPP POSTRE SABOR CHOCOLATE Y FRUTOS DEL BOSQUE"/>
    <x v="0"/>
    <s v="E1-BMP Enea"/>
    <n v="4000"/>
    <n v="17.16"/>
    <n v="68640"/>
    <d v="2026-07-02T00:00:00"/>
    <n v="0"/>
    <x v="10"/>
    <n v="0"/>
    <n v="0"/>
  </r>
  <r>
    <n v="405810"/>
    <s v="ETIQUETA IMPRESA 150X35 TRES COLORES + U.V OPP POSTRE SABOR LÚCUMA MANJAR"/>
    <x v="0"/>
    <s v="E1-BMP Enea"/>
    <n v="6000"/>
    <n v="17.16"/>
    <n v="102960"/>
    <d v="2026-07-02T00:00:00"/>
    <n v="0"/>
    <x v="10"/>
    <n v="0"/>
    <n v="0"/>
  </r>
  <r>
    <n v="405808"/>
    <s v="ETIQUETA IMPRESA 150X35 TRES COLORES + U.V OPP POSTRE SABOR TRES LECHES CON FRAMBUESA"/>
    <x v="0"/>
    <s v="E1-BMP Enea"/>
    <n v="6000"/>
    <n v="17.16"/>
    <n v="102960"/>
    <d v="2026-07-02T00:00:00"/>
    <n v="0"/>
    <x v="10"/>
    <n v="0"/>
    <n v="0"/>
  </r>
  <r>
    <n v="405310"/>
    <s v="ETIQUETA OPP TRANSPARENTE 22X32 CRISME"/>
    <x v="0"/>
    <s v="E1-BMP Enea"/>
    <n v="100000"/>
    <n v="8"/>
    <n v="800000"/>
    <d v="2026-07-02T00:00:00"/>
    <n v="2428.5714285714284"/>
    <x v="17"/>
    <n v="41.176470588235297"/>
    <n v="2428.5714285714284"/>
  </r>
  <r>
    <n v="405108"/>
    <s v="ETIQUETA TORTA  MOCACCINO"/>
    <x v="0"/>
    <s v="E1-BMP Enea"/>
    <n v="7000"/>
    <n v="22.7"/>
    <n v="158900"/>
    <d v="2026-07-02T00:00:00"/>
    <n v="4000"/>
    <x v="17"/>
    <n v="1.75"/>
    <n v="4000"/>
  </r>
  <r>
    <n v="405644"/>
    <s v="ETIQUETA TORTA MERENGUE COOKIES"/>
    <x v="0"/>
    <s v="E1-BMP Enea"/>
    <n v="4000"/>
    <n v="22.7"/>
    <n v="90800"/>
    <d v="2026-07-02T00:00:00"/>
    <n v="1285.7142857142858"/>
    <x v="17"/>
    <n v="3.1111111111111112"/>
    <n v="1285.7142857142858"/>
  </r>
  <r>
    <n v="405089"/>
    <s v="ETIQUETA TORTA MERENGUE FRAMBUESA CONGELADA"/>
    <x v="0"/>
    <s v="E1-BMP Enea"/>
    <n v="9000"/>
    <n v="22.7"/>
    <n v="204300"/>
    <d v="2026-07-02T00:00:00"/>
    <n v="1750"/>
    <x v="17"/>
    <n v="5.1428571428571432"/>
    <n v="1750"/>
  </r>
  <r>
    <n v="405643"/>
    <s v="ETIQUETA TORTA MERENGUE LEMON PIE"/>
    <x v="0"/>
    <s v="E1-BMP Enea"/>
    <n v="4000"/>
    <n v="22.7"/>
    <n v="90800"/>
    <d v="2026-07-02T00:00:00"/>
    <n v="1250"/>
    <x v="17"/>
    <n v="3.2"/>
    <n v="1250"/>
  </r>
  <r>
    <n v="405090"/>
    <s v="ETIQUETA TORTA MERENGUE LUCUMA CONGELADA"/>
    <x v="0"/>
    <s v="E1-BMP Enea"/>
    <n v="12000"/>
    <n v="22.7"/>
    <n v="272400"/>
    <d v="2026-07-02T00:00:00"/>
    <n v="1750"/>
    <x v="17"/>
    <n v="6.8571428571428568"/>
    <n v="1750"/>
  </r>
  <r>
    <n v="405120"/>
    <s v="ETIQUETAS CIRCULAR 9cm  TORTA SELVA NEGRA JUMBO"/>
    <x v="0"/>
    <s v="E1-BMP Enea"/>
    <n v="10000"/>
    <n v="22.7"/>
    <n v="227000"/>
    <d v="2026-07-02T00:00:00"/>
    <n v="3809.5238095238096"/>
    <x v="17"/>
    <n v="2.625"/>
    <n v="3809.5238095238096"/>
  </r>
  <r>
    <n v="405036"/>
    <s v="ETIQUETAS CIRCULAR 9cm IMPR. PANQUEQUE NARANJA"/>
    <x v="0"/>
    <s v="E1-BMP Enea"/>
    <n v="7000"/>
    <n v="22.7"/>
    <n v="158900"/>
    <d v="2026-07-02T00:00:00"/>
    <n v="4166.666666666667"/>
    <x v="17"/>
    <n v="1.68"/>
    <n v="4166.666666666667"/>
  </r>
  <r>
    <n v="405131"/>
    <s v="ETIQUETAS CIRCULAR 9cm IMPR. TORTA 4 LECHES JUMBO"/>
    <x v="0"/>
    <s v="E1-BMP Enea"/>
    <n v="8000"/>
    <n v="17.170000000000002"/>
    <n v="137360"/>
    <d v="2026-07-02T00:00:00"/>
    <n v="2238.0952380952381"/>
    <x v="17"/>
    <n v="3.5744680851063828"/>
    <n v="2238.0952380952381"/>
  </r>
  <r>
    <n v="405124"/>
    <s v="ETIQUETAS CIRCULAR 9cm IMPR. TORTA BEATRIZ JUMBO"/>
    <x v="0"/>
    <s v="E1-BMP Enea"/>
    <n v="7000"/>
    <n v="17.170000000000002"/>
    <n v="120190"/>
    <d v="2026-07-02T00:00:00"/>
    <n v="3909.090909090909"/>
    <x v="17"/>
    <n v="1.7906976744186047"/>
    <n v="3909.090909090909"/>
  </r>
  <r>
    <n v="405126"/>
    <s v="ETIQUETAS CIRCULAR 9cm IMPR. TORTA BOM BOM"/>
    <x v="0"/>
    <s v="E1-BMP Enea"/>
    <n v="8000"/>
    <n v="22.1"/>
    <n v="176800"/>
    <d v="2026-07-02T00:00:00"/>
    <n v="1642.8571428571429"/>
    <x v="17"/>
    <n v="4.8695652173913047"/>
    <n v="1642.8571428571427"/>
  </r>
  <r>
    <n v="405784"/>
    <s v="ETIQUETAS CIRCULAR 9cm IMPR. TORTA DURAZNO MANJAR"/>
    <x v="0"/>
    <s v="E1-BMP Enea"/>
    <n v="3000"/>
    <n v="22.7"/>
    <n v="68100"/>
    <d v="2026-07-02T00:00:00"/>
    <n v="3500"/>
    <x v="17"/>
    <n v="0.8571428571428571"/>
    <n v="3500"/>
  </r>
  <r>
    <n v="405034"/>
    <s v="ETIQUETAS CIRCULAR 9cm IMPR. TORTA HOJA MANJAR"/>
    <x v="0"/>
    <s v="E1-BMP Enea"/>
    <n v="12000"/>
    <n v="17.170000000000002"/>
    <n v="206040"/>
    <d v="2026-07-02T00:00:00"/>
    <n v="5916.666666666667"/>
    <x v="17"/>
    <n v="2.028169014084507"/>
    <n v="5916.666666666667"/>
  </r>
  <r>
    <n v="405783"/>
    <s v="ETIQUETAS CIRCULAR 9cm IMPR. TORTA IRLANDESA"/>
    <x v="0"/>
    <s v="E1-BMP Enea"/>
    <n v="2000"/>
    <n v="22.7"/>
    <n v="45400"/>
    <d v="2026-07-02T00:00:00"/>
    <n v="3000"/>
    <x v="17"/>
    <n v="0.66666666666666663"/>
    <n v="3000"/>
  </r>
  <r>
    <n v="405122"/>
    <s v="ETIQUETAS CIRCULAR 9cm IMPR. TORTA LUCUMA JUMBO"/>
    <x v="0"/>
    <s v="E1-BMP Enea"/>
    <n v="11000"/>
    <n v="22.7"/>
    <n v="249700"/>
    <d v="2026-07-02T00:00:00"/>
    <n v="2666.6666666666665"/>
    <x v="17"/>
    <n v="4.125"/>
    <n v="2666.6666666666665"/>
  </r>
  <r>
    <n v="405119"/>
    <s v="ETIQUETAS CIRCULAR 9cm IMPR. TORTA PIÑA JUMBO"/>
    <x v="0"/>
    <s v="E1-BMP Enea"/>
    <n v="4000"/>
    <n v="17.170000000000002"/>
    <n v="68680"/>
    <d v="2026-07-02T00:00:00"/>
    <n v="2590.909090909091"/>
    <x v="17"/>
    <n v="1.5438596491228069"/>
    <n v="2590.909090909091"/>
  </r>
  <r>
    <n v="405463"/>
    <s v="ETIQUETAS CIRCULAR 9cm IMPR. TORTA PQQ. CHOCOLATE MANJAR GUINDA SISA"/>
    <x v="0"/>
    <s v="E1-BMP Enea"/>
    <n v="1000"/>
    <n v="20.239999999999998"/>
    <n v="20240"/>
    <d v="2026-07-02T00:00:00"/>
    <n v="2000"/>
    <x v="17"/>
    <n v="0.5"/>
    <n v="2000"/>
  </r>
  <r>
    <n v="405130"/>
    <s v="ETIQUETAS CIRCULAR 9cm IMPR. TORTA TRUFFA JUMBO"/>
    <x v="0"/>
    <s v="E1-BMP Enea"/>
    <n v="8000"/>
    <n v="22.62"/>
    <n v="180960"/>
    <d v="2026-07-02T00:00:00"/>
    <n v="1500"/>
    <x v="17"/>
    <n v="5.333333333333333"/>
    <n v="1500"/>
  </r>
  <r>
    <n v="405031"/>
    <s v="ETIQUETAS CIRCULAR 9cm IMPR. TORTA VIENA SISA"/>
    <x v="0"/>
    <s v="E1-BMP Enea"/>
    <n v="2000"/>
    <n v="17.170000000000002"/>
    <n v="34340"/>
    <d v="2026-07-02T00:00:00"/>
    <n v="2904.7619047619046"/>
    <x v="17"/>
    <n v="0.68852459016393441"/>
    <n v="2904.7619047619046"/>
  </r>
  <r>
    <n v="405121"/>
    <s v="ETIQUETAS CIRCULAR 9cm IMPR.TORTA TRES LECHES JUMB0"/>
    <x v="0"/>
    <s v="E1-BMP Enea"/>
    <n v="3000"/>
    <n v="17.170000000000002"/>
    <n v="51510"/>
    <d v="2026-07-02T00:00:00"/>
    <n v="2363.6363636363635"/>
    <x v="17"/>
    <n v="1.2692307692307694"/>
    <n v="2363.6363636363635"/>
  </r>
  <r>
    <n v="101108"/>
    <s v="FIGURA DE CORAZON MANAR"/>
    <x v="0"/>
    <s v="E1-BMP Enea"/>
    <n v="10"/>
    <n v="4060"/>
    <n v="40600"/>
    <d v="2026-07-02T00:00:00"/>
    <n v="10"/>
    <x v="4"/>
    <n v="1"/>
    <n v="5"/>
  </r>
  <r>
    <n v="107415"/>
    <s v="FILLING DE FRAMBUESA MEL"/>
    <x v="0"/>
    <s v="E1-BMP Enea"/>
    <n v="234"/>
    <n v="5289.39"/>
    <n v="1237717.26"/>
    <d v="2026-07-02T00:00:00"/>
    <n v="69.48"/>
    <x v="9"/>
    <n v="3.3678756476683938"/>
    <n v="23.16"/>
  </r>
  <r>
    <n v="107319"/>
    <s v="FILLING DE GUINDA BALDE 4,5 Kg"/>
    <x v="0"/>
    <s v="E1-BMP Enea"/>
    <n v="1386"/>
    <n v="4359.78"/>
    <n v="6042655.0800000001"/>
    <d v="2026-07-02T00:00:00"/>
    <n v="556.45833333333337"/>
    <x v="9"/>
    <n v="2.4907525271433917"/>
    <n v="185.48611111111111"/>
  </r>
  <r>
    <n v="402111"/>
    <s v="FILM TRANSPARENTE  685 MM (23CM) BATTISTA"/>
    <x v="0"/>
    <s v="E1-BMP Enea"/>
    <n v="285"/>
    <n v="3251.09"/>
    <n v="926560.65"/>
    <d v="2026-07-02T00:00:00"/>
    <n v="0"/>
    <x v="18"/>
    <n v="0"/>
    <n v="0"/>
  </r>
  <r>
    <n v="405506"/>
    <s v="GALLETA OREO REGULAR ALCA"/>
    <x v="0"/>
    <s v="E1-BMP Enea"/>
    <n v="183.14"/>
    <n v="5243.76"/>
    <n v="960342.20640000002"/>
    <d v="2026-07-02T00:00:00"/>
    <n v="71.318210526315781"/>
    <x v="14"/>
    <n v="2.5679275832702362"/>
    <n v="35.65910526315789"/>
  </r>
  <r>
    <n v="402132"/>
    <s v="FRAMBUESA CONGELADA ALTA FRUTA"/>
    <x v="0"/>
    <s v="E1-BMP Enea"/>
    <n v="461"/>
    <n v="5870"/>
    <n v="2706070"/>
    <d v="2026-07-02T00:00:00"/>
    <n v="558.88636363636363"/>
    <x v="19"/>
    <n v="0.82485462160953194"/>
    <n v="279.44318181818181"/>
  </r>
  <r>
    <n v="405750"/>
    <s v="GANACHE BLANCO MANAR"/>
    <x v="0"/>
    <s v="E1-BMP Enea"/>
    <n v="472"/>
    <n v="5769.25"/>
    <n v="2723086"/>
    <d v="2026-07-02T00:00:00"/>
    <n v="0"/>
    <x v="4"/>
    <n v="0"/>
    <n v="0"/>
  </r>
  <r>
    <n v="107133"/>
    <s v="GANACHE PURATOS"/>
    <x v="0"/>
    <s v="E1-BMP Enea"/>
    <n v="1568"/>
    <n v="4229.8599999999997"/>
    <n v="6632420.4800000004"/>
    <d v="2026-07-02T00:00:00"/>
    <n v="487.73913043478262"/>
    <x v="4"/>
    <n v="3.2148333036191832"/>
    <n v="243.86956521739131"/>
  </r>
  <r>
    <n v="107160"/>
    <s v="GELATINA FRAMBUESA ALTO LA CRUZ"/>
    <x v="0"/>
    <s v="E1-BMP Enea"/>
    <n v="118"/>
    <n v="5350.01"/>
    <n v="631301.18000000005"/>
    <d v="2026-07-02T00:00:00"/>
    <n v="59.16"/>
    <x v="20"/>
    <n v="1.9945909398242057"/>
    <n v="19.72"/>
  </r>
  <r>
    <n v="104013"/>
    <s v="GELATINA S/SABOR ALFA GROUP"/>
    <x v="0"/>
    <s v="E1-BMP Enea"/>
    <n v="25"/>
    <n v="7600"/>
    <n v="190000"/>
    <d v="2026-07-02T00:00:00"/>
    <n v="53.428571428571431"/>
    <x v="20"/>
    <n v="0.46791443850267378"/>
    <n v="17.80952380952381"/>
  </r>
  <r>
    <n v="107159"/>
    <s v="GELATINA S/SABOR ALTO LA CRUZ"/>
    <x v="0"/>
    <s v="E1-BMP Enea"/>
    <n v="175"/>
    <n v="9800"/>
    <n v="1715000"/>
    <d v="2026-07-02T00:00:00"/>
    <n v="64.200376769230758"/>
    <x v="20"/>
    <n v="2.725840700733583"/>
    <n v="21.400125589743585"/>
  </r>
  <r>
    <n v="300004"/>
    <s v="GRANA BLANCA"/>
    <x v="0"/>
    <s v="E1-BMP Enea"/>
    <n v="160"/>
    <n v="1.03"/>
    <n v="164.8"/>
    <d v="2026-07-02T00:00:00"/>
    <n v="225.32299999999998"/>
    <x v="2"/>
    <n v="0.7100917349760123"/>
    <n v="75.10766666666666"/>
  </r>
  <r>
    <n v="300003"/>
    <s v="GRANA CHOCOLATE"/>
    <x v="0"/>
    <s v="E1-BMP Enea"/>
    <n v="160.55000000000001"/>
    <n v="1.03"/>
    <n v="165.3665"/>
    <d v="2026-07-02T00:00:00"/>
    <n v="199.96200000000002"/>
    <x v="2"/>
    <n v="0.80290255148478207"/>
    <n v="66.654000000000011"/>
  </r>
  <r>
    <n v="107170"/>
    <s v="GRANILLO CHOCOLATE MANAR"/>
    <x v="0"/>
    <s v="E1-BMP Enea"/>
    <n v="425"/>
    <n v="2662"/>
    <n v="1131350"/>
    <d v="2026-07-02T00:00:00"/>
    <n v="166.625"/>
    <x v="4"/>
    <n v="2.5506376594148539"/>
    <n v="111.08333333333333"/>
  </r>
  <r>
    <n v="107330"/>
    <s v="HARINA NUEZ TRES ERRE"/>
    <x v="0"/>
    <s v="E1-BMP Enea"/>
    <n v="120"/>
    <n v="2000"/>
    <n v="240000"/>
    <d v="2026-07-02T00:00:00"/>
    <n v="28"/>
    <x v="21"/>
    <n v="4.2857142857142856"/>
    <n v="14"/>
  </r>
  <r>
    <n v="403368"/>
    <s v="HOJA SENCILLA PROSERVAR"/>
    <x v="0"/>
    <s v="E1-BMP Enea"/>
    <n v="1540"/>
    <n v="165"/>
    <n v="254100"/>
    <d v="2026-07-02T00:00:00"/>
    <n v="1899"/>
    <x v="8"/>
    <n v="0.81095313322801477"/>
    <n v="4747.5"/>
  </r>
  <r>
    <n v="403373"/>
    <s v="HOJA SEPARADORA PLANCHAS PROSERVAR"/>
    <x v="0"/>
    <s v="E1-BMP Enea"/>
    <n v="22000"/>
    <n v="205"/>
    <n v="4510000"/>
    <d v="2026-07-02T00:00:00"/>
    <n v="4000"/>
    <x v="8"/>
    <n v="5.5"/>
    <n v="10000"/>
  </r>
  <r>
    <n v="405804"/>
    <s v="HOJA SEPARADORA SIMPLE POSTRES"/>
    <x v="0"/>
    <s v="E1-BMP Enea"/>
    <n v="5000"/>
    <n v="293"/>
    <n v="1465000"/>
    <d v="2026-07-02T00:00:00"/>
    <n v="0"/>
    <x v="10"/>
    <n v="0"/>
    <n v="0"/>
  </r>
  <r>
    <n v="393322"/>
    <s v="HOJA SEPARADORA TARTALETA DIAMETRO 255 MMS."/>
    <x v="0"/>
    <s v="E1-BMP Enea"/>
    <n v="13000"/>
    <n v="150.81"/>
    <n v="1960530"/>
    <d v="2026-07-02T00:00:00"/>
    <n v="3000"/>
    <x v="8"/>
    <n v="4.333333333333333"/>
    <n v="7500"/>
  </r>
  <r>
    <n v="405789"/>
    <s v="HOJA SEPARADORA TORTA DIAMETRO 230 MMS FULL CARTON"/>
    <x v="0"/>
    <s v="E1-BMP Enea"/>
    <n v="1284"/>
    <n v="145"/>
    <n v="186180"/>
    <d v="2026-07-02T00:00:00"/>
    <n v="4472"/>
    <x v="8"/>
    <n v="0.28711985688729874"/>
    <n v="11180"/>
  </r>
  <r>
    <n v="393320"/>
    <s v="HOJA SEPARADORA TORTA DIAMETRO 230 MMS."/>
    <x v="0"/>
    <s v="E1-BMP Enea"/>
    <n v="16116"/>
    <n v="151"/>
    <n v="2433516"/>
    <d v="2026-07-02T00:00:00"/>
    <n v="15235.021739130434"/>
    <x v="8"/>
    <n v="1.0578258617515992"/>
    <n v="38087.554347826088"/>
  </r>
  <r>
    <n v="393321"/>
    <s v="HOJA SEPARADORA TORTA MEDIANA DIAMETRO 210 MMS."/>
    <x v="0"/>
    <s v="E1-BMP Enea"/>
    <n v="2400"/>
    <n v="151"/>
    <n v="362400"/>
    <d v="2026-07-02T00:00:00"/>
    <n v="4854.545454545455"/>
    <x v="8"/>
    <n v="0.49438202247191004"/>
    <n v="12136.363636363636"/>
  </r>
  <r>
    <n v="362105"/>
    <s v="HOJARASCA 19 CMS. PAVESI"/>
    <x v="0"/>
    <s v="E1-BMP Enea"/>
    <n v="71604"/>
    <n v="178.44"/>
    <n v="12777017.76"/>
    <d v="2026-07-02T00:00:00"/>
    <n v="107492.8"/>
    <x v="2"/>
    <n v="0.66612833603739041"/>
    <n v="53746.400000000001"/>
  </r>
  <r>
    <n v="403268"/>
    <s v="INSUMO DISCO PANQUEQUE CHOCOLATE 18 CM."/>
    <x v="0"/>
    <s v="E1-BMP Enea"/>
    <n v="19728"/>
    <n v="184.79"/>
    <n v="3645537.12"/>
    <d v="2026-07-02T00:00:00"/>
    <n v="7007.4444444444443"/>
    <x v="2"/>
    <n v="2.8152916739340701"/>
    <n v="2335.8148148148148"/>
  </r>
  <r>
    <n v="393216"/>
    <s v="INSUMO INTERPLANTA BIZCOCHO CHOCOLATE 17 CMS"/>
    <x v="0"/>
    <s v="E1-BMP Enea"/>
    <n v="2976"/>
    <n v="699.13"/>
    <n v="2080610.88"/>
    <d v="2026-07-02T00:00:00"/>
    <n v="5116.045454545455"/>
    <x v="2"/>
    <n v="0.58169928833527307"/>
    <n v="1705.348484848485"/>
  </r>
  <r>
    <n v="405702"/>
    <s v="INSUMO INTERPLANTA BIZCOCHO RED VELVET 19 CM"/>
    <x v="0"/>
    <s v="E1-BMP Enea"/>
    <n v="6"/>
    <n v="2011.5"/>
    <n v="12069"/>
    <d v="2026-07-02T00:00:00"/>
    <n v="152.58183333333332"/>
    <x v="2"/>
    <n v="3.9323161014144327E-2"/>
    <n v="50.860611111111105"/>
  </r>
  <r>
    <n v="405577"/>
    <s v="INSUMO INTERPLANTA BIZCOCHO TIPO TRES LECHES 19 CM."/>
    <x v="0"/>
    <s v="E1-BMP Enea"/>
    <n v="1267"/>
    <n v="1113.48"/>
    <n v="1410779.16"/>
    <d v="2026-07-02T00:00:00"/>
    <n v="1184.76"/>
    <x v="2"/>
    <n v="1.0694149025963064"/>
    <n v="394.92"/>
  </r>
  <r>
    <n v="393419"/>
    <s v="INSUMO SEMI ELABORADO BROWNIE VEGANO INTERPLANTA"/>
    <x v="0"/>
    <s v="E1-BMP Enea"/>
    <n v="162"/>
    <n v="1695.07"/>
    <n v="274601.34000000003"/>
    <d v="2026-07-02T00:00:00"/>
    <n v="565.73913043478262"/>
    <x v="2"/>
    <n v="0.28635106055948356"/>
    <n v="188.57971014492753"/>
  </r>
  <r>
    <n v="405340"/>
    <s v="INSUMO SEMIELABORADO GALLETA OREO MOLIDA"/>
    <x v="0"/>
    <s v="E1-BMP Enea"/>
    <n v="11.55"/>
    <n v="5313.33"/>
    <n v="61368.961499999998"/>
    <d v="2026-07-02T00:00:00"/>
    <n v="49.368421052631582"/>
    <x v="2"/>
    <n v="0.233955223880597"/>
    <n v="16.456140350877195"/>
  </r>
  <r>
    <n v="353002"/>
    <s v="INSUMO SEMI-ELABORADO INTERPLANTA BIZCOCHO CHOCOLATE 19cm"/>
    <x v="0"/>
    <s v="E1-BMP Enea"/>
    <n v="1314"/>
    <n v="892.29"/>
    <n v="1172469.06"/>
    <d v="2026-07-02T00:00:00"/>
    <n v="11674.2"/>
    <x v="2"/>
    <n v="0.11255589248085521"/>
    <n v="3891.4"/>
  </r>
  <r>
    <n v="353001"/>
    <s v="INSUMO SEMI-ELABORADO INTERPLANTA BIZCOCHO VAINILLA 19cm"/>
    <x v="0"/>
    <s v="E1-BMP Enea"/>
    <n v="5976"/>
    <n v="841.18"/>
    <n v="5026891.68"/>
    <d v="2026-07-02T00:00:00"/>
    <n v="11987.44"/>
    <x v="2"/>
    <n v="0.49852178613615583"/>
    <n v="3995.8133333333335"/>
  </r>
  <r>
    <n v="107259"/>
    <s v="JARABE 3 LECHES SCHOLLE 10LT DIWATTS"/>
    <x v="0"/>
    <s v="E1-BMP Enea"/>
    <n v="1070"/>
    <n v="2190"/>
    <n v="2343300"/>
    <d v="2026-07-02T00:00:00"/>
    <n v="1124.4612"/>
    <x v="22"/>
    <n v="0.95156684819360604"/>
    <n v="562.23059999999998"/>
  </r>
  <r>
    <n v="107260"/>
    <s v="JARABE DE REMOJO OCTOBINS"/>
    <x v="0"/>
    <s v="E1-BMP Enea"/>
    <n v="5850"/>
    <n v="727.65"/>
    <n v="4256752.5"/>
    <d v="2026-07-02T00:00:00"/>
    <n v="5968"/>
    <x v="22"/>
    <n v="0.98022788203753353"/>
    <n v="2984"/>
  </r>
  <r>
    <n v="107278"/>
    <s v="JARABE DE REMOJO RON-NJA 40 BIDÓN 5 Lt"/>
    <x v="0"/>
    <s v="E1-BMP Enea"/>
    <n v="1860"/>
    <n v="720.8"/>
    <n v="1340688"/>
    <d v="2026-07-02T00:00:00"/>
    <n v="912.54166666666663"/>
    <x v="22"/>
    <n v="2.0382630930094519"/>
    <n v="304.18055555555554"/>
  </r>
  <r>
    <n v="107355"/>
    <s v="JUGO DE LIMÓN ALTA FRUTA"/>
    <x v="0"/>
    <s v="E1-BMP Enea"/>
    <n v="667"/>
    <n v="2818"/>
    <n v="1879606"/>
    <d v="2026-07-02T00:00:00"/>
    <n v="170.94736842105263"/>
    <x v="23"/>
    <n v="3.9017857142857144"/>
    <n v="85.473684210526315"/>
  </r>
  <r>
    <n v="405319"/>
    <s v="LAMINA ACETATO TRANSPARENTE 7x60 CM FPS"/>
    <x v="0"/>
    <s v="E1-BMP Enea"/>
    <n v="3500"/>
    <n v="256"/>
    <n v="896000"/>
    <d v="2026-07-02T00:00:00"/>
    <n v="241.66666666666666"/>
    <x v="8"/>
    <n v="14.482758620689657"/>
    <n v="241.66666666666669"/>
  </r>
  <r>
    <n v="107215"/>
    <s v="LECHE CONDENSADA NESTLE"/>
    <x v="0"/>
    <s v="E1-BMP Enea"/>
    <n v="282"/>
    <n v="3007.5"/>
    <n v="848115"/>
    <d v="2026-07-02T00:00:00"/>
    <n v="804.56"/>
    <x v="24"/>
    <n v="0.3505021378144576"/>
    <n v="402.28"/>
  </r>
  <r>
    <n v="107333"/>
    <s v="LECHE CONDENSADA UNTABLE NESTLE"/>
    <x v="0"/>
    <s v="E1-BMP Enea"/>
    <n v="54.81"/>
    <n v="4424.5"/>
    <n v="242506.845"/>
    <d v="2026-07-02T00:00:00"/>
    <n v="45.531818181818181"/>
    <x v="24"/>
    <n v="1.2037735849056603"/>
    <n v="22.765909090909091"/>
  </r>
  <r>
    <n v="405539"/>
    <s v="LECHE CONDENSADA WATTS"/>
    <x v="0"/>
    <s v="E1-BMP Enea"/>
    <n v="85"/>
    <n v="2950"/>
    <n v="250750"/>
    <d v="2026-07-02T00:00:00"/>
    <n v="110.74000000000001"/>
    <x v="24"/>
    <n v="0.76756366263319475"/>
    <n v="55.370000000000005"/>
  </r>
  <r>
    <n v="107109"/>
    <s v="MANJAR ARTESANAL DIWATTS"/>
    <x v="0"/>
    <s v="E1-BMP Enea"/>
    <n v="6105"/>
    <n v="2323"/>
    <n v="14181915"/>
    <d v="2026-07-02T00:00:00"/>
    <n v="8738.7999999999993"/>
    <x v="16"/>
    <n v="0.69860850460017399"/>
    <n v="4369.3999999999996"/>
  </r>
  <r>
    <n v="107331"/>
    <s v="MANTEQUILLA WATTS"/>
    <x v="0"/>
    <s v="E1-BMP Enea"/>
    <n v="80"/>
    <n v="5799.96"/>
    <n v="463996.8"/>
    <d v="2026-07-02T00:00:00"/>
    <n v="64.375"/>
    <x v="25"/>
    <n v="1.2427184466019416"/>
    <n v="32.1875"/>
  </r>
  <r>
    <n v="405700"/>
    <s v="MARGARINA MULTIPROPÓSITO HORNEO"/>
    <x v="0"/>
    <s v="E1-BMP Enea"/>
    <n v="615"/>
    <n v="1472.97"/>
    <n v="905876.55"/>
    <d v="2026-07-02T00:00:00"/>
    <n v="1800"/>
    <x v="25"/>
    <n v="0.34166666666666667"/>
    <n v="900"/>
  </r>
  <r>
    <n v="107001"/>
    <s v="MARRASQUINO ALTO LA CRUZ"/>
    <x v="0"/>
    <s v="E1-BMP Enea"/>
    <n v="342.88600000000002"/>
    <n v="5603.57"/>
    <n v="1921385.703"/>
    <d v="2026-07-02T00:00:00"/>
    <n v="166.44049999999996"/>
    <x v="9"/>
    <n v="2.0601115714023939"/>
    <n v="55.480166666666655"/>
  </r>
  <r>
    <n v="107324"/>
    <s v="MARRASQUINO FRUCOL"/>
    <x v="0"/>
    <s v="E1-BMP Enea"/>
    <n v="406.11399999999998"/>
    <n v="5177.6499999999996"/>
    <n v="2102716.1521000001"/>
    <d v="2026-07-02T00:00:00"/>
    <n v="161.75963636363633"/>
    <x v="9"/>
    <n v="2.5106015884398629"/>
    <n v="134.79969696969695"/>
  </r>
  <r>
    <n v="405408"/>
    <s v="MEDIA HOJARASCA OBERENA"/>
    <x v="0"/>
    <s v="E1-BMP Enea"/>
    <n v="252"/>
    <n v="116.8"/>
    <n v="29433.599999999999"/>
    <d v="2026-07-02T00:00:00"/>
    <n v="959.76"/>
    <x v="2"/>
    <n v="0.2625656414103526"/>
    <n v="319.92"/>
  </r>
  <r>
    <n v="405420"/>
    <s v="MEDIO DISCO CARTON BLANCO 19,5 JUMBO ARRIAZA"/>
    <x v="0"/>
    <s v="E1-BMP Enea"/>
    <n v="4000"/>
    <n v="13"/>
    <n v="52000"/>
    <d v="2026-07-02T00:00:00"/>
    <n v="2000"/>
    <x v="8"/>
    <n v="2"/>
    <n v="2000"/>
  </r>
  <r>
    <n v="107158"/>
    <s v="MER. MEL PIÑA BALDE 5 Kg"/>
    <x v="0"/>
    <s v="E1-BMP Enea"/>
    <n v="800"/>
    <n v="3390.94"/>
    <n v="2712752"/>
    <d v="2026-07-02T00:00:00"/>
    <n v="585.79999999999995"/>
    <x v="6"/>
    <n v="1.3656538067599864"/>
    <n v="195.26666666666665"/>
  </r>
  <r>
    <n v="107112"/>
    <s v="MERENGUE PURATOS"/>
    <x v="0"/>
    <s v="E1-BMP Enea"/>
    <n v="1305"/>
    <n v="2712.91"/>
    <n v="3540347.55"/>
    <d v="2026-07-02T00:00:00"/>
    <n v="1016"/>
    <x v="2"/>
    <n v="1.2844488188976377"/>
    <n v="508"/>
  </r>
  <r>
    <n v="107211"/>
    <s v="MERENGUITOS PAVESI"/>
    <x v="0"/>
    <s v="E1-BMP Enea"/>
    <n v="117.5"/>
    <n v="13006.37"/>
    <n v="1528248.4750000001"/>
    <d v="2026-07-02T00:00:00"/>
    <n v="35"/>
    <x v="2"/>
    <n v="3.3571428571428572"/>
    <n v="17.5"/>
  </r>
  <r>
    <n v="170173"/>
    <s v="MERM. EBEL GRANDES CONSUMIDORES FRUTILLA BALDE 5 Kg"/>
    <x v="0"/>
    <s v="E1-BMP Enea"/>
    <n v="900"/>
    <n v="2035.19"/>
    <n v="1831671"/>
    <d v="2026-07-02T00:00:00"/>
    <n v="263.48"/>
    <x v="6"/>
    <n v="3.4158190374981019"/>
    <n v="87.826666666666668"/>
  </r>
  <r>
    <n v="107157"/>
    <s v="MERM. EBEL GUINDA (ET. VERDE) BL 5 Kg"/>
    <x v="0"/>
    <s v="E1-BMP Enea"/>
    <n v="1735"/>
    <n v="2098.8000000000002"/>
    <n v="3641418"/>
    <d v="2026-07-02T00:00:00"/>
    <n v="884.77272727272725"/>
    <x v="6"/>
    <n v="1.9609555612638068"/>
    <n v="294.92424242424244"/>
  </r>
  <r>
    <n v="405447"/>
    <s v="MERM. LAMARKA MARACUYA BALDE 5 Kg"/>
    <x v="0"/>
    <s v="E1-BMP Enea"/>
    <n v="504"/>
    <n v="2928.13"/>
    <n v="1475777.52"/>
    <d v="2026-07-02T00:00:00"/>
    <n v="0"/>
    <x v="6"/>
    <n v="0"/>
    <n v="0"/>
  </r>
  <r>
    <n v="107172"/>
    <s v="MERM. MEL DURAZNO ENT. BALDE 5 Kg"/>
    <x v="0"/>
    <s v="E1-BMP Enea"/>
    <n v="985"/>
    <n v="2018.24"/>
    <n v="1987966.4"/>
    <d v="2026-07-02T00:00:00"/>
    <n v="643.92857142857144"/>
    <x v="6"/>
    <n v="1.5296727676095396"/>
    <n v="214.64285714285714"/>
  </r>
  <r>
    <n v="107129"/>
    <s v="MERM. MEL FRAMBUESA QUINTA BALDE 5 Kg"/>
    <x v="0"/>
    <s v="E1-BMP Enea"/>
    <n v="1455"/>
    <n v="4316.32"/>
    <n v="6280245.5999999996"/>
    <d v="2026-07-02T00:00:00"/>
    <n v="1749.28"/>
    <x v="6"/>
    <n v="0.83177078569468588"/>
    <n v="583.09333333333336"/>
  </r>
  <r>
    <n v="107113"/>
    <s v="MERM. MEL GUINDA ÁCIDA QUINTA BALDE 5 Kg"/>
    <x v="0"/>
    <s v="E1-BMP Enea"/>
    <n v="1475"/>
    <n v="3294.48"/>
    <n v="4859358"/>
    <d v="2026-07-02T00:00:00"/>
    <n v="494.25"/>
    <x v="6"/>
    <n v="2.9843196762771877"/>
    <n v="164.75"/>
  </r>
  <r>
    <n v="107193"/>
    <s v="MERMELADA DE FRAMBUESA EBEL"/>
    <x v="0"/>
    <s v="E1-BMP Enea"/>
    <n v="1970"/>
    <n v="3837.2"/>
    <n v="7559284"/>
    <d v="2026-07-02T00:00:00"/>
    <n v="1001.04"/>
    <x v="6"/>
    <n v="1.9679533285383202"/>
    <n v="333.68"/>
  </r>
  <r>
    <n v="405723"/>
    <s v="NECTAR SABOR NARANJA WATTS"/>
    <x v="0"/>
    <s v="E1-BMP Enea"/>
    <n v="73.5"/>
    <n v="828.9"/>
    <n v="60924.15"/>
    <d v="2026-07-02T00:00:00"/>
    <n v="15"/>
    <x v="23"/>
    <n v="4.9000000000000004"/>
    <n v="7.5"/>
  </r>
  <r>
    <n v="107280"/>
    <s v="NUEVO BRILLO PARA CONGELADO PURATOS"/>
    <x v="0"/>
    <s v="E1-BMP Enea"/>
    <n v="1368"/>
    <n v="2750"/>
    <n v="3762000"/>
    <d v="2026-07-02T00:00:00"/>
    <n v="588.29480000000001"/>
    <x v="6"/>
    <n v="2.3253647661002614"/>
    <n v="294.1474"/>
  </r>
  <r>
    <n v="405650"/>
    <s v="NUEZ MARIPOSA CLARA CAMPOS"/>
    <x v="0"/>
    <s v="E1-BMP Enea"/>
    <n v="30"/>
    <n v="7990"/>
    <n v="239700"/>
    <d v="2026-07-02T00:00:00"/>
    <n v="6.3636363636363633"/>
    <x v="1"/>
    <n v="4.7142857142857144"/>
    <n v="2.1212121212121211"/>
  </r>
  <r>
    <n v="402130"/>
    <s v="NUEZ PICADILLO LAS TRES ERRES"/>
    <x v="0"/>
    <s v="E1-BMP Enea"/>
    <n v="15"/>
    <n v="5000"/>
    <n v="75000"/>
    <d v="2026-07-02T00:00:00"/>
    <n v="17.857142857142858"/>
    <x v="1"/>
    <n v="0.84"/>
    <n v="5.9523809523809526"/>
  </r>
  <r>
    <n v="405507"/>
    <s v="OREO MEDIUM CRUMBS (TROZOS) ALCA"/>
    <x v="0"/>
    <s v="E1-BMP Enea"/>
    <n v="136.77199999999999"/>
    <n v="5312.5"/>
    <n v="726601.25"/>
    <d v="2026-07-02T00:00:00"/>
    <n v="161.61904761904762"/>
    <x v="14"/>
    <n v="0.84626163818503231"/>
    <n v="80.80952380952381"/>
  </r>
  <r>
    <n v="393399"/>
    <s v="PALITOS DE CHOCOLATE PURATOS"/>
    <x v="0"/>
    <s v="E1-BMP Enea"/>
    <n v="68"/>
    <n v="57964.59"/>
    <n v="3941592.12"/>
    <d v="2026-07-02T00:00:00"/>
    <n v="3.8359999999999999"/>
    <x v="4"/>
    <n v="17.726798748696559"/>
    <n v="1.9179999999999999"/>
  </r>
  <r>
    <n v="107346"/>
    <s v="PIÑA EN CUBOS LAS PERDICES"/>
    <x v="0"/>
    <s v="E1-BMP Enea"/>
    <n v="1201.5"/>
    <n v="3045.24"/>
    <n v="3658855.86"/>
    <d v="2026-07-02T00:00:00"/>
    <n v="1356.4072000000001"/>
    <x v="9"/>
    <n v="0.8857959468218688"/>
    <n v="452.13573333333335"/>
  </r>
  <r>
    <n v="107117"/>
    <s v="PIÑA EN RODAJAS ALTO LA CRUZ"/>
    <x v="0"/>
    <s v="E1-BMP Enea"/>
    <n v="1195.73"/>
    <n v="2569.83"/>
    <n v="3072822.8259000001"/>
    <d v="2026-07-02T00:00:00"/>
    <n v="344.22700000000003"/>
    <x v="9"/>
    <n v="3.4736670859636227"/>
    <n v="172.11350000000002"/>
  </r>
  <r>
    <n v="405607"/>
    <s v="PISTACHO S/CASCARA TRES ERRES"/>
    <x v="0"/>
    <s v="E1-BMP Enea"/>
    <n v="25"/>
    <n v="34000"/>
    <n v="850000"/>
    <d v="2026-07-02T00:00:00"/>
    <n v="3.3333333333333335"/>
    <x v="6"/>
    <n v="7.5"/>
    <n v="1.1111111111111112"/>
  </r>
  <r>
    <n v="405530"/>
    <s v="PISTACHO TROZO TOSTADO SIN SAL GRUPO CAMPOS"/>
    <x v="0"/>
    <s v="E1-BMP Enea"/>
    <n v="12"/>
    <n v="39990"/>
    <n v="479880"/>
    <d v="2026-07-02T00:00:00"/>
    <n v="0"/>
    <x v="4"/>
    <n v="0"/>
    <n v="0"/>
  </r>
  <r>
    <n v="107316"/>
    <s v="PLANCHA DE CARTON 1X1,20 ASTRA"/>
    <x v="0"/>
    <s v="E1-BMP Enea"/>
    <n v="120"/>
    <n v="611"/>
    <n v="73320"/>
    <d v="2026-07-02T00:00:00"/>
    <n v="848.92695239999989"/>
    <x v="8"/>
    <n v="0.14135491830097774"/>
    <n v="2122.3173809999998"/>
  </r>
  <r>
    <n v="405793"/>
    <s v="PLANCHA DE CARTON 1X1,20 FULL CARTON"/>
    <x v="0"/>
    <s v="E1-BMP Enea"/>
    <n v="1260"/>
    <n v="617.33000000000004"/>
    <n v="777835.8"/>
    <d v="2026-07-02T00:00:00"/>
    <n v="1200"/>
    <x v="8"/>
    <n v="1.05"/>
    <n v="3000"/>
  </r>
  <r>
    <n v="405570"/>
    <s v="PM CREAM VELVET BAKELS"/>
    <x v="0"/>
    <s v="E1-BMP Enea"/>
    <n v="3210"/>
    <n v="1500"/>
    <n v="4815000"/>
    <d v="2026-07-02T00:00:00"/>
    <n v="1104.6153846153845"/>
    <x v="21"/>
    <n v="2.905988857938719"/>
    <n v="552.30769230769226"/>
  </r>
  <r>
    <n v="353003"/>
    <s v="Porción vainilla  Semi-Elab UND"/>
    <x v="0"/>
    <s v="E1-BMP Enea"/>
    <n v="9"/>
    <n v="6309.22"/>
    <n v="56782.98"/>
    <d v="2026-07-02T00:00:00"/>
    <n v="25.28"/>
    <x v="2"/>
    <n v="0.35601265822784811"/>
    <n v="8.4266666666666676"/>
  </r>
  <r>
    <n v="107095"/>
    <s v="PURE DE LUCUMA (ET. VERDE) BALDE 4,5 Kg"/>
    <x v="0"/>
    <s v="E1-BMP Enea"/>
    <n v="2790"/>
    <n v="4446.7"/>
    <n v="12406293"/>
    <d v="2026-07-02T00:00:00"/>
    <n v="1817.1008000000002"/>
    <x v="6"/>
    <n v="1.5354128950909052"/>
    <n v="605.70026666666672"/>
  </r>
  <r>
    <n v="405436"/>
    <s v="PURE DE MANZANA BALDE 4,5 Kg MEL"/>
    <x v="0"/>
    <s v="E1-BMP Enea"/>
    <n v="164.5"/>
    <n v="2428.58"/>
    <n v="399501.41"/>
    <d v="2026-07-02T00:00:00"/>
    <n v="191.67272727272729"/>
    <x v="6"/>
    <n v="0.85823373173970774"/>
    <n v="63.890909090909098"/>
  </r>
  <r>
    <n v="405133"/>
    <s v="RALLADO NEGRO 3mm ZUKKER"/>
    <x v="0"/>
    <s v="E1-BMP Enea"/>
    <n v="793"/>
    <n v="5887"/>
    <n v="4668391"/>
    <d v="2026-07-02T00:00:00"/>
    <n v="173.625"/>
    <x v="4"/>
    <n v="4.5673146148308135"/>
    <n v="115.75"/>
  </r>
  <r>
    <n v="405556"/>
    <s v="RELLENO CHOCOLATE CREAM BAKELS"/>
    <x v="0"/>
    <s v="E1-BMP Enea"/>
    <n v="414"/>
    <n v="3299.98"/>
    <n v="1366191.72"/>
    <d v="2026-07-02T00:00:00"/>
    <n v="335.5"/>
    <x v="6"/>
    <n v="1.2339791356184799"/>
    <n v="111.83333333333333"/>
  </r>
  <r>
    <n v="107204"/>
    <s v="RELLENO PIE MARACUYÁ BALDE 4,5 Kg"/>
    <x v="0"/>
    <s v="E1-BMP Enea"/>
    <n v="297"/>
    <n v="3304.61"/>
    <n v="981469.17"/>
    <d v="2026-07-02T00:00:00"/>
    <n v="120.6"/>
    <x v="6"/>
    <n v="2.4626865671641793"/>
    <n v="40.199999999999996"/>
  </r>
  <r>
    <n v="405537"/>
    <s v="RELLENO PISTACHO SIN TROZOS CERRILLOS"/>
    <x v="0"/>
    <s v="E1-BMP Enea"/>
    <n v="60"/>
    <n v="9990"/>
    <n v="599400"/>
    <d v="2026-07-02T00:00:00"/>
    <n v="0"/>
    <x v="6"/>
    <n v="0"/>
    <n v="0"/>
  </r>
  <r>
    <n v="107262"/>
    <s v="REMOJO 3 LECHES RICHI"/>
    <x v="0"/>
    <s v="E1-BMP Enea"/>
    <n v="716.23"/>
    <n v="1987.9"/>
    <n v="1423793.6170000001"/>
    <d v="2026-07-02T00:00:00"/>
    <n v="583.25078260869566"/>
    <x v="22"/>
    <n v="1.2279966377353675"/>
    <n v="194.4169275362319"/>
  </r>
  <r>
    <n v="170180"/>
    <s v="REMOJO DULCERÍO 10 LITROS PURATOS"/>
    <x v="0"/>
    <s v="E1-BMP Enea"/>
    <n v="2180"/>
    <n v="1930"/>
    <n v="4207400"/>
    <d v="2026-07-02T00:00:00"/>
    <n v="1332.1856"/>
    <x v="6"/>
    <n v="1.6364086205405612"/>
    <n v="666.09280000000001"/>
  </r>
  <r>
    <n v="107148"/>
    <s v="SABOR AROMA LUCUMA FRANCIAAROMA"/>
    <x v="0"/>
    <s v="E1-BMP Enea"/>
    <n v="20"/>
    <n v="20900"/>
    <n v="418000"/>
    <d v="2026-07-02T00:00:00"/>
    <n v="21.25"/>
    <x v="1"/>
    <n v="0.94117647058823528"/>
    <n v="14.166666666666666"/>
  </r>
  <r>
    <n v="107246"/>
    <s v="SALSA DE FRAMBUESA MEL"/>
    <x v="0"/>
    <s v="E1-BMP Enea"/>
    <n v="195"/>
    <n v="4334.01"/>
    <n v="845131.95"/>
    <d v="2026-07-02T00:00:00"/>
    <n v="53.75"/>
    <x v="6"/>
    <n v="3.6279069767441858"/>
    <n v="17.916666666666668"/>
  </r>
  <r>
    <n v="107275"/>
    <s v="SALSA DE GUINDA BALDE 5 Kg"/>
    <x v="0"/>
    <s v="E1-BMP Enea"/>
    <n v="635"/>
    <n v="5524.72"/>
    <n v="3508197.2"/>
    <d v="2026-07-02T00:00:00"/>
    <n v="668.6"/>
    <x v="6"/>
    <n v="0.94974573736165113"/>
    <n v="222.86666666666667"/>
  </r>
  <r>
    <n v="405651"/>
    <s v="SEMILLA DE AMAPOLA CAMPOS"/>
    <x v="0"/>
    <s v="E1-BMP Enea"/>
    <n v="50"/>
    <n v="6990.04"/>
    <n v="349502"/>
    <d v="2026-07-02T00:00:00"/>
    <n v="15.555555555555555"/>
    <x v="1"/>
    <n v="3.2142857142857144"/>
    <n v="5.1851851851851851"/>
  </r>
  <r>
    <n v="401015"/>
    <s v="STRECH FILM AMARILLO"/>
    <x v="0"/>
    <s v="E1-BMP Enea"/>
    <n v="8"/>
    <n v="3930.88"/>
    <n v="31447.040000000001"/>
    <d v="2026-07-02T00:00:00"/>
    <n v="7.7142857142857144"/>
    <x v="18"/>
    <n v="1.037037037037037"/>
    <n v="5.1428571428571432"/>
  </r>
  <r>
    <n v="401013"/>
    <s v="STRECH FILM AZUL"/>
    <x v="0"/>
    <s v="E1-BMP Enea"/>
    <n v="28"/>
    <n v="3960"/>
    <n v="110880"/>
    <d v="2026-07-02T00:00:00"/>
    <n v="16.363636363636363"/>
    <x v="18"/>
    <n v="1.7111111111111112"/>
    <n v="10.909090909090908"/>
  </r>
  <r>
    <n v="401010"/>
    <s v="STRECH FILM BLANCO"/>
    <x v="0"/>
    <s v="E1-BMP Enea"/>
    <n v="21"/>
    <n v="3944.71"/>
    <n v="82838.91"/>
    <d v="2026-07-02T00:00:00"/>
    <n v="8.625"/>
    <x v="18"/>
    <n v="2.4347826086956523"/>
    <n v="5.75"/>
  </r>
  <r>
    <n v="401011"/>
    <s v="STRECH FILM NEGRO"/>
    <x v="0"/>
    <s v="E1-BMP Enea"/>
    <n v="251"/>
    <n v="3934.96"/>
    <n v="987674.96"/>
    <d v="2026-07-02T00:00:00"/>
    <n v="7.7142857142857144"/>
    <x v="18"/>
    <n v="32.537037037037038"/>
    <n v="5.1428571428571432"/>
  </r>
  <r>
    <n v="401019"/>
    <s v="STRECH FILM ROJO"/>
    <x v="0"/>
    <s v="E1-BMP Enea"/>
    <n v="100"/>
    <n v="3833.38"/>
    <n v="383338"/>
    <d v="2026-07-02T00:00:00"/>
    <n v="6"/>
    <x v="18"/>
    <n v="16.666666666666668"/>
    <n v="4"/>
  </r>
  <r>
    <n v="401012"/>
    <s v="STRECH FILM VERDE"/>
    <x v="0"/>
    <s v="E1-BMP Enea"/>
    <n v="39"/>
    <n v="3946.33"/>
    <n v="153906.87"/>
    <d v="2026-07-02T00:00:00"/>
    <n v="8"/>
    <x v="18"/>
    <n v="4.875"/>
    <n v="5.333333333333333"/>
  </r>
  <r>
    <n v="393040"/>
    <s v="SUB DISCO HOJA 15 PP"/>
    <x v="0"/>
    <s v="E1-BMP Enea"/>
    <n v="8100"/>
    <n v="181.3"/>
    <n v="1468530"/>
    <d v="2026-07-02T00:00:00"/>
    <n v="31872.799999999999"/>
    <x v="2"/>
    <n v="0.25413518736979496"/>
    <n v="10624.266666666666"/>
  </r>
  <r>
    <n v="393427"/>
    <s v="TARTALETA FAMILIAR RECETA TRADICIONAL"/>
    <x v="0"/>
    <s v="E1-BMP Enea"/>
    <n v="1632"/>
    <n v="533.09"/>
    <n v="870002.88"/>
    <d v="2026-07-02T00:00:00"/>
    <n v="3630.28"/>
    <x v="2"/>
    <n v="0.44955210066441154"/>
    <n v="1210.0933333333335"/>
  </r>
  <r>
    <n v="393349"/>
    <s v="Tartaleta mediana semi-elab"/>
    <x v="0"/>
    <s v="E1-BMP Enea"/>
    <n v="2040"/>
    <n v="395.12"/>
    <n v="806044.8"/>
    <d v="2026-07-02T00:00:00"/>
    <n v="1426.56"/>
    <x v="2"/>
    <n v="1.430013458950202"/>
    <n v="475.52"/>
  </r>
  <r>
    <n v="405371"/>
    <s v="TRIANGULO BLANCO #45 MARMOLEADO NEGRO"/>
    <x v="0"/>
    <s v="E1-BMP Enea"/>
    <n v="7200"/>
    <n v="45"/>
    <n v="324000"/>
    <d v="2026-07-02T00:00:00"/>
    <n v="2496"/>
    <x v="4"/>
    <n v="2.8846153846153846"/>
    <n v="1664"/>
  </r>
  <r>
    <n v="405134"/>
    <s v="TRIANGULO NEGRO 45mm ZUKKER"/>
    <x v="0"/>
    <s v="E1-BMP Enea"/>
    <n v="20400"/>
    <n v="36"/>
    <n v="734400"/>
    <d v="2026-07-02T00:00:00"/>
    <n v="7200"/>
    <x v="4"/>
    <n v="2.8333333333333335"/>
    <n v="4800"/>
  </r>
  <r>
    <n v="405683"/>
    <s v="TRIANGULO VERDE #85 MARMOLEADO AMARILLO"/>
    <x v="0"/>
    <s v="E1-BMP Enea"/>
    <n v="6536"/>
    <n v="138"/>
    <n v="901968"/>
    <d v="2026-07-02T00:00:00"/>
    <n v="1190.3"/>
    <x v="4"/>
    <n v="5.4910526757960181"/>
    <n v="1388.6833333333334"/>
  </r>
  <r>
    <n v="107102"/>
    <s v="TRUFA CHOCOLATE PURATOS"/>
    <x v="0"/>
    <s v="E1-BMP Enea"/>
    <n v="1288"/>
    <n v="3120"/>
    <n v="4018560"/>
    <d v="2026-07-02T00:00:00"/>
    <n v="950.82352941176475"/>
    <x v="9"/>
    <n v="1.3546151942588467"/>
    <n v="475.41176470588232"/>
  </r>
  <r>
    <n v="405533"/>
    <s v="ULTRA RICH CLASICA UHT"/>
    <x v="0"/>
    <s v="E1-BMP Enea"/>
    <n v="676.06"/>
    <n v="2266"/>
    <n v="1531951.96"/>
    <d v="2026-07-02T00:00:00"/>
    <n v="1132.4775999999999"/>
    <x v="15"/>
    <n v="0.59697428010938136"/>
    <n v="566.23879999999997"/>
  </r>
  <r>
    <n v="405590"/>
    <s v="VASOS CONO PAPEL FOOD PACK"/>
    <x v="0"/>
    <s v="E1-BMP Enea"/>
    <n v="20000"/>
    <n v="12.2"/>
    <n v="244000"/>
    <d v="2026-07-02T00:00:00"/>
    <n v="0"/>
    <x v="8"/>
    <n v="0"/>
    <n v="0"/>
  </r>
  <r>
    <n v="107164"/>
    <s v="YOGURT FRUTILLA DIWATTS"/>
    <x v="0"/>
    <s v="E1-BMP Enea"/>
    <n v="1367.62"/>
    <n v="1129"/>
    <n v="1544042.98"/>
    <d v="2026-07-02T00:00:00"/>
    <n v="1029.8552"/>
    <x v="26"/>
    <n v="1.3279730975772128"/>
    <n v="514.92759999999998"/>
  </r>
  <r>
    <n v="405797"/>
    <s v="ZANAHORIA BABY 454 GR AGROSANO"/>
    <x v="0"/>
    <s v="E1-BMP Enea"/>
    <n v="29.952000000000002"/>
    <n v="7709.3"/>
    <n v="230908.95360000001"/>
    <d v="2026-07-02T00:00:00"/>
    <n v="5.9939999999999998"/>
    <x v="19"/>
    <n v="4.9969969969969972"/>
    <n v="3.996"/>
  </r>
  <r>
    <n v="104006"/>
    <s v="AZUCAR GRANULADA EGC"/>
    <x v="1"/>
    <s v="P1-BMP Puerto Vespucio"/>
    <n v="310"/>
    <n v="900"/>
    <n v="279000"/>
    <d v="2026-07-02T00:00:00"/>
    <n v="301.60000000000002"/>
    <x v="0"/>
    <n v="1.0278514588859415"/>
    <n v="100.53333333333335"/>
  </r>
  <r>
    <n v="104004"/>
    <s v="AZUCAR RUBIA EGC"/>
    <x v="1"/>
    <s v="P1-BMP Puerto Vespucio"/>
    <n v="94"/>
    <n v="1239.49"/>
    <n v="116512.06"/>
    <d v="2026-07-02T00:00:00"/>
    <n v="0"/>
    <x v="0"/>
    <n v="0"/>
    <n v="0"/>
  </r>
  <r>
    <n v="405445"/>
    <s v="BASE TORTA 15PP ALTA COEXPAN"/>
    <x v="1"/>
    <s v="P1-BMP Puerto Vespucio"/>
    <n v="7200"/>
    <n v="93.6"/>
    <n v="673920"/>
    <d v="2026-07-02T00:00:00"/>
    <n v="20130.434782608696"/>
    <x v="3"/>
    <n v="0.35766738660907127"/>
    <n v="6710.144927536232"/>
  </r>
  <r>
    <n v="403338"/>
    <s v="BLISTER 7189 1 PASTEL DEANDES"/>
    <x v="1"/>
    <s v="P1-BMP Puerto Vespucio"/>
    <n v="9000"/>
    <n v="49.44"/>
    <n v="444960"/>
    <d v="2026-07-02T00:00:00"/>
    <n v="23824"/>
    <x v="3"/>
    <n v="0.37777031564808594"/>
    <n v="11912"/>
  </r>
  <r>
    <n v="103104"/>
    <s v="ACEITE VEGETAL 5000 CC. EGC"/>
    <x v="1"/>
    <s v="P1-BMP Puerto Vespucio"/>
    <n v="2240"/>
    <n v="1600"/>
    <n v="3584000"/>
    <d v="2026-07-02T00:00:00"/>
    <n v="208.32"/>
    <x v="27"/>
    <n v="10.752688172043012"/>
    <n v="69.44"/>
  </r>
  <r>
    <n v="405418"/>
    <s v="AZUCAR FLOR 5KG MEL ALIMENTOS"/>
    <x v="1"/>
    <s v="P1-BMP Puerto Vespucio"/>
    <n v="550"/>
    <n v="1371.64"/>
    <n v="754402"/>
    <d v="2026-07-02T00:00:00"/>
    <n v="457.4"/>
    <x v="0"/>
    <n v="1.2024486226497595"/>
    <n v="152.46666666666667"/>
  </r>
  <r>
    <n v="400101"/>
    <s v="BOLSA 30X32 CM 35 MICRAS"/>
    <x v="1"/>
    <s v="P1-BMP Puerto Vespucio"/>
    <n v="77749"/>
    <n v="22.5"/>
    <n v="1749352.5"/>
    <d v="2026-07-02T00:00:00"/>
    <n v="5768.181818181818"/>
    <x v="5"/>
    <n v="13.478944050433412"/>
    <n v="4806.818181818182"/>
  </r>
  <r>
    <n v="501114"/>
    <s v="BOLSA COLOR AZUL 100 X 120 X 0,035 SIGNO"/>
    <x v="1"/>
    <s v="P1-BMP Puerto Vespucio"/>
    <n v="5000"/>
    <n v="158"/>
    <n v="790000"/>
    <d v="2026-07-02T00:00:00"/>
    <n v="1000"/>
    <x v="10"/>
    <n v="5"/>
    <n v="1166.6666666666665"/>
  </r>
  <r>
    <n v="400205"/>
    <s v="BOLSA PEBD 40x42 CM x35 MICRAS"/>
    <x v="1"/>
    <s v="P1-BMP Puerto Vespucio"/>
    <n v="26000"/>
    <n v="39.33"/>
    <n v="1022580"/>
    <d v="2026-07-02T00:00:00"/>
    <n v="5800"/>
    <x v="5"/>
    <n v="4.4827586206896548"/>
    <n v="4833.333333333333"/>
  </r>
  <r>
    <n v="400202"/>
    <s v="BOLSA PREPICADA 50x75"/>
    <x v="1"/>
    <s v="P1-BMP Puerto Vespucio"/>
    <n v="245"/>
    <n v="2643.75"/>
    <n v="647718.75"/>
    <d v="2026-07-02T00:00:00"/>
    <n v="18.571428571428573"/>
    <x v="5"/>
    <n v="13.192307692307692"/>
    <n v="15.476190476190476"/>
  </r>
  <r>
    <n v="400203"/>
    <s v="BOLSA PREPICADA BANDEJA (22+60+22)104x90"/>
    <x v="1"/>
    <s v="P1-BMP Puerto Vespucio"/>
    <n v="455"/>
    <n v="2564.0500000000002"/>
    <n v="1166642.75"/>
    <d v="2026-07-02T00:00:00"/>
    <n v="181.16666666666666"/>
    <x v="5"/>
    <n v="2.5114995400183995"/>
    <n v="150.97222222222223"/>
  </r>
  <r>
    <n v="403245"/>
    <s v="Borde G 220x25 VERTIENTES"/>
    <x v="1"/>
    <s v="P1-BMP Puerto Vespucio"/>
    <n v="4420"/>
    <n v="160"/>
    <n v="707200"/>
    <d v="2026-07-02T00:00:00"/>
    <n v="6692.5"/>
    <x v="8"/>
    <n v="0.66044079193126637"/>
    <n v="4461.666666666667"/>
  </r>
  <r>
    <n v="107120"/>
    <s v="BRILLO FRIO RTU PURATOS"/>
    <x v="1"/>
    <s v="P1-BMP Puerto Vespucio"/>
    <n v="459"/>
    <n v="1829.97"/>
    <n v="839956.23"/>
    <d v="2026-07-02T00:00:00"/>
    <n v="292.86"/>
    <x v="6"/>
    <n v="1.5673017824216349"/>
    <n v="195.24"/>
  </r>
  <r>
    <n v="107367"/>
    <s v="CAJA DE ENCOMIENDA (EN) SYCOR"/>
    <x v="1"/>
    <s v="P1-BMP Puerto Vespucio"/>
    <n v="400"/>
    <n v="890.76"/>
    <n v="356304"/>
    <d v="2026-07-02T00:00:00"/>
    <n v="450"/>
    <x v="7"/>
    <n v="0.88888888888888884"/>
    <n v="1125"/>
  </r>
  <r>
    <n v="405696"/>
    <s v="CAJA PASTELES 600X325X120 ASTRA"/>
    <x v="1"/>
    <s v="P1-BMP Puerto Vespucio"/>
    <n v="100"/>
    <n v="600"/>
    <n v="60000"/>
    <d v="2026-07-02T00:00:00"/>
    <n v="500"/>
    <x v="7"/>
    <n v="0.2"/>
    <n v="1250"/>
  </r>
  <r>
    <n v="405794"/>
    <s v="CAJA PASTELES 600X325X120 FULL CARTON"/>
    <x v="1"/>
    <s v="P1-BMP Puerto Vespucio"/>
    <n v="1117"/>
    <n v="600"/>
    <n v="670200"/>
    <d v="2026-07-02T00:00:00"/>
    <n v="0"/>
    <x v="8"/>
    <n v="0"/>
    <n v="0"/>
  </r>
  <r>
    <n v="405503"/>
    <s v="CAJA PASTELES ASTRA"/>
    <x v="1"/>
    <s v="P1-BMP Puerto Vespucio"/>
    <n v="500"/>
    <n v="407"/>
    <n v="203500"/>
    <d v="2026-07-02T00:00:00"/>
    <n v="890.5"/>
    <x v="7"/>
    <n v="0.56148231330713083"/>
    <n v="2226.25"/>
  </r>
  <r>
    <n v="107365"/>
    <s v="CAJA PRODUCTO SECO (PS) SYCOR"/>
    <x v="1"/>
    <s v="P1-BMP Puerto Vespucio"/>
    <n v="2501"/>
    <n v="493"/>
    <n v="1232993"/>
    <d v="2026-07-02T00:00:00"/>
    <n v="549.08333333333337"/>
    <x v="7"/>
    <n v="4.5548641675519805"/>
    <n v="1372.7083333333335"/>
  </r>
  <r>
    <n v="405790"/>
    <s v="CAJA PTG 15PP JUMBO FULL CARTON"/>
    <x v="1"/>
    <s v="P1-BMP Puerto Vespucio"/>
    <n v="500"/>
    <n v="562.6"/>
    <n v="281300"/>
    <d v="2026-07-02T00:00:00"/>
    <n v="0"/>
    <x v="8"/>
    <n v="0"/>
    <n v="0"/>
  </r>
  <r>
    <n v="402251"/>
    <s v="CAJA PTG 15PP JUMBO VTM SUR"/>
    <x v="1"/>
    <s v="P1-BMP Puerto Vespucio"/>
    <n v="500"/>
    <n v="566.26"/>
    <n v="283130"/>
    <d v="2026-07-02T00:00:00"/>
    <n v="536.36363636363637"/>
    <x v="7"/>
    <n v="0.93220338983050843"/>
    <n v="1340.9090909090908"/>
  </r>
  <r>
    <n v="405791"/>
    <s v="CAJA PTG 15PP SISA FULL CARTON"/>
    <x v="1"/>
    <s v="P1-BMP Puerto Vespucio"/>
    <n v="2500"/>
    <n v="562.6"/>
    <n v="1406500"/>
    <d v="2026-07-02T00:00:00"/>
    <n v="0"/>
    <x v="8"/>
    <n v="0"/>
    <n v="0"/>
  </r>
  <r>
    <n v="405792"/>
    <s v="CAJA TORTA MEDIANA FULL CARTON"/>
    <x v="1"/>
    <s v="P1-BMP Puerto Vespucio"/>
    <n v="700"/>
    <n v="510.22"/>
    <n v="357154"/>
    <d v="2026-07-02T00:00:00"/>
    <n v="700"/>
    <x v="8"/>
    <n v="1"/>
    <n v="1750"/>
  </r>
  <r>
    <n v="106302"/>
    <s v="CANELA EN POLVO ALTO LA CRUZ"/>
    <x v="1"/>
    <s v="P1-BMP Puerto Vespucio"/>
    <n v="89"/>
    <n v="9777.9699999999993"/>
    <n v="870239.33"/>
    <d v="2026-07-02T00:00:00"/>
    <n v="2.4583333333333335"/>
    <x v="1"/>
    <n v="36.20338983050847"/>
    <n v="1.2291666666666667"/>
  </r>
  <r>
    <n v="403219"/>
    <s v="CAPSULA OVALADA N° 10 ARRIAZA"/>
    <x v="1"/>
    <s v="P1-BMP Puerto Vespucio"/>
    <n v="51000"/>
    <n v="6.1"/>
    <n v="311100"/>
    <d v="2026-07-02T00:00:00"/>
    <n v="22200"/>
    <x v="3"/>
    <n v="2.2972972972972974"/>
    <n v="11100"/>
  </r>
  <r>
    <n v="405728"/>
    <s v="CINTA BICOLOR NARANJA ZUKKER"/>
    <x v="1"/>
    <s v="P1-BMP Puerto Vespucio"/>
    <n v="3"/>
    <n v="13497"/>
    <n v="40491"/>
    <d v="2026-07-02T00:00:00"/>
    <n v="31.076923076923077"/>
    <x v="4"/>
    <n v="9.6534653465346537E-2"/>
    <n v="31.07692307692308"/>
  </r>
  <r>
    <n v="402255"/>
    <s v="CINTA DE EMBALAJE 72x100 SOLUTION"/>
    <x v="1"/>
    <s v="P1-BMP Puerto Vespucio"/>
    <n v="940"/>
    <n v="1290"/>
    <n v="1212600"/>
    <d v="2026-07-02T00:00:00"/>
    <n v="80.16"/>
    <x v="11"/>
    <n v="11.726546906187625"/>
    <n v="40.08"/>
  </r>
  <r>
    <n v="107134"/>
    <s v="COCO RALLADO ALTO LA CRUZ"/>
    <x v="1"/>
    <s v="P1-BMP Puerto Vespucio"/>
    <n v="85"/>
    <n v="3599.96"/>
    <n v="305996.59999999998"/>
    <d v="2026-07-02T00:00:00"/>
    <n v="44.583333333333336"/>
    <x v="1"/>
    <n v="1.9065420560747663"/>
    <n v="22.291666666666668"/>
  </r>
  <r>
    <n v="405304"/>
    <s v="COLORANTE ROJO POLVO"/>
    <x v="1"/>
    <s v="P1-BMP Puerto Vespucio"/>
    <n v="55"/>
    <n v="10134"/>
    <n v="557370"/>
    <d v="2026-07-02T00:00:00"/>
    <n v="10"/>
    <x v="28"/>
    <n v="5.5"/>
    <n v="6.666666666666667"/>
  </r>
  <r>
    <n v="107300"/>
    <s v="COMBO 88 ALTA 12 PP MOLDES PAC"/>
    <x v="1"/>
    <s v="P1-BMP Puerto Vespucio"/>
    <n v="1050"/>
    <n v="213"/>
    <n v="223650"/>
    <d v="2026-07-02T00:00:00"/>
    <n v="7896.666666666667"/>
    <x v="3"/>
    <n v="0.13296749683410722"/>
    <n v="2632.2222222222222"/>
  </r>
  <r>
    <n v="107237"/>
    <s v="CREMA CHOCOLATE RICHS"/>
    <x v="1"/>
    <s v="P1-BMP Puerto Vespucio"/>
    <n v="1208"/>
    <n v="4097.3100000000004"/>
    <n v="4949550.4800000004"/>
    <d v="2026-07-02T00:00:00"/>
    <n v="90.521739130434781"/>
    <x v="15"/>
    <n v="13.344860710854947"/>
    <n v="45.260869565217391"/>
  </r>
  <r>
    <n v="107104"/>
    <s v="CREMA LACTEA DIWATTS"/>
    <x v="1"/>
    <s v="P1-BMP Puerto Vespucio"/>
    <n v="1005"/>
    <n v="3380"/>
    <n v="3396900"/>
    <d v="2026-07-02T00:00:00"/>
    <n v="1093.96"/>
    <x v="15"/>
    <n v="0.91868075615196165"/>
    <n v="364.65333333333336"/>
  </r>
  <r>
    <n v="107142"/>
    <s v="CREMA LACTEA SOPROLE"/>
    <x v="1"/>
    <s v="P1-BMP Puerto Vespucio"/>
    <n v="750"/>
    <n v="3250"/>
    <n v="2437500"/>
    <d v="2026-07-02T00:00:00"/>
    <n v="415.92"/>
    <x v="15"/>
    <n v="1.8032313906520483"/>
    <n v="277.28000000000003"/>
  </r>
  <r>
    <n v="405161"/>
    <s v="CREMA NATA RICH"/>
    <x v="1"/>
    <s v="P1-BMP Puerto Vespucio"/>
    <n v="1076"/>
    <n v="2557.06"/>
    <n v="2751396.56"/>
    <d v="2026-07-02T00:00:00"/>
    <n v="198.5"/>
    <x v="15"/>
    <n v="5.420654911838791"/>
    <n v="99.25"/>
  </r>
  <r>
    <n v="107098"/>
    <s v="CREMA PASTELERA ESPECIAL PURATOS"/>
    <x v="1"/>
    <s v="P1-BMP Puerto Vespucio"/>
    <n v="1130"/>
    <n v="3199.98"/>
    <n v="3615977.4"/>
    <d v="2026-07-02T00:00:00"/>
    <n v="891.02"/>
    <x v="15"/>
    <n v="1.2682094678009472"/>
    <n v="594.01333333333332"/>
  </r>
  <r>
    <n v="107417"/>
    <s v="CREMA PASTELERA NARANJA BAKELS"/>
    <x v="1"/>
    <s v="P1-BMP Puerto Vespucio"/>
    <n v="260"/>
    <n v="2980"/>
    <n v="774800"/>
    <d v="2026-07-02T00:00:00"/>
    <n v="366.66666666666669"/>
    <x v="15"/>
    <n v="0.70909090909090911"/>
    <n v="183.33333333333334"/>
  </r>
  <r>
    <n v="107242"/>
    <s v="CREMA RELLENO SABOR NARANJA ESP. QUINTA SC 1X5 Kg"/>
    <x v="1"/>
    <s v="P1-BMP Puerto Vespucio"/>
    <n v="665"/>
    <n v="4270.74"/>
    <n v="2840042.1"/>
    <d v="2026-07-02T00:00:00"/>
    <n v="340"/>
    <x v="15"/>
    <n v="1.9558823529411764"/>
    <n v="113.33333333333333"/>
  </r>
  <r>
    <n v="103612"/>
    <s v="CREMA VEGETAL MASTER MARTINI"/>
    <x v="1"/>
    <s v="P1-BMP Puerto Vespucio"/>
    <n v="501"/>
    <n v="2600"/>
    <n v="1302600"/>
    <d v="2026-07-02T00:00:00"/>
    <n v="44.2"/>
    <x v="15"/>
    <n v="11.334841628959275"/>
    <n v="14.733333333333334"/>
  </r>
  <r>
    <n v="107209"/>
    <s v="CREMA WHIP TOPPIN RICH"/>
    <x v="1"/>
    <s v="P1-BMP Puerto Vespucio"/>
    <n v="1264"/>
    <n v="2402.3200000000002"/>
    <n v="3036532.48"/>
    <d v="2026-07-02T00:00:00"/>
    <n v="4863.84"/>
    <x v="15"/>
    <n v="0.25987696963715912"/>
    <n v="2431.92"/>
  </r>
  <r>
    <n v="405524"/>
    <s v="CREMFIL DULCE DE LECHE PURATOS"/>
    <x v="1"/>
    <s v="P1-BMP Puerto Vespucio"/>
    <n v="114"/>
    <n v="3627.99"/>
    <n v="413590.86"/>
    <d v="2026-07-02T00:00:00"/>
    <n v="48.791666666666664"/>
    <x v="6"/>
    <n v="2.336464560204953"/>
    <n v="32.527777777777779"/>
  </r>
  <r>
    <n v="405214"/>
    <s v="CREMYVIT NARANJA TM1 PURATOS"/>
    <x v="1"/>
    <s v="P1-BMP Puerto Vespucio"/>
    <n v="2420"/>
    <n v="2980"/>
    <n v="7211600"/>
    <d v="2026-07-02T00:00:00"/>
    <n v="634.77272727272725"/>
    <x v="15"/>
    <n v="3.8123881131399928"/>
    <n v="423.18181818181819"/>
  </r>
  <r>
    <n v="107317"/>
    <s v="CRUMBLE FRAMBUESA CONGELADA ALTA FRUTA"/>
    <x v="1"/>
    <s v="P1-BMP Puerto Vespucio"/>
    <n v="400"/>
    <n v="4202.0600000000004"/>
    <n v="1680824"/>
    <d v="2026-07-02T00:00:00"/>
    <n v="207.27272727272728"/>
    <x v="19"/>
    <n v="1.9298245614035088"/>
    <n v="103.63636363636364"/>
  </r>
  <r>
    <n v="107240"/>
    <s v="CRUSHED DE FRAMBUESA ALTO LA CRUZ"/>
    <x v="1"/>
    <s v="P1-BMP Puerto Vespucio"/>
    <n v="468"/>
    <n v="3378.32"/>
    <n v="1581053.76"/>
    <d v="2026-07-02T00:00:00"/>
    <n v="11.366666666666667"/>
    <x v="9"/>
    <n v="41.173020527859236"/>
    <n v="5.6833333333333336"/>
  </r>
  <r>
    <n v="107345"/>
    <s v="CUPULA 170BX DEANDES"/>
    <x v="1"/>
    <s v="P1-BMP Puerto Vespucio"/>
    <n v="3360"/>
    <n v="185.4"/>
    <n v="622944"/>
    <d v="2026-07-02T00:00:00"/>
    <n v="2287.1999999999998"/>
    <x v="3"/>
    <n v="1.4690451206715636"/>
    <n v="1143.5999999999999"/>
  </r>
  <r>
    <n v="403244"/>
    <s v="CUPULA 271 BX DEANDES"/>
    <x v="1"/>
    <s v="P1-BMP Puerto Vespucio"/>
    <n v="4800"/>
    <n v="231.74"/>
    <n v="1112352"/>
    <d v="2026-07-02T00:00:00"/>
    <n v="3513.6"/>
    <x v="3"/>
    <n v="1.3661202185792349"/>
    <n v="1756.8000000000002"/>
  </r>
  <r>
    <n v="107339"/>
    <s v="CUPULA TARTA 1025-3 MOLDES PAC"/>
    <x v="1"/>
    <s v="P1-BMP Puerto Vespucio"/>
    <n v="6580"/>
    <n v="258.95999999999998"/>
    <n v="1703956.8"/>
    <d v="2026-07-02T00:00:00"/>
    <n v="3886.4"/>
    <x v="3"/>
    <n v="1.6930835734870318"/>
    <n v="1295.4666666666667"/>
  </r>
  <r>
    <n v="405489"/>
    <s v="CUPULA TARTA 1025-5 MOLDES PAC"/>
    <x v="1"/>
    <s v="P1-BMP Puerto Vespucio"/>
    <n v="2170"/>
    <n v="247"/>
    <n v="535990"/>
    <d v="2026-07-02T00:00:00"/>
    <n v="685"/>
    <x v="3"/>
    <n v="3.167883211678832"/>
    <n v="228.33333333333334"/>
  </r>
  <r>
    <n v="405444"/>
    <s v="CUPULA TORTA 15 PP ALTA COEXPAN"/>
    <x v="1"/>
    <s v="P1-BMP Puerto Vespucio"/>
    <n v="8700"/>
    <n v="252"/>
    <n v="2192400"/>
    <d v="2026-07-02T00:00:00"/>
    <n v="19400"/>
    <x v="3"/>
    <n v="0.4484536082474227"/>
    <n v="6466.666666666667"/>
  </r>
  <r>
    <n v="405770"/>
    <s v="CUPULA TORTA 15 PP H112 ALTA COEXPAN"/>
    <x v="1"/>
    <s v="P1-BMP Puerto Vespucio"/>
    <n v="5900"/>
    <n v="200.28"/>
    <n v="1181652"/>
    <d v="2026-07-02T00:00:00"/>
    <n v="2566.6666666666665"/>
    <x v="3"/>
    <n v="2.2987012987012987"/>
    <n v="1283.3333333333333"/>
  </r>
  <r>
    <n v="405278"/>
    <s v="CUPULA TORTA 15PP (98-45) MOLDESPAC"/>
    <x v="1"/>
    <s v="P1-BMP Puerto Vespucio"/>
    <n v="3430"/>
    <n v="245"/>
    <n v="840350"/>
    <d v="2026-07-02T00:00:00"/>
    <n v="1283.3333333333333"/>
    <x v="3"/>
    <n v="2.6727272727272728"/>
    <n v="427.77777777777777"/>
  </r>
  <r>
    <n v="107344"/>
    <s v="CUPULA TORTA ALTA  15PP (98-5) MOLDESPAC"/>
    <x v="1"/>
    <s v="P1-BMP Puerto Vespucio"/>
    <n v="7350"/>
    <n v="235.06"/>
    <n v="1727691"/>
    <d v="2026-07-02T00:00:00"/>
    <n v="2618.5714285714284"/>
    <x v="3"/>
    <n v="2.806873977086743"/>
    <n v="872.85714285714278"/>
  </r>
  <r>
    <n v="107127"/>
    <s v="DECORCREM BLANCO 4k PURATOS"/>
    <x v="1"/>
    <s v="P1-BMP Puerto Vespucio"/>
    <n v="784"/>
    <n v="6286.85"/>
    <n v="4928890.4000000004"/>
    <d v="2026-07-02T00:00:00"/>
    <n v="38.524999999999999"/>
    <x v="4"/>
    <n v="20.350421804023362"/>
    <n v="25.683333333333334"/>
  </r>
  <r>
    <n v="107108"/>
    <s v="DECORCREM NEGRO PURATOS"/>
    <x v="1"/>
    <s v="P1-BMP Puerto Vespucio"/>
    <n v="647.5"/>
    <n v="4199.99"/>
    <n v="2719493.5249999999"/>
    <d v="2026-07-02T00:00:00"/>
    <n v="467.64"/>
    <x v="4"/>
    <n v="1.3846120947737577"/>
    <n v="311.76"/>
  </r>
  <r>
    <n v="201002"/>
    <s v="DESMOLDANTE PARA BATIDOS PURATOS"/>
    <x v="1"/>
    <s v="P1-BMP Puerto Vespucio"/>
    <n v="1970"/>
    <n v="3210"/>
    <n v="6323700"/>
    <d v="2026-07-02T00:00:00"/>
    <n v="403.6"/>
    <x v="29"/>
    <n v="4.8810703666997028"/>
    <n v="269.06666666666666"/>
  </r>
  <r>
    <n v="405739"/>
    <s v="DISCO CARTON BLANCO 17 CM PRAGGA"/>
    <x v="1"/>
    <s v="P1-BMP Puerto Vespucio"/>
    <n v="130300"/>
    <n v="20.9"/>
    <n v="2723270"/>
    <d v="2026-07-02T00:00:00"/>
    <n v="8854.545454545454"/>
    <x v="8"/>
    <n v="14.715605749486654"/>
    <n v="5903.030303030303"/>
  </r>
  <r>
    <n v="405740"/>
    <s v="DISCO CARTON BLANCO 19 CM PRAGGA"/>
    <x v="1"/>
    <s v="P1-BMP Puerto Vespucio"/>
    <n v="145200"/>
    <n v="24.9"/>
    <n v="3615480"/>
    <d v="2026-07-02T00:00:00"/>
    <n v="39572.727272727272"/>
    <x v="8"/>
    <n v="3.6691936595451415"/>
    <n v="26381.81818181818"/>
  </r>
  <r>
    <n v="405741"/>
    <s v="DISCO CARTON BLANCO 24 CM PRAGGA"/>
    <x v="1"/>
    <s v="P1-BMP Puerto Vespucio"/>
    <n v="180600"/>
    <n v="33.4"/>
    <n v="6032040"/>
    <d v="2026-07-02T00:00:00"/>
    <n v="5480"/>
    <x v="8"/>
    <n v="32.956204379562045"/>
    <n v="3653.3333333333335"/>
  </r>
  <r>
    <n v="403100"/>
    <s v="DISCO CARTON BLANCO 24 JUMBO ARRIAZA"/>
    <x v="1"/>
    <s v="P1-BMP Puerto Vespucio"/>
    <n v="45000"/>
    <n v="34.1"/>
    <n v="1534500"/>
    <d v="2026-07-02T00:00:00"/>
    <n v="11897.619047619048"/>
    <x v="8"/>
    <n v="3.78226936161697"/>
    <n v="7931.7460317460318"/>
  </r>
  <r>
    <n v="403271"/>
    <s v="DISCO CARTÓN CORRUGADO 15,5 CM EHLAN"/>
    <x v="1"/>
    <s v="P1-BMP Puerto Vespucio"/>
    <n v="17200"/>
    <n v="37"/>
    <n v="636400"/>
    <d v="2026-07-02T00:00:00"/>
    <n v="6142.6315789473683"/>
    <x v="8"/>
    <n v="2.8001028189529604"/>
    <n v="15356.578947368422"/>
  </r>
  <r>
    <n v="107210"/>
    <s v="DISCO MERENGUE PAVESI"/>
    <x v="1"/>
    <s v="P1-BMP Puerto Vespucio"/>
    <n v="648"/>
    <n v="771.66"/>
    <n v="500035.68"/>
    <d v="2026-07-02T00:00:00"/>
    <n v="1414.2857142857142"/>
    <x v="2"/>
    <n v="0.45818181818181819"/>
    <n v="707.14285714285711"/>
  </r>
  <r>
    <n v="405583"/>
    <s v="DISCO MICROCORRUGADO EMPLACADO 19 CM DIÁMETRO ASTRA"/>
    <x v="1"/>
    <s v="P1-BMP Puerto Vespucio"/>
    <n v="53500"/>
    <n v="49"/>
    <n v="2621500"/>
    <d v="2026-07-02T00:00:00"/>
    <n v="9522.2222222222226"/>
    <x v="8"/>
    <n v="5.6184364060676781"/>
    <n v="23805.555555555558"/>
  </r>
  <r>
    <n v="107294"/>
    <s v="DULCE DE RELLENO DIWATTS"/>
    <x v="1"/>
    <s v="P1-BMP Puerto Vespucio"/>
    <n v="3780"/>
    <n v="1660"/>
    <n v="6274800"/>
    <d v="2026-07-02T00:00:00"/>
    <n v="1413.84"/>
    <x v="6"/>
    <n v="2.6735698523170939"/>
    <n v="471.28"/>
  </r>
  <r>
    <n v="107125"/>
    <s v="DURAZNO EN CUBOS ALTO LA CRUZ"/>
    <x v="1"/>
    <s v="P1-BMP Puerto Vespucio"/>
    <n v="306"/>
    <n v="2582.31"/>
    <n v="790186.86"/>
    <d v="2026-07-02T00:00:00"/>
    <n v="215.70839999999995"/>
    <x v="9"/>
    <n v="1.4185817520319099"/>
    <n v="107.85419999999998"/>
  </r>
  <r>
    <n v="107124"/>
    <s v="DURAZNO EN MITADES ALTO LA CRUZ"/>
    <x v="1"/>
    <s v="P1-BMP Puerto Vespucio"/>
    <n v="183.6"/>
    <n v="2694.44"/>
    <n v="494699.18400000001"/>
    <d v="2026-07-02T00:00:00"/>
    <n v="3.6"/>
    <x v="9"/>
    <n v="51"/>
    <n v="1.7999999999999998"/>
  </r>
  <r>
    <n v="405720"/>
    <s v="ETIQ. CIRCULAR 80cm IMPR. OPP TORTA CHOCOLATE WALMART"/>
    <x v="1"/>
    <s v="P1-BMP Puerto Vespucio"/>
    <n v="5000"/>
    <n v="18.34"/>
    <n v="91700"/>
    <d v="2026-07-02T00:00:00"/>
    <n v="4250"/>
    <x v="17"/>
    <n v="1.1764705882352942"/>
    <n v="4250"/>
  </r>
  <r>
    <n v="405719"/>
    <s v="ETIQ. CIRCULAR 80cm IMPR. OPP TORTA FRUTOS DEL BOSQUE WALMART"/>
    <x v="1"/>
    <s v="P1-BMP Puerto Vespucio"/>
    <n v="9000"/>
    <n v="18.34"/>
    <n v="165060"/>
    <d v="2026-07-02T00:00:00"/>
    <n v="4125"/>
    <x v="17"/>
    <n v="2.1818181818181817"/>
    <n v="4125"/>
  </r>
  <r>
    <n v="405773"/>
    <s v="ETIQ. CIRCULAR 80cm IMPR. OPP TORTA SAN JORGE SMU"/>
    <x v="1"/>
    <s v="P1-BMP Puerto Vespucio"/>
    <n v="9000"/>
    <n v="20.399999999999999"/>
    <n v="183600"/>
    <d v="2026-07-02T00:00:00"/>
    <n v="1000"/>
    <x v="17"/>
    <n v="9"/>
    <n v="1000"/>
  </r>
  <r>
    <n v="405354"/>
    <s v="ETIQ. CIRCULAR 90cm IMPR. JUMBO KUCHEN DE DURAZNO"/>
    <x v="1"/>
    <s v="P1-BMP Puerto Vespucio"/>
    <n v="7000"/>
    <n v="17.170000000000002"/>
    <n v="120190"/>
    <d v="2026-07-02T00:00:00"/>
    <n v="1300"/>
    <x v="17"/>
    <n v="5.384615384615385"/>
    <n v="1300"/>
  </r>
  <r>
    <n v="405360"/>
    <s v="ETIQ. CIRCULAR 90cm IMPR. JUMBO KUCHEN DE FRAMBUESA"/>
    <x v="1"/>
    <s v="P1-BMP Puerto Vespucio"/>
    <n v="3000"/>
    <n v="17.170000000000002"/>
    <n v="51510"/>
    <d v="2026-07-02T00:00:00"/>
    <n v="1615.3846153846155"/>
    <x v="17"/>
    <n v="1.857142857142857"/>
    <n v="1615.3846153846152"/>
  </r>
  <r>
    <n v="405704"/>
    <s v="ETIQ. CIRCULAR 90cm IMPR. JUMBO KUCHEN DE MANZANA"/>
    <x v="1"/>
    <s v="P1-BMP Puerto Vespucio"/>
    <n v="3000"/>
    <n v="20.7"/>
    <n v="62100"/>
    <d v="2026-07-02T00:00:00"/>
    <n v="1000"/>
    <x v="17"/>
    <n v="3"/>
    <n v="1000"/>
  </r>
  <r>
    <n v="405356"/>
    <s v="ETIQ. CIRCULAR 90cm IMPR. JUMBO KUCHEN DE MANZANA TRENZADO"/>
    <x v="1"/>
    <s v="P1-BMP Puerto Vespucio"/>
    <n v="11000"/>
    <n v="19.38"/>
    <n v="213180"/>
    <d v="2026-07-02T00:00:00"/>
    <n v="1346.1538461538462"/>
    <x v="17"/>
    <n v="8.1714285714285708"/>
    <n v="1346.1538461538462"/>
  </r>
  <r>
    <n v="405357"/>
    <s v="ETIQ. CIRCULAR 90cm IMPR. JUMBO KUCHEN DE STROISSEL MANZANA"/>
    <x v="1"/>
    <s v="P1-BMP Puerto Vespucio"/>
    <n v="7000"/>
    <n v="20.49"/>
    <n v="143430"/>
    <d v="2026-07-02T00:00:00"/>
    <n v="1166.6666666666667"/>
    <x v="17"/>
    <n v="6"/>
    <n v="1166.6666666666667"/>
  </r>
  <r>
    <n v="405718"/>
    <s v="ETIQ. CIRCULAR 90cm IMPR. OPP KUCHEN FRAMBUESA TRADICIONAL WALMART"/>
    <x v="1"/>
    <s v="P1-BMP Puerto Vespucio"/>
    <n v="10000"/>
    <n v="22.7"/>
    <n v="227000"/>
    <d v="2026-07-02T00:00:00"/>
    <n v="4722.2222222222226"/>
    <x v="17"/>
    <n v="2.1176470588235294"/>
    <n v="4722.2222222222226"/>
  </r>
  <r>
    <n v="405711"/>
    <s v="ETIQ. CIRCULAR 90cm IMPR. OPP TORTA HOJA MANJAR MERENGUE WALMART"/>
    <x v="1"/>
    <s v="P1-BMP Puerto Vespucio"/>
    <n v="18000"/>
    <n v="22.7"/>
    <n v="408600"/>
    <d v="2026-07-02T00:00:00"/>
    <n v="1071.4285714285713"/>
    <x v="17"/>
    <n v="16.8"/>
    <n v="1071.4285714285713"/>
  </r>
  <r>
    <n v="405712"/>
    <s v="ETIQ. CIRCULAR 90cm IMPR. OPP TORTA MIL HOJAS MANJAR ARTESANAL WALMART"/>
    <x v="1"/>
    <s v="P1-BMP Puerto Vespucio"/>
    <n v="7000"/>
    <n v="22.7"/>
    <n v="158900"/>
    <d v="2026-07-02T00:00:00"/>
    <n v="16250"/>
    <x v="17"/>
    <n v="0.43076923076923079"/>
    <n v="16250"/>
  </r>
  <r>
    <n v="405713"/>
    <s v="ETIQ. CIRCULAR 90cm IMPR. OPP TORTA PANQUEQUE NARANJA WALMART"/>
    <x v="1"/>
    <s v="P1-BMP Puerto Vespucio"/>
    <n v="2000"/>
    <n v="22.7"/>
    <n v="45400"/>
    <d v="2026-07-02T00:00:00"/>
    <n v="3083.3333333333335"/>
    <x v="17"/>
    <n v="0.64864864864864857"/>
    <n v="3083.3333333333335"/>
  </r>
  <r>
    <n v="405733"/>
    <s v="ETIQ. CIRCULAR 90cm IMPR. OPP TORTA PIÑA MARKETSIDE"/>
    <x v="1"/>
    <s v="P1-BMP Puerto Vespucio"/>
    <n v="15000"/>
    <n v="22.7"/>
    <n v="340500"/>
    <d v="2026-07-02T00:00:00"/>
    <n v="5100"/>
    <x v="17"/>
    <n v="2.9411764705882355"/>
    <n v="5100"/>
  </r>
  <r>
    <n v="405709"/>
    <s v="ETIQ. CIRCULAR 90cm IMPR. OPP TORTA PIÑA WALMART"/>
    <x v="1"/>
    <s v="P1-BMP Puerto Vespucio"/>
    <n v="12000"/>
    <n v="22.7"/>
    <n v="272400"/>
    <d v="2026-07-02T00:00:00"/>
    <n v="3571.4285714285716"/>
    <x v="17"/>
    <n v="3.36"/>
    <n v="3571.4285714285716"/>
  </r>
  <r>
    <n v="405737"/>
    <s v="ETIQ. CIRCULAR 90cm IMPR. OPP TORTA SAN JORGE MARKETSIDE"/>
    <x v="1"/>
    <s v="P1-BMP Puerto Vespucio"/>
    <n v="8000"/>
    <n v="22.7"/>
    <n v="181600"/>
    <d v="2026-07-02T00:00:00"/>
    <n v="4100"/>
    <x v="17"/>
    <n v="1.9512195121951219"/>
    <n v="4100"/>
  </r>
  <r>
    <n v="405734"/>
    <s v="ETIQ. CIRCULAR 90cm IMPR. OPP TORTA SELVA NEGRA MARKETSIDE"/>
    <x v="1"/>
    <s v="P1-BMP Puerto Vespucio"/>
    <n v="12000"/>
    <n v="22.7"/>
    <n v="272400"/>
    <d v="2026-07-02T00:00:00"/>
    <n v="5800"/>
    <x v="17"/>
    <n v="2.0689655172413794"/>
    <n v="5800"/>
  </r>
  <r>
    <n v="405716"/>
    <s v="ETIQ. CIRCULAR 90cm IMPR. OPP TORTA SELVA NEGRA TRADICIONAL WALMART"/>
    <x v="1"/>
    <s v="P1-BMP Puerto Vespucio"/>
    <n v="8000"/>
    <n v="22.7"/>
    <n v="181600"/>
    <d v="2026-07-02T00:00:00"/>
    <n v="0"/>
    <x v="17"/>
    <n v="0"/>
    <n v="0"/>
  </r>
  <r>
    <n v="405714"/>
    <s v="ETIQ. CIRCULAR 90cm IMPR. OPP TORTA TRES LECHES WALMART"/>
    <x v="1"/>
    <s v="P1-BMP Puerto Vespucio"/>
    <n v="5000"/>
    <n v="22.7"/>
    <n v="113500"/>
    <d v="2026-07-02T00:00:00"/>
    <n v="6166.666666666667"/>
    <x v="17"/>
    <n v="0.81081081081081074"/>
    <n v="6166.666666666667"/>
  </r>
  <r>
    <n v="405735"/>
    <s v="ETIQ. CIRCULAR 90cm IMPR. OPP TORTA VIENA MARKETSIDE"/>
    <x v="1"/>
    <s v="P1-BMP Puerto Vespucio"/>
    <n v="10000"/>
    <n v="22.7"/>
    <n v="227000"/>
    <d v="2026-07-02T00:00:00"/>
    <n v="3600"/>
    <x v="17"/>
    <n v="2.7777777777777777"/>
    <n v="3600"/>
  </r>
  <r>
    <n v="405160"/>
    <s v="ETIQUETA 200X50 POLIPROPILENO IMPR. QUINTA"/>
    <x v="1"/>
    <s v="P1-BMP Puerto Vespucio"/>
    <n v="15000"/>
    <n v="16.16"/>
    <n v="242400"/>
    <d v="2026-07-02T00:00:00"/>
    <n v="7750"/>
    <x v="17"/>
    <n v="1.935483870967742"/>
    <n v="7750"/>
  </r>
  <r>
    <n v="405771"/>
    <s v="ETIQUETA 300X57 TORTA HOJA MERENGUE SMU"/>
    <x v="1"/>
    <s v="P1-BMP Puerto Vespucio"/>
    <n v="1500"/>
    <n v="45.5"/>
    <n v="68250"/>
    <d v="2026-07-02T00:00:00"/>
    <n v="2000"/>
    <x v="17"/>
    <n v="0.75"/>
    <n v="2000"/>
  </r>
  <r>
    <n v="405772"/>
    <s v="ETIQUETA 300X57 TORTA SAN JORGE SMU"/>
    <x v="1"/>
    <s v="P1-BMP Puerto Vespucio"/>
    <n v="8500"/>
    <n v="45.5"/>
    <n v="386750"/>
    <d v="2026-07-02T00:00:00"/>
    <n v="0"/>
    <x v="17"/>
    <n v="0"/>
    <n v="0"/>
  </r>
  <r>
    <n v="405049"/>
    <s v="ETIQUETA AUTOADHESIVA 22X32 POLIPROPILENO (OPP)"/>
    <x v="1"/>
    <s v="P1-BMP Puerto Vespucio"/>
    <n v="100000"/>
    <n v="1.54"/>
    <n v="154000"/>
    <d v="2026-07-02T00:00:00"/>
    <n v="61666.666666666664"/>
    <x v="17"/>
    <n v="1.6216216216216217"/>
    <n v="61666.666666666664"/>
  </r>
  <r>
    <n v="404720"/>
    <s v="ETIQUETA BLANCA 100x50"/>
    <x v="1"/>
    <s v="P1-BMP Puerto Vespucio"/>
    <n v="160000"/>
    <n v="6.56"/>
    <n v="1049600"/>
    <d v="2026-07-02T00:00:00"/>
    <n v="34869.565217391304"/>
    <x v="17"/>
    <n v="4.5885286783042396"/>
    <n v="34869.565217391304"/>
  </r>
  <r>
    <n v="404718"/>
    <s v="ETIQUETA BLANCA 100x80 SISA"/>
    <x v="1"/>
    <s v="P1-BMP Puerto Vespucio"/>
    <n v="176000"/>
    <n v="7.95"/>
    <n v="1399200"/>
    <d v="2026-07-02T00:00:00"/>
    <n v="18409.090909090908"/>
    <x v="17"/>
    <n v="9.560493827160494"/>
    <n v="18409.090909090908"/>
  </r>
  <r>
    <n v="405159"/>
    <s v="ETIQUETA BLANCA 120X100 OPP"/>
    <x v="1"/>
    <s v="P1-BMP Puerto Vespucio"/>
    <n v="58000"/>
    <n v="14.5"/>
    <n v="841000"/>
    <d v="2026-07-02T00:00:00"/>
    <n v="15041.666666666666"/>
    <x v="17"/>
    <n v="3.8559556786703602"/>
    <n v="15041.666666666666"/>
  </r>
  <r>
    <n v="405479"/>
    <s v="ETIQUETA BLANCA 180X50 PAPEL SEMIBRILLO CRISME"/>
    <x v="1"/>
    <s v="P1-BMP Puerto Vespucio"/>
    <n v="42000"/>
    <n v="10.95"/>
    <n v="459900"/>
    <d v="2026-07-02T00:00:00"/>
    <n v="0"/>
    <x v="17"/>
    <n v="0"/>
    <n v="0"/>
  </r>
  <r>
    <n v="405103"/>
    <s v="ETIQUETA BLANCA 200X50 SISA OPP"/>
    <x v="1"/>
    <s v="P1-BMP Puerto Vespucio"/>
    <n v="79000"/>
    <n v="17.27"/>
    <n v="1364330"/>
    <d v="2026-07-02T00:00:00"/>
    <n v="7236.8421052631575"/>
    <x v="17"/>
    <n v="10.916363636363638"/>
    <n v="7236.8421052631584"/>
  </r>
  <r>
    <n v="404748"/>
    <s v="ETIQUETA BLANCA 40x200 SISA"/>
    <x v="1"/>
    <s v="P1-BMP Puerto Vespucio"/>
    <n v="26000"/>
    <n v="13.64"/>
    <n v="354640"/>
    <d v="2026-07-02T00:00:00"/>
    <n v="4521.739130434783"/>
    <x v="17"/>
    <n v="5.7499999999999991"/>
    <n v="4521.739130434783"/>
  </r>
  <r>
    <n v="405461"/>
    <s v="ETIQUETA CIRCULAR 4cm IMPR. PASTEL SISA"/>
    <x v="1"/>
    <s v="P1-BMP Puerto Vespucio"/>
    <n v="30000"/>
    <n v="5"/>
    <n v="150000"/>
    <d v="2026-07-02T00:00:00"/>
    <n v="9571.4285714285706"/>
    <x v="17"/>
    <n v="3.1343283582089554"/>
    <n v="9571.4285714285706"/>
  </r>
  <r>
    <n v="404733"/>
    <s v="ETIQUETA CIRCULAR 9,8cm IMPR. KUCHEN  5 COL +UV"/>
    <x v="1"/>
    <s v="P1-BMP Puerto Vespucio"/>
    <n v="6000"/>
    <n v="17.170000000000002"/>
    <n v="103020"/>
    <d v="2026-07-02T00:00:00"/>
    <n v="2894.7368421052633"/>
    <x v="17"/>
    <n v="2.0727272727272728"/>
    <n v="2894.7368421052633"/>
  </r>
  <r>
    <n v="404735"/>
    <s v="ETIQUETA CIRCULAR 9,8cm IMPR. TARTA  5 COL +UV"/>
    <x v="1"/>
    <s v="P1-BMP Puerto Vespucio"/>
    <n v="12000"/>
    <n v="17.170000000000002"/>
    <n v="206040"/>
    <d v="2026-07-02T00:00:00"/>
    <n v="1615.3846153846155"/>
    <x v="17"/>
    <n v="7.4285714285714279"/>
    <n v="1615.3846153846152"/>
  </r>
  <r>
    <n v="405721"/>
    <s v="ETIQUETA COLOR CREMA 245X40 OPP"/>
    <x v="1"/>
    <s v="P1-BMP Puerto Vespucio"/>
    <n v="173000"/>
    <n v="20.7"/>
    <n v="3581100"/>
    <d v="2026-07-02T00:00:00"/>
    <n v="49692.307692307695"/>
    <x v="17"/>
    <n v="3.4814241486068109"/>
    <n v="49692.307692307702"/>
  </r>
  <r>
    <n v="405722"/>
    <s v="ETIQUETA CONSUMO"/>
    <x v="1"/>
    <s v="P1-BMP Puerto Vespucio"/>
    <n v="122000"/>
    <n v="14.2"/>
    <n v="1732400"/>
    <d v="2026-07-02T00:00:00"/>
    <n v="23153.846153846152"/>
    <x v="17"/>
    <n v="5.2691029900332227"/>
    <n v="23153.846153846152"/>
  </r>
  <r>
    <n v="405199"/>
    <s v="ETIQUETA CONSUMO IMPRESO COLOR MOSTAZA"/>
    <x v="1"/>
    <s v="P1-BMP Puerto Vespucio"/>
    <n v="28000"/>
    <n v="9.8699999999999992"/>
    <n v="276360"/>
    <d v="2026-07-02T00:00:00"/>
    <n v="14181.818181818182"/>
    <x v="17"/>
    <n v="1.9743589743589742"/>
    <n v="14181.81818181818"/>
  </r>
  <r>
    <n v="405738"/>
    <s v="ETIQUETA CONSUMO MARKETSIDE"/>
    <x v="1"/>
    <s v="P1-BMP Puerto Vespucio"/>
    <n v="132000"/>
    <n v="14.2"/>
    <n v="1874400"/>
    <d v="2026-07-02T00:00:00"/>
    <n v="21166.666666666668"/>
    <x v="17"/>
    <n v="6.2362204724409445"/>
    <n v="21166.666666666668"/>
  </r>
  <r>
    <n v="405493"/>
    <s v="ETIQUETA DECORATIVA PASTEL MIL HOJAS PASTELERA JUMBO"/>
    <x v="1"/>
    <s v="P1-BMP Puerto Vespucio"/>
    <n v="7500"/>
    <n v="7.74"/>
    <n v="58050"/>
    <d v="2026-07-02T00:00:00"/>
    <n v="0"/>
    <x v="17"/>
    <n v="0"/>
    <n v="0"/>
  </r>
  <r>
    <n v="405494"/>
    <s v="ETIQUETA DECORATIVA PASTEL PIÑA JUMBO"/>
    <x v="1"/>
    <s v="P1-BMP Puerto Vespucio"/>
    <n v="17500"/>
    <n v="7.74"/>
    <n v="135450"/>
    <d v="2026-07-02T00:00:00"/>
    <n v="0"/>
    <x v="17"/>
    <n v="0"/>
    <n v="0"/>
  </r>
  <r>
    <n v="405497"/>
    <s v="ETIQUETA DECORATIVA PASTEL SELVA NEGRA JUMBO"/>
    <x v="1"/>
    <s v="P1-BMP Puerto Vespucio"/>
    <n v="20000"/>
    <n v="7.74"/>
    <n v="154800"/>
    <d v="2026-07-02T00:00:00"/>
    <n v="0"/>
    <x v="17"/>
    <n v="0"/>
    <n v="0"/>
  </r>
  <r>
    <n v="405495"/>
    <s v="ETIQUETA DECORATIVA PASTEL TRES LECHES JUMBO"/>
    <x v="1"/>
    <s v="P1-BMP Puerto Vespucio"/>
    <n v="17500"/>
    <n v="7.74"/>
    <n v="135450"/>
    <d v="2026-07-02T00:00:00"/>
    <n v="0"/>
    <x v="17"/>
    <n v="0"/>
    <n v="0"/>
  </r>
  <r>
    <n v="405498"/>
    <s v="ETIQUETA DECORATIVA PASTEL TRUFA JUMBO"/>
    <x v="1"/>
    <s v="P1-BMP Puerto Vespucio"/>
    <n v="17500"/>
    <n v="7.74"/>
    <n v="135450"/>
    <d v="2026-07-02T00:00:00"/>
    <n v="0"/>
    <x v="17"/>
    <n v="0"/>
    <n v="0"/>
  </r>
  <r>
    <n v="405310"/>
    <s v="ETIQUETA OPP TRANSPARENTE 22X32 CRISME"/>
    <x v="1"/>
    <s v="P1-BMP Puerto Vespucio"/>
    <n v="130000"/>
    <n v="7.3"/>
    <n v="949000"/>
    <d v="2026-07-02T00:00:00"/>
    <n v="16666.666666666668"/>
    <x v="17"/>
    <n v="7.8"/>
    <n v="16666.666666666668"/>
  </r>
  <r>
    <n v="405491"/>
    <s v="FILLING DE MANZANA MEL"/>
    <x v="1"/>
    <s v="P1-BMP Puerto Vespucio"/>
    <n v="488"/>
    <n v="2767.74"/>
    <n v="1350657.12"/>
    <d v="2026-07-02T00:00:00"/>
    <n v="281.66800000000001"/>
    <x v="6"/>
    <n v="1.7325361773435393"/>
    <n v="93.88933333333334"/>
  </r>
  <r>
    <n v="402132"/>
    <s v="FRAMBUESA CONGELADA ALTA FRUTA"/>
    <x v="1"/>
    <s v="P1-BMP Puerto Vespucio"/>
    <n v="167.5"/>
    <n v="5870"/>
    <n v="983225"/>
    <d v="2026-07-02T00:00:00"/>
    <n v="160.79523809523809"/>
    <x v="19"/>
    <n v="1.0416975153256138"/>
    <n v="80.397619047619045"/>
  </r>
  <r>
    <n v="107183"/>
    <s v="FRUIT FILLING MANZANA FRUCOL"/>
    <x v="1"/>
    <s v="P1-BMP Puerto Vespucio"/>
    <n v="447.85"/>
    <n v="2300"/>
    <n v="1030055"/>
    <d v="2026-07-02T00:00:00"/>
    <n v="352.33333333333337"/>
    <x v="9"/>
    <n v="1.2710974456007569"/>
    <n v="293.61111111111114"/>
  </r>
  <r>
    <n v="107335"/>
    <s v="GALLETA VINO NESTLE"/>
    <x v="1"/>
    <s v="P1-BMP Puerto Vespucio"/>
    <n v="289.83999999999997"/>
    <n v="4290.32"/>
    <n v="1243506.3488"/>
    <d v="2026-07-02T00:00:00"/>
    <n v="67.14"/>
    <x v="14"/>
    <n v="4.3169496574322306"/>
    <n v="22.38"/>
  </r>
  <r>
    <n v="107160"/>
    <s v="GELATINA FRAMBUESA ALTO LA CRUZ"/>
    <x v="1"/>
    <s v="P1-BMP Puerto Vespucio"/>
    <n v="78"/>
    <n v="5349.94"/>
    <n v="417295.32"/>
    <d v="2026-07-02T00:00:00"/>
    <n v="21.333333333333332"/>
    <x v="20"/>
    <n v="3.65625"/>
    <n v="10.666666666666666"/>
  </r>
  <r>
    <n v="107159"/>
    <s v="GELATINA S/SABOR ALTO LA CRUZ"/>
    <x v="1"/>
    <s v="P1-BMP Puerto Vespucio"/>
    <n v="64"/>
    <n v="9800"/>
    <n v="627200"/>
    <d v="2026-07-02T00:00:00"/>
    <n v="15.625"/>
    <x v="20"/>
    <n v="4.0960000000000001"/>
    <n v="7.8125"/>
  </r>
  <r>
    <n v="107311"/>
    <s v="HARINA ORO 2"/>
    <x v="1"/>
    <s v="P1-BMP Puerto Vespucio"/>
    <n v="1450"/>
    <n v="540"/>
    <n v="783000"/>
    <d v="2026-07-02T00:00:00"/>
    <n v="1608.8"/>
    <x v="21"/>
    <n v="0.90129288910989558"/>
    <n v="804.4"/>
  </r>
  <r>
    <n v="393322"/>
    <s v="HOJA SEPARADORA TARTALETA DIAMETRO 255 MMS."/>
    <x v="1"/>
    <s v="P1-BMP Puerto Vespucio"/>
    <n v="6000"/>
    <n v="150.65"/>
    <n v="903900"/>
    <d v="2026-07-02T00:00:00"/>
    <n v="2208.3333333333335"/>
    <x v="8"/>
    <n v="2.7169811320754715"/>
    <n v="5520.8333333333339"/>
  </r>
  <r>
    <n v="402257"/>
    <s v="HOJA SEPARADORA TORTA DIAMETRO 230 MMS ASTRA"/>
    <x v="1"/>
    <s v="P1-BMP Puerto Vespucio"/>
    <n v="2400"/>
    <n v="145"/>
    <n v="348000"/>
    <d v="2026-07-02T00:00:00"/>
    <n v="5546.666666666667"/>
    <x v="8"/>
    <n v="0.43269230769230765"/>
    <n v="13866.666666666666"/>
  </r>
  <r>
    <n v="405789"/>
    <s v="HOJA SEPARADORA TORTA DIAMETRO 230 MMS FULL CARTON"/>
    <x v="1"/>
    <s v="P1-BMP Puerto Vespucio"/>
    <n v="14400"/>
    <n v="145"/>
    <n v="2088000"/>
    <d v="2026-07-02T00:00:00"/>
    <n v="2400"/>
    <x v="8"/>
    <n v="6"/>
    <n v="6000"/>
  </r>
  <r>
    <n v="362105"/>
    <s v="HOJARASCA 19 CMS. PAVESI"/>
    <x v="1"/>
    <s v="P1-BMP Puerto Vespucio"/>
    <n v="24408"/>
    <n v="178.44"/>
    <n v="4355363.5199999996"/>
    <d v="2026-07-02T00:00:00"/>
    <n v="53908.681818181816"/>
    <x v="2"/>
    <n v="0.45276566179675903"/>
    <n v="26954.340909090904"/>
  </r>
  <r>
    <n v="107226"/>
    <s v="HUEVO LIQUIDO BALDE ARIZONA"/>
    <x v="1"/>
    <s v="P1-BMP Puerto Vespucio"/>
    <n v="1840"/>
    <n v="2300"/>
    <n v="4232000"/>
    <d v="2026-07-02T00:00:00"/>
    <n v="2055.5555555555557"/>
    <x v="30"/>
    <n v="0.8951351351351351"/>
    <n v="685.18518518518522"/>
  </r>
  <r>
    <n v="107259"/>
    <s v="JARABE 3 LECHES SCHOLLE 10LT DIWATTS"/>
    <x v="1"/>
    <s v="P1-BMP Puerto Vespucio"/>
    <n v="710"/>
    <n v="2190"/>
    <n v="1554900"/>
    <d v="2026-07-02T00:00:00"/>
    <n v="176"/>
    <x v="22"/>
    <n v="4.0340909090909092"/>
    <n v="58.666666666666664"/>
  </r>
  <r>
    <n v="501147"/>
    <s v="JARABE DE REMOJO 35° BIDON"/>
    <x v="1"/>
    <s v="P1-BMP Puerto Vespucio"/>
    <n v="5425"/>
    <n v="689"/>
    <n v="3737825"/>
    <d v="2026-07-02T00:00:00"/>
    <n v="1881.25"/>
    <x v="22"/>
    <n v="2.8837209302325579"/>
    <n v="627.08333333333337"/>
  </r>
  <r>
    <n v="100303"/>
    <s v="JARABE DE REMOJO 35° TOTEM 1000 Lt"/>
    <x v="1"/>
    <s v="P1-BMP Puerto Vespucio"/>
    <n v="3000"/>
    <n v="689"/>
    <n v="2067000"/>
    <d v="2026-07-02T00:00:00"/>
    <n v="3640.6"/>
    <x v="22"/>
    <n v="0.82403999340768008"/>
    <n v="1213.5333333333333"/>
  </r>
  <r>
    <n v="107278"/>
    <s v="JARABE DE REMOJO RON-NJA 40 BIDÓN 5 Lt"/>
    <x v="1"/>
    <s v="P1-BMP Puerto Vespucio"/>
    <n v="480"/>
    <n v="720.8"/>
    <n v="345984"/>
    <d v="2026-07-02T00:00:00"/>
    <n v="1304.8"/>
    <x v="22"/>
    <n v="0.36787247087676272"/>
    <n v="434.93333333333334"/>
  </r>
  <r>
    <n v="405593"/>
    <s v="JUGO EN POLVO ZUKO DURAZNO"/>
    <x v="1"/>
    <s v="P1-BMP Puerto Vespucio"/>
    <n v="11.47"/>
    <n v="7398.87"/>
    <n v="84865.0389"/>
    <d v="2026-07-02T00:00:00"/>
    <n v="2.2421999999999995"/>
    <x v="23"/>
    <n v="5.1155115511551168"/>
    <n v="1.1210999999999998"/>
  </r>
  <r>
    <n v="107109"/>
    <s v="MANJAR ARTESANAL DIWATTS"/>
    <x v="1"/>
    <s v="P1-BMP Puerto Vespucio"/>
    <n v="560"/>
    <n v="2323"/>
    <n v="1300880"/>
    <d v="2026-07-02T00:00:00"/>
    <n v="1475.8"/>
    <x v="16"/>
    <n v="0.37945521073316169"/>
    <n v="491.93333333333334"/>
  </r>
  <r>
    <n v="107147"/>
    <s v="MANJAR GRADO 3 LANGER"/>
    <x v="1"/>
    <s v="P1-BMP Puerto Vespucio"/>
    <n v="156"/>
    <n v="1530"/>
    <n v="238680"/>
    <d v="2026-07-02T00:00:00"/>
    <n v="2612.16"/>
    <x v="16"/>
    <n v="5.972069092245498E-2"/>
    <n v="1306.08"/>
  </r>
  <r>
    <n v="405745"/>
    <s v="MANTEQUILLA SIN SAL ALCA"/>
    <x v="1"/>
    <s v="P1-BMP Puerto Vespucio"/>
    <n v="300"/>
    <n v="6200"/>
    <n v="1860000"/>
    <d v="2026-07-02T00:00:00"/>
    <n v="133.125"/>
    <x v="25"/>
    <n v="2.2535211267605635"/>
    <n v="66.5625"/>
  </r>
  <r>
    <n v="107331"/>
    <s v="MANTEQUILLA WATTS"/>
    <x v="1"/>
    <s v="P1-BMP Puerto Vespucio"/>
    <n v="380"/>
    <n v="5799.71"/>
    <n v="2203889.7999999998"/>
    <d v="2026-07-02T00:00:00"/>
    <n v="88.944444444444443"/>
    <x v="25"/>
    <n v="4.2723297938788258"/>
    <n v="29.648148148148149"/>
  </r>
  <r>
    <n v="107144"/>
    <s v="MANZANAS SLICE MEL"/>
    <x v="1"/>
    <s v="P1-BMP Puerto Vespucio"/>
    <n v="383.8"/>
    <n v="3150.12"/>
    <n v="1209016.0560000001"/>
    <d v="2026-07-02T00:00:00"/>
    <n v="335.98400000000009"/>
    <x v="9"/>
    <n v="1.1423163007762271"/>
    <n v="111.9946666666667"/>
  </r>
  <r>
    <n v="103007"/>
    <s v="MARGARINA HORNITO CERRILLOS"/>
    <x v="1"/>
    <s v="P1-BMP Puerto Vespucio"/>
    <n v="1445"/>
    <n v="1750"/>
    <n v="2528750"/>
    <d v="2026-07-02T00:00:00"/>
    <n v="1220.48"/>
    <x v="25"/>
    <n v="1.1839604090194022"/>
    <n v="406.82666666666665"/>
  </r>
  <r>
    <n v="107001"/>
    <s v="MARRASQUINO ALTO LA CRUZ"/>
    <x v="1"/>
    <s v="P1-BMP Puerto Vespucio"/>
    <n v="233"/>
    <n v="5888.37"/>
    <n v="1371990.21"/>
    <d v="2026-07-02T00:00:00"/>
    <n v="130.0333333333333"/>
    <x v="9"/>
    <n v="1.7918482440399901"/>
    <n v="65.016666666666652"/>
  </r>
  <r>
    <n v="107324"/>
    <s v="MARRASQUINO FRUCOL"/>
    <x v="1"/>
    <s v="P1-BMP Puerto Vespucio"/>
    <n v="478.8"/>
    <n v="5177.66"/>
    <n v="2479063.608"/>
    <d v="2026-07-02T00:00:00"/>
    <n v="298.74916666666672"/>
    <x v="9"/>
    <n v="1.6026822947902224"/>
    <n v="248.95763888888894"/>
  </r>
  <r>
    <n v="405694"/>
    <s v="MASA KNAFE SUK"/>
    <x v="1"/>
    <s v="P1-BMP Puerto Vespucio"/>
    <n v="49"/>
    <n v="6290"/>
    <n v="308210"/>
    <d v="2026-07-02T00:00:00"/>
    <n v="0"/>
    <x v="10"/>
    <n v="0"/>
    <n v="0"/>
  </r>
  <r>
    <n v="107158"/>
    <s v="MER. MEL PIÑA BALDE 5 Kg"/>
    <x v="1"/>
    <s v="P1-BMP Puerto Vespucio"/>
    <n v="620"/>
    <n v="3390.94"/>
    <n v="2102382.7999999998"/>
    <d v="2026-07-02T00:00:00"/>
    <n v="190.74"/>
    <x v="6"/>
    <n v="3.2504980601866413"/>
    <n v="63.580000000000005"/>
  </r>
  <r>
    <n v="107321"/>
    <s v="MERENGUE CONGELABLE PURATOS"/>
    <x v="1"/>
    <s v="P1-BMP Puerto Vespucio"/>
    <n v="1155"/>
    <n v="2630"/>
    <n v="3037650"/>
    <d v="2026-07-02T00:00:00"/>
    <n v="643.6"/>
    <x v="2"/>
    <n v="1.7945929148539466"/>
    <n v="429.06666666666666"/>
  </r>
  <r>
    <n v="107112"/>
    <s v="MERENGUE PURATOS"/>
    <x v="1"/>
    <s v="P1-BMP Puerto Vespucio"/>
    <n v="225"/>
    <n v="2713"/>
    <n v="610425"/>
    <d v="2026-07-02T00:00:00"/>
    <n v="103.2"/>
    <x v="2"/>
    <n v="2.1802325581395348"/>
    <n v="68.8"/>
  </r>
  <r>
    <n v="405318"/>
    <s v="MERM. EBEL FRUTOS DEL BOSQUE BALDE 5 KG"/>
    <x v="1"/>
    <s v="P1-BMP Puerto Vespucio"/>
    <n v="625"/>
    <n v="2862"/>
    <n v="1788750"/>
    <d v="2026-07-02T00:00:00"/>
    <n v="232.77777777777777"/>
    <x v="6"/>
    <n v="2.6849642004773271"/>
    <n v="77.592592592592595"/>
  </r>
  <r>
    <n v="170173"/>
    <s v="MERM. EBEL GRANDES CONSUMIDORES FRUTILLA BALDE 5 Kg"/>
    <x v="1"/>
    <s v="P1-BMP Puerto Vespucio"/>
    <n v="570"/>
    <n v="2035.33"/>
    <n v="1160138.1000000001"/>
    <d v="2026-07-02T00:00:00"/>
    <n v="74.791666666666671"/>
    <x v="6"/>
    <n v="7.6211699164345399"/>
    <n v="24.930555555555557"/>
  </r>
  <r>
    <n v="107157"/>
    <s v="MERM. EBEL GUINDA (ET. VERDE) BL 5 Kg"/>
    <x v="1"/>
    <s v="P1-BMP Puerto Vespucio"/>
    <n v="1070"/>
    <n v="2098.69"/>
    <n v="2245598.2999999998"/>
    <d v="2026-07-02T00:00:00"/>
    <n v="832.6"/>
    <x v="6"/>
    <n v="1.2851309152053807"/>
    <n v="277.53333333333336"/>
  </r>
  <r>
    <n v="403391"/>
    <s v="MERM. EBEL PIÑA QUINTA BALDE 5 Kg"/>
    <x v="1"/>
    <s v="P1-BMP Puerto Vespucio"/>
    <n v="795"/>
    <n v="1611.52"/>
    <n v="1281158.3999999999"/>
    <d v="2026-07-02T00:00:00"/>
    <n v="802.91666666666663"/>
    <x v="6"/>
    <n v="0.99014011416709913"/>
    <n v="267.63888888888886"/>
  </r>
  <r>
    <n v="403408"/>
    <s v="MERM. LAMARKA DAMASCO BALDE 5 Kg"/>
    <x v="1"/>
    <s v="P1-BMP Puerto Vespucio"/>
    <n v="315"/>
    <n v="1705.48"/>
    <n v="537226.19999999995"/>
    <d v="2026-07-02T00:00:00"/>
    <n v="137"/>
    <x v="6"/>
    <n v="2.2992700729927007"/>
    <n v="45.666666666666664"/>
  </r>
  <r>
    <n v="403407"/>
    <s v="MERM. LAMARKA FRAMBUESA BALDE 5 Kg"/>
    <x v="1"/>
    <s v="P1-BMP Puerto Vespucio"/>
    <n v="1165"/>
    <n v="2346.84"/>
    <n v="2734068.6"/>
    <d v="2026-07-02T00:00:00"/>
    <n v="1235.8"/>
    <x v="6"/>
    <n v="0.94270917624211037"/>
    <n v="411.93333333333334"/>
  </r>
  <r>
    <n v="107131"/>
    <s v="MERM. MEL DAMASCO MOL. BALDE 5 Kg"/>
    <x v="1"/>
    <s v="P1-BMP Puerto Vespucio"/>
    <n v="455"/>
    <n v="2473.38"/>
    <n v="1125387.8999999999"/>
    <d v="2026-07-02T00:00:00"/>
    <n v="172.8"/>
    <x v="6"/>
    <n v="2.6331018518518516"/>
    <n v="57.6"/>
  </r>
  <r>
    <n v="107172"/>
    <s v="MERM. MEL DURAZNO ENT. BALDE 5 Kg"/>
    <x v="1"/>
    <s v="P1-BMP Puerto Vespucio"/>
    <n v="270"/>
    <n v="2018.03"/>
    <n v="544868.1"/>
    <d v="2026-07-02T00:00:00"/>
    <n v="99.8"/>
    <x v="6"/>
    <n v="2.7054108216432868"/>
    <n v="33.266666666666666"/>
  </r>
  <r>
    <n v="107129"/>
    <s v="MERM. MEL FRAMBUESA QUINTA BALDE 5 Kg"/>
    <x v="1"/>
    <s v="P1-BMP Puerto Vespucio"/>
    <n v="620"/>
    <n v="4316.3"/>
    <n v="2676106"/>
    <d v="2026-07-02T00:00:00"/>
    <n v="373.8"/>
    <x v="6"/>
    <n v="1.6586409844836811"/>
    <n v="124.60000000000001"/>
  </r>
  <r>
    <n v="107113"/>
    <s v="MERM. MEL GUINDA ÁCIDA QUINTA BALDE 5 Kg"/>
    <x v="1"/>
    <s v="P1-BMP Puerto Vespucio"/>
    <n v="595"/>
    <n v="3294.48"/>
    <n v="1960215.6"/>
    <d v="2026-07-02T00:00:00"/>
    <n v="1106.4000000000001"/>
    <x v="6"/>
    <n v="0.53778018799710769"/>
    <n v="368.8"/>
  </r>
  <r>
    <n v="107359"/>
    <s v="MERMELADA CIRUELA MEL"/>
    <x v="1"/>
    <s v="P1-BMP Puerto Vespucio"/>
    <n v="340"/>
    <n v="2114.0500000000002"/>
    <n v="718777"/>
    <d v="2026-07-02T00:00:00"/>
    <n v="95.6"/>
    <x v="6"/>
    <n v="3.5564853556485359"/>
    <n v="31.866666666666664"/>
  </r>
  <r>
    <n v="107193"/>
    <s v="MERMELADA DE FRAMBUESA EBEL"/>
    <x v="1"/>
    <s v="P1-BMP Puerto Vespucio"/>
    <n v="395"/>
    <n v="3837.2"/>
    <n v="1515694"/>
    <d v="2026-07-02T00:00:00"/>
    <n v="192.6"/>
    <x v="6"/>
    <n v="2.0508826583592938"/>
    <n v="64.2"/>
  </r>
  <r>
    <n v="100105"/>
    <s v="MIX BIZC. RED VELVET PURATOS"/>
    <x v="1"/>
    <s v="P1-BMP Puerto Vespucio"/>
    <n v="1280"/>
    <n v="2223"/>
    <n v="2845440"/>
    <d v="2026-07-02T00:00:00"/>
    <n v="289.60000000000002"/>
    <x v="21"/>
    <n v="4.4198895027624303"/>
    <n v="193.06666666666669"/>
  </r>
  <r>
    <n v="100207"/>
    <s v="MIX BIZCOCHO BLANCO SAN CRISTOBAL"/>
    <x v="1"/>
    <s v="P1-BMP Puerto Vespucio"/>
    <n v="450"/>
    <n v="1426"/>
    <n v="641700"/>
    <d v="2026-07-02T00:00:00"/>
    <n v="10094.16"/>
    <x v="21"/>
    <n v="4.4580232530492883E-2"/>
    <n v="5047.08"/>
  </r>
  <r>
    <n v="403331"/>
    <s v="MIX BIZCOCHO CHOCOLATE PURATOS"/>
    <x v="1"/>
    <s v="P1-BMP Puerto Vespucio"/>
    <n v="3834"/>
    <n v="1600"/>
    <n v="6134400"/>
    <d v="2026-07-02T00:00:00"/>
    <n v="6818.166666666667"/>
    <x v="21"/>
    <n v="0.56232124960277685"/>
    <n v="4545.4444444444443"/>
  </r>
  <r>
    <n v="100221"/>
    <s v="MIX BIZCOCHO CHOCOLATE SAN CRISTOBAL"/>
    <x v="1"/>
    <s v="P1-BMP Puerto Vespucio"/>
    <n v="2664"/>
    <n v="1624"/>
    <n v="4326336"/>
    <d v="2026-07-02T00:00:00"/>
    <n v="5634"/>
    <x v="21"/>
    <n v="0.47284345047923321"/>
    <n v="2817"/>
  </r>
  <r>
    <n v="402128"/>
    <s v="MIX BIZCOCHO SIN AZUCAR PURATOS"/>
    <x v="1"/>
    <s v="P1-BMP Puerto Vespucio"/>
    <n v="390"/>
    <n v="2800.01"/>
    <n v="1092003.8999999999"/>
    <d v="2026-07-02T00:00:00"/>
    <n v="73.239999999999995"/>
    <x v="21"/>
    <n v="5.3249590387766252"/>
    <n v="48.826666666666661"/>
  </r>
  <r>
    <n v="100200"/>
    <s v="MIX TARTALETA SAN CRISTOBAL"/>
    <x v="1"/>
    <s v="P1-BMP Puerto Vespucio"/>
    <n v="820"/>
    <n v="1180"/>
    <n v="967600"/>
    <d v="2026-07-02T00:00:00"/>
    <n v="2513.44"/>
    <x v="21"/>
    <n v="0.32624610096123241"/>
    <n v="1256.72"/>
  </r>
  <r>
    <n v="405422"/>
    <s v="MOLDES PAPEL BASE TARTA MOLDESPAC"/>
    <x v="1"/>
    <s v="P1-BMP Puerto Vespucio"/>
    <n v="39000"/>
    <n v="166"/>
    <n v="6474000"/>
    <d v="2026-07-02T00:00:00"/>
    <n v="12392"/>
    <x v="8"/>
    <n v="3.147191736604261"/>
    <n v="4130.666666666667"/>
  </r>
  <r>
    <n v="405732"/>
    <s v="MOSTACILLA CORAZÓN VALENTÍN AMBROSIA"/>
    <x v="1"/>
    <s v="P1-BMP Puerto Vespucio"/>
    <n v="55"/>
    <n v="17000"/>
    <n v="935000"/>
    <d v="2026-07-02T00:00:00"/>
    <n v="57.5"/>
    <x v="4"/>
    <n v="0.95652173913043481"/>
    <n v="57.5"/>
  </r>
  <r>
    <n v="107280"/>
    <s v="NUEVO BRILLO PARA CONGELADO PURATOS"/>
    <x v="1"/>
    <s v="P1-BMP Puerto Vespucio"/>
    <n v="1035"/>
    <n v="2750"/>
    <n v="2846250"/>
    <d v="2026-07-02T00:00:00"/>
    <n v="427.02"/>
    <x v="6"/>
    <n v="2.4237740621048194"/>
    <n v="284.68"/>
  </r>
  <r>
    <n v="402130"/>
    <s v="NUEZ PICADILLO LAS TRES ERRES"/>
    <x v="1"/>
    <s v="P1-BMP Puerto Vespucio"/>
    <n v="65"/>
    <n v="5000"/>
    <n v="325000"/>
    <d v="2026-07-02T00:00:00"/>
    <n v="49.333333333333336"/>
    <x v="1"/>
    <n v="1.3175675675675675"/>
    <n v="24.666666666666671"/>
  </r>
  <r>
    <n v="405507"/>
    <s v="OREO MEDIUM CRUMBS (TROZOS) ALCA"/>
    <x v="1"/>
    <s v="P1-BMP Puerto Vespucio"/>
    <n v="4"/>
    <n v="5312.5"/>
    <n v="21250"/>
    <d v="2026-07-02T00:00:00"/>
    <n v="69.743333333333339"/>
    <x v="14"/>
    <n v="5.735315203364718E-2"/>
    <n v="34.87166666666667"/>
  </r>
  <r>
    <n v="403015"/>
    <s v="PAPEL BEIGE 38.5 x 44.5 ARRIAZA"/>
    <x v="1"/>
    <s v="P1-BMP Puerto Vespucio"/>
    <n v="18000"/>
    <n v="14.9"/>
    <n v="268200"/>
    <d v="2026-07-02T00:00:00"/>
    <n v="2166.6666666666665"/>
    <x v="8"/>
    <n v="8.3076923076923084"/>
    <n v="1444.4444444444443"/>
  </r>
  <r>
    <n v="107351"/>
    <s v="PASA MORENA"/>
    <x v="1"/>
    <s v="P1-BMP Puerto Vespucio"/>
    <n v="163"/>
    <n v="3199.99"/>
    <n v="521598.37"/>
    <d v="2026-07-02T00:00:00"/>
    <n v="55.64"/>
    <x v="1"/>
    <n v="2.929547088425593"/>
    <n v="27.82"/>
  </r>
  <r>
    <n v="107346"/>
    <s v="PIÑA EN CUBOS LAS PERDICES"/>
    <x v="1"/>
    <s v="P1-BMP Puerto Vespucio"/>
    <n v="813.28"/>
    <n v="3045.24"/>
    <n v="2476632.7872000001"/>
    <d v="2026-07-02T00:00:00"/>
    <n v="614.78727272727281"/>
    <x v="9"/>
    <n v="1.3228640801104889"/>
    <n v="204.92909090909095"/>
  </r>
  <r>
    <n v="107117"/>
    <s v="PIÑA EN RODAJAS ALTO LA CRUZ"/>
    <x v="1"/>
    <s v="P1-BMP Puerto Vespucio"/>
    <n v="727.12"/>
    <n v="2570.2800000000002"/>
    <n v="1868901.9935999999"/>
    <d v="2026-07-02T00:00:00"/>
    <n v="140.03249999999997"/>
    <x v="9"/>
    <n v="5.1925088818667104"/>
    <n v="70.016249999999985"/>
  </r>
  <r>
    <n v="405730"/>
    <s v="PLACA TORTA VIENA ZUKKER"/>
    <x v="1"/>
    <s v="P1-BMP Puerto Vespucio"/>
    <n v="190"/>
    <n v="155"/>
    <n v="29450"/>
    <d v="2026-07-02T00:00:00"/>
    <n v="2871"/>
    <x v="4"/>
    <n v="6.617903169627308E-2"/>
    <n v="2871"/>
  </r>
  <r>
    <n v="405793"/>
    <s v="PLANCHA DE CARTON 1X1,20 FULL CARTON"/>
    <x v="1"/>
    <s v="P1-BMP Puerto Vespucio"/>
    <n v="1000"/>
    <n v="617.33000000000004"/>
    <n v="617330"/>
    <d v="2026-07-02T00:00:00"/>
    <n v="500"/>
    <x v="8"/>
    <n v="2"/>
    <n v="1250"/>
  </r>
  <r>
    <n v="362029"/>
    <s v="PLANCHA DE HOJA  42X36X1 cm (1x12)"/>
    <x v="1"/>
    <s v="P1-BMP Puerto Vespucio"/>
    <n v="864"/>
    <n v="1068.05"/>
    <n v="922795.2"/>
    <d v="2026-07-02T00:00:00"/>
    <n v="932.16666666666663"/>
    <x v="2"/>
    <n v="0.92687287681029862"/>
    <n v="310.72222222222223"/>
  </r>
  <r>
    <n v="393222"/>
    <s v="PLANCHA PANQUEQUE VAINILLA TERCEROS PAVESI"/>
    <x v="1"/>
    <s v="P1-BMP Puerto Vespucio"/>
    <n v="400"/>
    <n v="2444.4"/>
    <n v="977760"/>
    <d v="2026-07-02T00:00:00"/>
    <n v="769.2"/>
    <x v="2"/>
    <n v="0.52002080083203328"/>
    <n v="384.6"/>
  </r>
  <r>
    <n v="405570"/>
    <s v="PM CREAM VELVET BAKELS"/>
    <x v="1"/>
    <s v="P1-BMP Puerto Vespucio"/>
    <n v="900"/>
    <n v="1500"/>
    <n v="1350000"/>
    <d v="2026-07-02T00:00:00"/>
    <n v="565.21739130434787"/>
    <x v="21"/>
    <n v="1.5923076923076922"/>
    <n v="282.60869565217394"/>
  </r>
  <r>
    <n v="405811"/>
    <s v="PREMEZCLA BIZCOCHO ZANAHORIA ASITEC"/>
    <x v="1"/>
    <s v="P1-BMP Puerto Vespucio"/>
    <n v="50"/>
    <n v="3750"/>
    <n v="187500"/>
    <d v="2026-07-02T00:00:00"/>
    <n v="0"/>
    <x v="10"/>
    <n v="0"/>
    <n v="0"/>
  </r>
  <r>
    <n v="403269"/>
    <s v="PROPIONATO DE CALCIO 14 KG WINKLER"/>
    <x v="1"/>
    <s v="P1-BMP Puerto Vespucio"/>
    <n v="7"/>
    <n v="3688.57"/>
    <n v="25819.99"/>
    <d v="2026-07-02T00:00:00"/>
    <n v="2.5166666666666662"/>
    <x v="31"/>
    <n v="2.7814569536423845"/>
    <n v="1.2583333333333331"/>
  </r>
  <r>
    <n v="201103"/>
    <s v="PROTEKTOR PURATOS"/>
    <x v="1"/>
    <s v="P1-BMP Puerto Vespucio"/>
    <n v="60"/>
    <n v="5673"/>
    <n v="340380"/>
    <d v="2026-07-02T00:00:00"/>
    <n v="7.1304347826086953"/>
    <x v="22"/>
    <n v="8.4146341463414629"/>
    <n v="4.7536231884057969"/>
  </r>
  <r>
    <n v="107095"/>
    <s v="PURE DE LUCUMA (ET. VERDE) BALDE 4,5 Kg"/>
    <x v="1"/>
    <s v="P1-BMP Puerto Vespucio"/>
    <n v="1116"/>
    <n v="4446.7"/>
    <n v="4962517.2"/>
    <d v="2026-07-02T00:00:00"/>
    <n v="638.24"/>
    <x v="6"/>
    <n v="1.7485585359739282"/>
    <n v="212.74666666666667"/>
  </r>
  <r>
    <n v="405436"/>
    <s v="PURE DE MANZANA BALDE 4,5 Kg MEL"/>
    <x v="1"/>
    <s v="P1-BMP Puerto Vespucio"/>
    <n v="451.5"/>
    <n v="2428.54"/>
    <n v="1096485.81"/>
    <d v="2026-07-02T00:00:00"/>
    <n v="206.3125"/>
    <x v="6"/>
    <n v="2.1884277491669191"/>
    <n v="68.770833333333329"/>
  </r>
  <r>
    <n v="405133"/>
    <s v="RALLADO NEGRO 3mm ZUKKER"/>
    <x v="1"/>
    <s v="P1-BMP Puerto Vespucio"/>
    <n v="5"/>
    <n v="5887"/>
    <n v="29435"/>
    <d v="2026-07-02T00:00:00"/>
    <n v="204.64"/>
    <x v="4"/>
    <n v="2.4433150899139954E-2"/>
    <n v="204.64"/>
  </r>
  <r>
    <n v="405558"/>
    <s v="RELLENO CREMA VAINILLA BAKELS"/>
    <x v="1"/>
    <s v="P1-BMP Puerto Vespucio"/>
    <n v="144"/>
    <n v="2750"/>
    <n v="396000"/>
    <d v="2026-07-02T00:00:00"/>
    <n v="310.18181818181819"/>
    <x v="6"/>
    <n v="0.46424384525205159"/>
    <n v="155.09090909090909"/>
  </r>
  <r>
    <n v="107263"/>
    <s v="RELLENO SABOR VAINILLA PURATOS"/>
    <x v="1"/>
    <s v="P1-BMP Puerto Vespucio"/>
    <n v="1624.5"/>
    <n v="1391"/>
    <n v="2259679.5"/>
    <d v="2026-07-02T00:00:00"/>
    <n v="1350.14"/>
    <x v="6"/>
    <n v="1.2032085561497325"/>
    <n v="900.09333333333336"/>
  </r>
  <r>
    <n v="107262"/>
    <s v="REMOJO 3 LECHES RICHI"/>
    <x v="1"/>
    <s v="P1-BMP Puerto Vespucio"/>
    <n v="380"/>
    <n v="1987.66"/>
    <n v="755310.8"/>
    <d v="2026-07-02T00:00:00"/>
    <n v="1594.84"/>
    <x v="22"/>
    <n v="0.23826841564044043"/>
    <n v="797.42000000000007"/>
  </r>
  <r>
    <n v="107148"/>
    <s v="SABOR AROMA LUCUMA FRANCIAAROMA"/>
    <x v="1"/>
    <s v="P1-BMP Puerto Vespucio"/>
    <n v="40"/>
    <n v="20900"/>
    <n v="836000"/>
    <d v="2026-07-02T00:00:00"/>
    <n v="20"/>
    <x v="1"/>
    <n v="2"/>
    <n v="20"/>
  </r>
  <r>
    <n v="405612"/>
    <s v="SATIN PURATOS"/>
    <x v="1"/>
    <s v="P1-BMP Puerto Vespucio"/>
    <n v="420"/>
    <n v="1645"/>
    <n v="690900"/>
    <d v="2026-07-02T00:00:00"/>
    <n v="211.2"/>
    <x v="6"/>
    <n v="1.9886363636363638"/>
    <n v="140.79999999999998"/>
  </r>
  <r>
    <n v="405651"/>
    <s v="SEMILLA DE AMAPOLA CAMPOS"/>
    <x v="1"/>
    <s v="P1-BMP Puerto Vespucio"/>
    <n v="10"/>
    <n v="6990"/>
    <n v="69900"/>
    <d v="2026-07-02T00:00:00"/>
    <n v="0"/>
    <x v="1"/>
    <n v="0"/>
    <n v="0"/>
  </r>
  <r>
    <n v="401015"/>
    <s v="STRECH FILM AMARILLO"/>
    <x v="1"/>
    <s v="P1-BMP Puerto Vespucio"/>
    <n v="203"/>
    <n v="3931.25"/>
    <n v="798043.75"/>
    <d v="2026-07-02T00:00:00"/>
    <n v="6.583333333333333"/>
    <x v="18"/>
    <n v="30.835443037974684"/>
    <n v="3.2916666666666661"/>
  </r>
  <r>
    <n v="401014"/>
    <s v="STRECH FILM ANARANJADO"/>
    <x v="1"/>
    <s v="P1-BMP Puerto Vespucio"/>
    <n v="133"/>
    <n v="3841.97"/>
    <n v="510982.01"/>
    <d v="2026-07-02T00:00:00"/>
    <n v="8.1111111111111107"/>
    <x v="18"/>
    <n v="16.397260273972602"/>
    <n v="4.0555555555555554"/>
  </r>
  <r>
    <n v="401013"/>
    <s v="STRECH FILM AZUL"/>
    <x v="1"/>
    <s v="P1-BMP Puerto Vespucio"/>
    <n v="86"/>
    <n v="3959.5"/>
    <n v="340517"/>
    <d v="2026-07-02T00:00:00"/>
    <n v="15.565217391304348"/>
    <x v="18"/>
    <n v="5.5251396648044695"/>
    <n v="7.7826086956521738"/>
  </r>
  <r>
    <n v="401010"/>
    <s v="STRECH FILM BLANCO"/>
    <x v="1"/>
    <s v="P1-BMP Puerto Vespucio"/>
    <n v="224"/>
    <n v="3955.21"/>
    <n v="885967.04"/>
    <d v="2026-07-02T00:00:00"/>
    <n v="13.285714285714286"/>
    <x v="18"/>
    <n v="16.86021505376344"/>
    <n v="6.6428571428571432"/>
  </r>
  <r>
    <n v="401011"/>
    <s v="STRECH FILM NEGRO"/>
    <x v="1"/>
    <s v="P1-BMP Puerto Vespucio"/>
    <n v="60"/>
    <n v="3960"/>
    <n v="237600"/>
    <d v="2026-07-02T00:00:00"/>
    <n v="2.3333333333333335"/>
    <x v="18"/>
    <n v="25.714285714285712"/>
    <n v="1.1666666666666667"/>
  </r>
  <r>
    <n v="405335"/>
    <s v="STRECH FILM REMINISEN"/>
    <x v="1"/>
    <s v="P1-BMP Puerto Vespucio"/>
    <n v="720"/>
    <n v="2320"/>
    <n v="1670400"/>
    <d v="2026-07-02T00:00:00"/>
    <n v="0"/>
    <x v="18"/>
    <n v="0"/>
    <n v="0"/>
  </r>
  <r>
    <n v="401019"/>
    <s v="STRECH FILM ROJO"/>
    <x v="1"/>
    <s v="P1-BMP Puerto Vespucio"/>
    <n v="104"/>
    <n v="3840"/>
    <n v="399360"/>
    <d v="2026-07-02T00:00:00"/>
    <n v="11.428571428571429"/>
    <x v="18"/>
    <n v="9.1"/>
    <n v="5.7142857142857144"/>
  </r>
  <r>
    <n v="401012"/>
    <s v="STRECH FILM VERDE"/>
    <x v="1"/>
    <s v="P1-BMP Puerto Vespucio"/>
    <n v="185"/>
    <n v="3934.14"/>
    <n v="727815.9"/>
    <d v="2026-07-02T00:00:00"/>
    <n v="5.75"/>
    <x v="18"/>
    <n v="32.173913043478258"/>
    <n v="2.875"/>
  </r>
  <r>
    <n v="393253"/>
    <s v="SUB DISCO HOJA 10 PP"/>
    <x v="1"/>
    <s v="P1-BMP Puerto Vespucio"/>
    <n v="270"/>
    <n v="141.82"/>
    <n v="38291.4"/>
    <d v="2026-07-02T00:00:00"/>
    <n v="5538.666666666667"/>
    <x v="2"/>
    <n v="4.8748194511314395E-2"/>
    <n v="1846.2222222222224"/>
  </r>
  <r>
    <n v="405658"/>
    <s v="SUB DISCO PANQUEQUE VAINILLA 16 CM"/>
    <x v="1"/>
    <s v="P1-BMP Puerto Vespucio"/>
    <n v="360"/>
    <n v="143.19"/>
    <n v="51548.4"/>
    <d v="2026-07-02T00:00:00"/>
    <n v="8128.4285714285716"/>
    <x v="2"/>
    <n v="4.4289003321675249E-2"/>
    <n v="2709.4761904761904"/>
  </r>
  <r>
    <n v="107301"/>
    <s v="TEGRAL BROWNIE VEGGI PURATOS"/>
    <x v="1"/>
    <s v="P1-BMP Puerto Vespucio"/>
    <n v="695"/>
    <n v="3312"/>
    <n v="2301840"/>
    <d v="2026-07-02T00:00:00"/>
    <n v="407.61904761904759"/>
    <x v="21"/>
    <n v="1.7050233644859814"/>
    <n v="271.74603174603175"/>
  </r>
  <r>
    <n v="405311"/>
    <s v="TRIANGULO BLANCO RAYADO ROJO"/>
    <x v="1"/>
    <s v="P1-BMP Puerto Vespucio"/>
    <n v="5624"/>
    <n v="104"/>
    <n v="584896"/>
    <d v="2026-07-02T00:00:00"/>
    <n v="2515.75"/>
    <x v="4"/>
    <n v="2.2355162476398687"/>
    <n v="2515.75"/>
  </r>
  <r>
    <n v="405134"/>
    <s v="TRIANGULO NEGRO 45mm ZUKKER"/>
    <x v="1"/>
    <s v="P1-BMP Puerto Vespucio"/>
    <n v="20000"/>
    <n v="36"/>
    <n v="720000"/>
    <d v="2026-07-02T00:00:00"/>
    <n v="11624"/>
    <x v="4"/>
    <n v="1.7205781142463867"/>
    <n v="11624"/>
  </r>
  <r>
    <n v="107102"/>
    <s v="TRUFA CHOCOLATE PURATOS"/>
    <x v="1"/>
    <s v="P1-BMP Puerto Vespucio"/>
    <n v="560"/>
    <n v="3122.85"/>
    <n v="1748796"/>
    <d v="2026-07-02T00:00:00"/>
    <n v="153.4"/>
    <x v="9"/>
    <n v="3.6505867014341589"/>
    <n v="102.26666666666667"/>
  </r>
  <r>
    <n v="405533"/>
    <s v="ULTRA RICH CLASICA UHT"/>
    <x v="1"/>
    <s v="P1-BMP Puerto Vespucio"/>
    <n v="839"/>
    <n v="2266"/>
    <n v="1901174"/>
    <d v="2026-07-02T00:00:00"/>
    <n v="310.375"/>
    <x v="15"/>
    <n v="2.703181635118808"/>
    <n v="155.1875"/>
  </r>
  <r>
    <n v="107164"/>
    <s v="YOGURT FRUTILLA DIWATTS"/>
    <x v="1"/>
    <s v="P1-BMP Puerto Vespucio"/>
    <n v="470"/>
    <n v="1129"/>
    <n v="530630"/>
    <d v="2026-07-02T00:00:00"/>
    <n v="313.95833333333331"/>
    <x v="26"/>
    <n v="1.4970139349701395"/>
    <n v="104.65277777777777"/>
  </r>
  <r>
    <n v="405445"/>
    <s v="BASE TORTA 15PP ALTA COEXPAN"/>
    <x v="2"/>
    <s v="C4-BMP Curico"/>
    <n v="843"/>
    <n v="93.6"/>
    <n v="78904.800000000003"/>
    <d v="2026-07-02T00:00:00"/>
    <m/>
    <x v="3"/>
    <n v="7"/>
    <m/>
  </r>
  <r>
    <n v="400104"/>
    <s v="BOLSA DISCO HOJA 35X35 CM x35 MICRAS"/>
    <x v="2"/>
    <s v="C4-BMP Curico"/>
    <n v="80947"/>
    <n v="26.75"/>
    <n v="2165332.25"/>
    <d v="2026-07-02T00:00:00"/>
    <m/>
    <x v="5"/>
    <n v="7"/>
    <m/>
  </r>
  <r>
    <n v="400202"/>
    <s v="BOLSA PREPICADA 50x75"/>
    <x v="2"/>
    <s v="C4-BMP Curico"/>
    <n v="129.24"/>
    <n v="2741.43"/>
    <n v="354302.41320000001"/>
    <d v="2026-07-02T00:00:00"/>
    <m/>
    <x v="5"/>
    <n v="7"/>
    <m/>
  </r>
  <r>
    <n v="400203"/>
    <s v="BOLSA PREPICADA BANDEJA (22+60+22)104x90"/>
    <x v="2"/>
    <s v="C4-BMP Curico"/>
    <n v="554.4"/>
    <n v="2733.09"/>
    <n v="1515225.0959999999"/>
    <d v="2026-07-02T00:00:00"/>
    <m/>
    <x v="5"/>
    <n v="7"/>
    <m/>
  </r>
  <r>
    <n v="107366"/>
    <s v="CAJA MADRE DE PLANCHAS (PL) SYCOR"/>
    <x v="2"/>
    <s v="C4-BMP Curico"/>
    <n v="108"/>
    <n v="721.97"/>
    <n v="77972.759999999995"/>
    <d v="2026-07-02T00:00:00"/>
    <m/>
    <x v="7"/>
    <n v="7"/>
    <m/>
  </r>
  <r>
    <n v="107365"/>
    <s v="CAJA PRODUCTO SECO (PS) SYCOR"/>
    <x v="2"/>
    <s v="C4-BMP Curico"/>
    <n v="134"/>
    <n v="493"/>
    <n v="66062"/>
    <d v="2026-07-02T00:00:00"/>
    <m/>
    <x v="7"/>
    <n v="7"/>
    <m/>
  </r>
  <r>
    <n v="405790"/>
    <s v="CAJA PTG 15PP JUMBO FULL CARTON"/>
    <x v="2"/>
    <s v="C4-BMP Curico"/>
    <n v="388"/>
    <n v="562.6"/>
    <n v="218288.8"/>
    <d v="2026-07-02T00:00:00"/>
    <m/>
    <x v="8"/>
    <n v="7"/>
    <m/>
  </r>
  <r>
    <n v="405791"/>
    <s v="CAJA PTG 15PP SISA FULL CARTON"/>
    <x v="2"/>
    <s v="C4-BMP Curico"/>
    <n v="26"/>
    <n v="562.62"/>
    <n v="14628.12"/>
    <d v="2026-07-02T00:00:00"/>
    <m/>
    <x v="8"/>
    <n v="7"/>
    <m/>
  </r>
  <r>
    <n v="403393"/>
    <s v="CAJA PTG 15PP SISA PROSERVAR"/>
    <x v="2"/>
    <s v="C4-BMP Curico"/>
    <n v="143"/>
    <n v="555"/>
    <n v="79365"/>
    <d v="2026-07-02T00:00:00"/>
    <m/>
    <x v="7"/>
    <n v="7"/>
    <m/>
  </r>
  <r>
    <n v="402255"/>
    <s v="CINTA DE EMBALAJE 72x100 SOLUTION"/>
    <x v="2"/>
    <s v="C4-BMP Curico"/>
    <n v="70.290000000000006"/>
    <n v="1290.01"/>
    <n v="90674.802899999995"/>
    <d v="2026-07-02T00:00:00"/>
    <m/>
    <x v="11"/>
    <n v="7"/>
    <m/>
  </r>
  <r>
    <n v="404309"/>
    <s v="CINTA NEGRA GC ZUKKER"/>
    <x v="2"/>
    <s v="C4-BMP Curico"/>
    <n v="186.01"/>
    <n v="8884.92"/>
    <n v="1652683.9691999999"/>
    <d v="2026-07-02T00:00:00"/>
    <m/>
    <x v="4"/>
    <n v="7"/>
    <m/>
  </r>
  <r>
    <n v="107098"/>
    <s v="CREMA PASTELERA ESPECIAL PURATOS"/>
    <x v="2"/>
    <s v="C4-BMP Curico"/>
    <n v="57.56"/>
    <n v="3199.77"/>
    <n v="184178.76120000001"/>
    <d v="2026-07-02T00:00:00"/>
    <m/>
    <x v="15"/>
    <n v="7"/>
    <m/>
  </r>
  <r>
    <n v="405444"/>
    <s v="CUPULA TORTA 15 PP ALTA COEXPAN"/>
    <x v="2"/>
    <s v="C4-BMP Curico"/>
    <n v="1325"/>
    <n v="252"/>
    <n v="333900"/>
    <d v="2026-07-02T00:00:00"/>
    <m/>
    <x v="3"/>
    <n v="7"/>
    <m/>
  </r>
  <r>
    <n v="405278"/>
    <s v="CUPULA TORTA 15PP (98-45) MOLDESPAC"/>
    <x v="2"/>
    <s v="C4-BMP Curico"/>
    <n v="751"/>
    <n v="244.66"/>
    <n v="183739.66"/>
    <d v="2026-07-02T00:00:00"/>
    <m/>
    <x v="3"/>
    <n v="7"/>
    <m/>
  </r>
  <r>
    <n v="405375"/>
    <s v="CUPULA TORTA ALTA  15PP (98-5) FOOD PACK"/>
    <x v="2"/>
    <s v="C4-BMP Curico"/>
    <n v="994"/>
    <n v="240"/>
    <n v="238560"/>
    <d v="2026-07-02T00:00:00"/>
    <m/>
    <x v="3"/>
    <n v="7"/>
    <m/>
  </r>
  <r>
    <n v="107344"/>
    <s v="CUPULA TORTA ALTA  15PP (98-5) MOLDESPAC"/>
    <x v="2"/>
    <s v="C4-BMP Curico"/>
    <n v="2240"/>
    <n v="239.97"/>
    <n v="537532.80000000005"/>
    <d v="2026-07-02T00:00:00"/>
    <m/>
    <x v="3"/>
    <n v="7"/>
    <m/>
  </r>
  <r>
    <n v="107127"/>
    <s v="DECORCREM BLANCO 4k PURATOS"/>
    <x v="2"/>
    <s v="C4-BMP Curico"/>
    <n v="65.680000000000007"/>
    <n v="6266.15"/>
    <n v="411560.73200000002"/>
    <d v="2026-07-02T00:00:00"/>
    <m/>
    <x v="4"/>
    <n v="7"/>
    <m/>
  </r>
  <r>
    <n v="107108"/>
    <s v="DECORCREM NEGRO PURATOS"/>
    <x v="2"/>
    <s v="C4-BMP Curico"/>
    <n v="149.96"/>
    <n v="4199.9799999999996"/>
    <n v="629829.00080000004"/>
    <d v="2026-07-02T00:00:00"/>
    <m/>
    <x v="4"/>
    <n v="7"/>
    <m/>
  </r>
  <r>
    <n v="405740"/>
    <s v="DISCO CARTON BLANCO 19 CM PRAGGA"/>
    <x v="2"/>
    <s v="C4-BMP Curico"/>
    <n v="16062"/>
    <n v="24.9"/>
    <n v="399943.8"/>
    <d v="2026-07-02T00:00:00"/>
    <m/>
    <x v="8"/>
    <n v="7"/>
    <m/>
  </r>
  <r>
    <n v="403103"/>
    <s v="DISCO CARTON MH 15 PP ARRIAZA"/>
    <x v="2"/>
    <s v="C4-BMP Curico"/>
    <n v="11848"/>
    <n v="26.9"/>
    <n v="318711.2"/>
    <d v="2026-07-02T00:00:00"/>
    <m/>
    <x v="8"/>
    <n v="7"/>
    <m/>
  </r>
  <r>
    <n v="107187"/>
    <s v="DISCO DE PAPEL 19CM PQQ CURICO"/>
    <x v="2"/>
    <s v="C4-BMP Curico"/>
    <n v="56"/>
    <n v="14.61"/>
    <n v="818.16"/>
    <d v="2026-07-02T00:00:00"/>
    <m/>
    <x v="8"/>
    <n v="7"/>
    <m/>
  </r>
  <r>
    <n v="405587"/>
    <s v="DISCO DE PAPEL KRAFT 100GR 21CM PAPELERA"/>
    <x v="2"/>
    <s v="C4-BMP Curico"/>
    <n v="190000"/>
    <n v="10.24"/>
    <n v="1945600"/>
    <d v="2026-07-02T00:00:00"/>
    <m/>
    <x v="8"/>
    <n v="7"/>
    <m/>
  </r>
  <r>
    <n v="405812"/>
    <s v="DISCO DE PAPEL KRAFT 100GR 28 CM PAPELERA"/>
    <x v="2"/>
    <s v="C4-BMP Curico"/>
    <n v="10000"/>
    <n v="15"/>
    <n v="150000"/>
    <d v="2026-07-02T00:00:00"/>
    <m/>
    <x v="10"/>
    <n v="7"/>
    <m/>
  </r>
  <r>
    <n v="107420"/>
    <s v="DISCO DE PAPEL PQQ KRAFT FPS"/>
    <x v="2"/>
    <s v="C4-BMP Curico"/>
    <n v="20716"/>
    <n v="19.2"/>
    <n v="397747.20000000001"/>
    <d v="2026-07-02T00:00:00"/>
    <m/>
    <x v="8"/>
    <n v="7"/>
    <m/>
  </r>
  <r>
    <n v="107294"/>
    <s v="DULCE DE RELLENO DIWATTS"/>
    <x v="2"/>
    <s v="C4-BMP Curico"/>
    <n v="1227.31"/>
    <n v="1660"/>
    <n v="2037334.6"/>
    <d v="2026-07-02T00:00:00"/>
    <m/>
    <x v="6"/>
    <n v="7"/>
    <m/>
  </r>
  <r>
    <n v="405712"/>
    <s v="ETIQ. CIRCULAR 90cm IMPR. OPP TORTA MIL HOJAS MANJAR ARTESANAL WALMART"/>
    <x v="2"/>
    <s v="C4-BMP Curico"/>
    <n v="4211"/>
    <n v="22.7"/>
    <n v="95589.7"/>
    <d v="2026-07-02T00:00:00"/>
    <m/>
    <x v="17"/>
    <n v="7"/>
    <m/>
  </r>
  <r>
    <n v="405129"/>
    <s v="ETIQ.CIRCULAR 9cm IMPR. TORTA HOJA PASTELERA JUMBO"/>
    <x v="2"/>
    <s v="C4-BMP Curico"/>
    <n v="5204"/>
    <n v="20.7"/>
    <n v="107722.8"/>
    <d v="2026-07-02T00:00:00"/>
    <m/>
    <x v="17"/>
    <n v="7"/>
    <m/>
  </r>
  <r>
    <n v="405160"/>
    <s v="ETIQUETA 200X50 POLIPROPILENO IMPR. QUINTA"/>
    <x v="2"/>
    <s v="C4-BMP Curico"/>
    <n v="2544"/>
    <n v="16.16"/>
    <n v="41111.040000000001"/>
    <d v="2026-07-02T00:00:00"/>
    <m/>
    <x v="17"/>
    <n v="7"/>
    <m/>
  </r>
  <r>
    <n v="405049"/>
    <s v="ETIQUETA AUTOADHESIVA 22X32 POLIPROPILENO (OPP)"/>
    <x v="2"/>
    <s v="C4-BMP Curico"/>
    <n v="18011"/>
    <n v="1.55"/>
    <n v="27917.05"/>
    <d v="2026-07-02T00:00:00"/>
    <m/>
    <x v="17"/>
    <n v="7"/>
    <m/>
  </r>
  <r>
    <n v="404719"/>
    <s v="ETIQUETA BLANCA 100x120 SISA"/>
    <x v="2"/>
    <s v="C4-BMP Curico"/>
    <n v="38362"/>
    <n v="15.86"/>
    <n v="608421.31999999995"/>
    <d v="2026-07-02T00:00:00"/>
    <m/>
    <x v="17"/>
    <n v="7"/>
    <m/>
  </r>
  <r>
    <n v="404720"/>
    <s v="ETIQUETA BLANCA 100x50"/>
    <x v="2"/>
    <s v="C4-BMP Curico"/>
    <n v="48402.82"/>
    <n v="6.84"/>
    <n v="331075.28879999998"/>
    <d v="2026-07-02T00:00:00"/>
    <m/>
    <x v="17"/>
    <n v="7"/>
    <m/>
  </r>
  <r>
    <n v="405103"/>
    <s v="ETIQUETA BLANCA 200X50 SISA OPP"/>
    <x v="2"/>
    <s v="C4-BMP Curico"/>
    <n v="7474"/>
    <n v="15.61"/>
    <n v="116669.14"/>
    <d v="2026-07-02T00:00:00"/>
    <m/>
    <x v="17"/>
    <n v="7"/>
    <m/>
  </r>
  <r>
    <n v="404722"/>
    <s v="ETIQUETA BLANCA 30X40"/>
    <x v="2"/>
    <s v="C4-BMP Curico"/>
    <n v="178132"/>
    <n v="2.81"/>
    <n v="500550.92"/>
    <d v="2026-07-02T00:00:00"/>
    <m/>
    <x v="17"/>
    <n v="7"/>
    <m/>
  </r>
  <r>
    <n v="405128"/>
    <s v="ETIQUETA CIRCULAR 9cm TORTA HOJA MANJAR JUMBO"/>
    <x v="2"/>
    <s v="C4-BMP Curico"/>
    <n v="19372"/>
    <n v="20.23"/>
    <n v="391895.56"/>
    <d v="2026-07-02T00:00:00"/>
    <m/>
    <x v="16"/>
    <n v="7"/>
    <m/>
  </r>
  <r>
    <n v="405721"/>
    <s v="ETIQUETA COLOR CREMA 245X40 OPP"/>
    <x v="2"/>
    <s v="C4-BMP Curico"/>
    <n v="5211"/>
    <n v="20.7"/>
    <n v="107867.7"/>
    <d v="2026-07-02T00:00:00"/>
    <m/>
    <x v="17"/>
    <n v="7"/>
    <m/>
  </r>
  <r>
    <n v="405492"/>
    <s v="ETIQUETA GENERICA TORTA MIL HOJAS MANJAR ESPECIAL WALMART"/>
    <x v="2"/>
    <s v="C4-BMP Curico"/>
    <n v="42500"/>
    <n v="27.3"/>
    <n v="1160250"/>
    <d v="2026-07-02T00:00:00"/>
    <m/>
    <x v="17"/>
    <n v="7"/>
    <m/>
  </r>
  <r>
    <n v="405034"/>
    <s v="ETIQUETAS CIRCULAR 9cm IMPR. TORTA HOJA MANJAR"/>
    <x v="2"/>
    <s v="C4-BMP Curico"/>
    <n v="4498"/>
    <n v="17.170000000000002"/>
    <n v="77230.66"/>
    <d v="2026-07-02T00:00:00"/>
    <m/>
    <x v="17"/>
    <n v="7"/>
    <m/>
  </r>
  <r>
    <n v="100206"/>
    <s v="HARINA 063 FINA HOJA SAN CRISTOBAL"/>
    <x v="2"/>
    <s v="C4-BMP Curico"/>
    <n v="4446.67"/>
    <n v="676"/>
    <n v="3005948.92"/>
    <d v="2026-07-02T00:00:00"/>
    <m/>
    <x v="21"/>
    <n v="7"/>
    <m/>
  </r>
  <r>
    <n v="405705"/>
    <s v="HARINA FORTALEZA SAN CRISTOBAL"/>
    <x v="2"/>
    <s v="C4-BMP Curico"/>
    <n v="75"/>
    <n v="606"/>
    <n v="45450"/>
    <d v="2026-07-02T00:00:00"/>
    <m/>
    <x v="32"/>
    <n v="7"/>
    <m/>
  </r>
  <r>
    <n v="100104"/>
    <s v="HARINA PLATA SAN CRISTOBAL"/>
    <x v="2"/>
    <s v="C4-BMP Curico"/>
    <n v="1050"/>
    <n v="673.38"/>
    <n v="707049"/>
    <d v="2026-07-02T00:00:00"/>
    <m/>
    <x v="21"/>
    <n v="7"/>
    <m/>
  </r>
  <r>
    <n v="403373"/>
    <s v="HOJA SEPARADORA PLANCHAS PROSERVAR"/>
    <x v="2"/>
    <s v="C4-BMP Curico"/>
    <n v="511"/>
    <n v="205"/>
    <n v="104755"/>
    <d v="2026-07-02T00:00:00"/>
    <m/>
    <x v="8"/>
    <n v="7"/>
    <m/>
  </r>
  <r>
    <n v="393320"/>
    <s v="HOJA SEPARADORA TORTA DIAMETRO 230 MMS."/>
    <x v="2"/>
    <s v="C4-BMP Curico"/>
    <n v="103.5"/>
    <n v="151"/>
    <n v="15628.5"/>
    <d v="2026-07-02T00:00:00"/>
    <m/>
    <x v="8"/>
    <n v="7"/>
    <m/>
  </r>
  <r>
    <n v="405246"/>
    <s v="HUEVO EN POLVO OVOSUR"/>
    <x v="2"/>
    <s v="C4-BMP Curico"/>
    <n v="379.32"/>
    <n v="7800"/>
    <n v="2958696"/>
    <d v="2026-07-02T00:00:00"/>
    <m/>
    <x v="30"/>
    <n v="7"/>
    <m/>
  </r>
  <r>
    <n v="403104"/>
    <s v="HUINCHA CARTON MH 8.5x75 ARRIAZA"/>
    <x v="2"/>
    <s v="C4-BMP Curico"/>
    <n v="290.55"/>
    <n v="990.01"/>
    <n v="287647.40549999999"/>
    <d v="2026-07-02T00:00:00"/>
    <m/>
    <x v="8"/>
    <n v="7"/>
    <m/>
  </r>
  <r>
    <n v="107109"/>
    <s v="MANJAR ARTESANAL DIWATTS"/>
    <x v="2"/>
    <s v="C4-BMP Curico"/>
    <n v="3405.1"/>
    <n v="2323"/>
    <n v="7910047.2999999998"/>
    <d v="2026-07-02T00:00:00"/>
    <m/>
    <x v="16"/>
    <n v="7"/>
    <m/>
  </r>
  <r>
    <n v="405807"/>
    <s v="MANTECA VEGETAL 1KG CERRILLOS"/>
    <x v="2"/>
    <s v="C4-BMP Curico"/>
    <n v="585"/>
    <n v="2150"/>
    <n v="1257750"/>
    <d v="2026-07-02T00:00:00"/>
    <m/>
    <x v="10"/>
    <n v="7"/>
    <m/>
  </r>
  <r>
    <n v="201006"/>
    <s v="MARGARINA DE HOJA CERRILLOS"/>
    <x v="2"/>
    <s v="C4-BMP Curico"/>
    <n v="2028"/>
    <n v="2339.6999999999998"/>
    <n v="4744911.5999999996"/>
    <d v="2026-07-02T00:00:00"/>
    <m/>
    <x v="25"/>
    <n v="7"/>
    <m/>
  </r>
  <r>
    <n v="405700"/>
    <s v="MARGARINA MULTIPROPÓSITO HORNEO"/>
    <x v="2"/>
    <s v="C4-BMP Curico"/>
    <n v="1692.92"/>
    <n v="1472.97"/>
    <n v="2493620.3724000002"/>
    <d v="2026-07-02T00:00:00"/>
    <m/>
    <x v="25"/>
    <n v="7"/>
    <m/>
  </r>
  <r>
    <n v="107001"/>
    <s v="MARRASQUINO ALTO LA CRUZ"/>
    <x v="2"/>
    <s v="C4-BMP Curico"/>
    <n v="1.68"/>
    <n v="5602.98"/>
    <n v="9413.0064000000002"/>
    <d v="2026-07-02T00:00:00"/>
    <m/>
    <x v="9"/>
    <n v="7"/>
    <m/>
  </r>
  <r>
    <n v="107324"/>
    <s v="MARRASQUINO FRUCOL"/>
    <x v="2"/>
    <s v="C4-BMP Curico"/>
    <n v="21.6"/>
    <n v="5177.6400000000003"/>
    <n v="111837.024"/>
    <d v="2026-07-02T00:00:00"/>
    <m/>
    <x v="9"/>
    <n v="7"/>
    <m/>
  </r>
  <r>
    <n v="107285"/>
    <s v="MIX PANQUEQUE CHOCOLATE SAN CRISTOBAL"/>
    <x v="2"/>
    <s v="C4-BMP Curico"/>
    <n v="591.22"/>
    <n v="2760"/>
    <n v="1631767.2"/>
    <d v="2026-07-02T00:00:00"/>
    <m/>
    <x v="21"/>
    <n v="7"/>
    <m/>
  </r>
  <r>
    <n v="405248"/>
    <s v="MIX PANQUEQUE HUEVO POLVO SAN CRISTOBAL"/>
    <x v="2"/>
    <s v="C4-BMP Curico"/>
    <n v="2946.58"/>
    <n v="1280"/>
    <n v="3771622.4"/>
    <d v="2026-07-02T00:00:00"/>
    <m/>
    <x v="21"/>
    <n v="7"/>
    <m/>
  </r>
  <r>
    <n v="403014"/>
    <s v="PAPEL MANTEQUILLA ARRIAZA"/>
    <x v="2"/>
    <s v="C4-BMP Curico"/>
    <n v="450"/>
    <n v="56"/>
    <n v="25200"/>
    <d v="2026-07-02T00:00:00"/>
    <m/>
    <x v="8"/>
    <n v="7"/>
    <m/>
  </r>
  <r>
    <n v="405793"/>
    <s v="PLANCHA DE CARTON 1X1,20 FULL CARTON"/>
    <x v="2"/>
    <s v="C4-BMP Curico"/>
    <n v="318.5"/>
    <n v="617.33000000000004"/>
    <n v="196619.60500000001"/>
    <d v="2026-07-02T00:00:00"/>
    <m/>
    <x v="8"/>
    <n v="7"/>
    <m/>
  </r>
  <r>
    <n v="102103"/>
    <s v="PROPIONATO DE SODIO WINKLER"/>
    <x v="2"/>
    <s v="C4-BMP Curico"/>
    <n v="73.52"/>
    <n v="3689.99"/>
    <n v="271288.06479999999"/>
    <d v="2026-07-02T00:00:00"/>
    <m/>
    <x v="31"/>
    <n v="7"/>
    <m/>
  </r>
  <r>
    <n v="104010"/>
    <s v="SAL FINA"/>
    <x v="2"/>
    <s v="C4-BMP Curico"/>
    <n v="217"/>
    <n v="465"/>
    <n v="100905"/>
    <d v="2026-07-02T00:00:00"/>
    <m/>
    <x v="2"/>
    <n v="7"/>
    <m/>
  </r>
  <r>
    <n v="401015"/>
    <s v="STRECH FILM AMARILLO"/>
    <x v="2"/>
    <s v="C4-BMP Curico"/>
    <n v="9"/>
    <n v="3904.22"/>
    <n v="35137.980000000003"/>
    <d v="2026-07-02T00:00:00"/>
    <m/>
    <x v="18"/>
    <n v="7"/>
    <m/>
  </r>
  <r>
    <n v="401014"/>
    <s v="STRECH FILM ANARANJADO"/>
    <x v="2"/>
    <s v="C4-BMP Curico"/>
    <n v="13"/>
    <n v="3832.31"/>
    <n v="49820.03"/>
    <d v="2026-07-02T00:00:00"/>
    <m/>
    <x v="18"/>
    <n v="7"/>
    <m/>
  </r>
  <r>
    <n v="401013"/>
    <s v="STRECH FILM AZUL"/>
    <x v="2"/>
    <s v="C4-BMP Curico"/>
    <n v="12"/>
    <n v="3935.83"/>
    <n v="47229.96"/>
    <d v="2026-07-02T00:00:00"/>
    <m/>
    <x v="18"/>
    <n v="7"/>
    <m/>
  </r>
  <r>
    <n v="401010"/>
    <s v="STRECH FILM BLANCO"/>
    <x v="2"/>
    <s v="C4-BMP Curico"/>
    <n v="13"/>
    <n v="3941.54"/>
    <n v="51240.02"/>
    <d v="2026-07-02T00:00:00"/>
    <m/>
    <x v="18"/>
    <n v="7"/>
    <m/>
  </r>
  <r>
    <n v="401011"/>
    <s v="STRECH FILM NEGRO"/>
    <x v="2"/>
    <s v="C4-BMP Curico"/>
    <n v="12"/>
    <n v="3865.42"/>
    <n v="46385.04"/>
    <d v="2026-07-02T00:00:00"/>
    <m/>
    <x v="18"/>
    <n v="7"/>
    <m/>
  </r>
  <r>
    <n v="401012"/>
    <s v="STRECH FILM VERDE"/>
    <x v="2"/>
    <s v="C4-BMP Curico"/>
    <n v="12"/>
    <n v="3894.92"/>
    <n v="46739.040000000001"/>
    <d v="2026-07-02T00:00:00"/>
    <m/>
    <x v="18"/>
    <n v="7"/>
    <m/>
  </r>
  <r>
    <n v="106101"/>
    <s v="VINAGRE WINKLER"/>
    <x v="2"/>
    <s v="C4-BMP Curico"/>
    <n v="359"/>
    <n v="620"/>
    <n v="222580"/>
    <d v="2026-07-02T00:00:00"/>
    <m/>
    <x v="2"/>
    <n v="7"/>
    <m/>
  </r>
  <r>
    <n v="107401"/>
    <s v="DURAZNO EN SLICE LAS PERDICES"/>
    <x v="3"/>
    <s v="E14-Bodega Apolo Enea"/>
    <n v="7774.02"/>
    <n v="2426.1"/>
    <n v="18860549.921999998"/>
    <d v="2026-07-02T00:00:00"/>
    <m/>
    <x v="9"/>
    <n v="7"/>
    <m/>
  </r>
  <r>
    <n v="405700"/>
    <s v="MARGARINA MULTIPROPÓSITO HORNEO"/>
    <x v="3"/>
    <s v="E14-Bodega Apolo Enea"/>
    <n v="16500"/>
    <n v="1472.97"/>
    <n v="24304005"/>
    <d v="2026-07-02T00:00:00"/>
    <m/>
    <x v="25"/>
    <n v="7"/>
    <m/>
  </r>
  <r>
    <n v="107346"/>
    <s v="PIÑA EN CUBOS LAS PERDICES"/>
    <x v="3"/>
    <s v="E14-Bodega Apolo Enea"/>
    <n v="24508.16"/>
    <n v="3045.24"/>
    <n v="74633229.158399999"/>
    <d v="2026-07-02T00:00:00"/>
    <m/>
    <x v="9"/>
    <n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6B48C-D508-4CB6-8F50-BD787941AF19}" name="TablaDinámica1" cacheId="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BODEGAS ">
  <location ref="A3:F38" firstHeaderRow="1" firstDataRow="2" firstDataCol="1"/>
  <pivotFields count="12">
    <pivotField showAll="0"/>
    <pivotField showAll="0"/>
    <pivotField axis="axisCol" showAll="0">
      <items count="5">
        <item x="2"/>
        <item x="0"/>
        <item x="3"/>
        <item x="1"/>
        <item t="default"/>
      </items>
    </pivotField>
    <pivotField showAll="0"/>
    <pivotField showAll="0"/>
    <pivotField numFmtId="42" showAll="0"/>
    <pivotField dataField="1" numFmtId="42" showAll="0"/>
    <pivotField numFmtId="16" showAll="0"/>
    <pivotField showAll="0"/>
    <pivotField axis="axisRow" showAll="0" sortType="descending">
      <items count="34">
        <item x="27"/>
        <item x="0"/>
        <item x="5"/>
        <item x="7"/>
        <item x="8"/>
        <item x="4"/>
        <item x="28"/>
        <item x="13"/>
        <item x="15"/>
        <item x="3"/>
        <item x="29"/>
        <item x="11"/>
        <item x="1"/>
        <item x="17"/>
        <item x="18"/>
        <item x="19"/>
        <item x="9"/>
        <item x="14"/>
        <item x="20"/>
        <item x="32"/>
        <item x="30"/>
        <item x="2"/>
        <item x="23"/>
        <item x="24"/>
        <item x="12"/>
        <item x="16"/>
        <item x="25"/>
        <item x="6"/>
        <item x="21"/>
        <item x="31"/>
        <item x="22"/>
        <item x="26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9"/>
  </rowFields>
  <rowItems count="34">
    <i>
      <x v="16"/>
    </i>
    <i>
      <x v="27"/>
    </i>
    <i>
      <x v="8"/>
    </i>
    <i>
      <x v="21"/>
    </i>
    <i>
      <x v="5"/>
    </i>
    <i>
      <x v="4"/>
    </i>
    <i>
      <x v="9"/>
    </i>
    <i>
      <x v="26"/>
    </i>
    <i>
      <x v="13"/>
    </i>
    <i>
      <x v="28"/>
    </i>
    <i>
      <x v="25"/>
    </i>
    <i>
      <x v="30"/>
    </i>
    <i>
      <x v="2"/>
    </i>
    <i>
      <x v="3"/>
    </i>
    <i>
      <x v="14"/>
    </i>
    <i>
      <x v="12"/>
    </i>
    <i>
      <x v="20"/>
    </i>
    <i>
      <x v="32"/>
    </i>
    <i>
      <x v="10"/>
    </i>
    <i>
      <x v="15"/>
    </i>
    <i>
      <x v="17"/>
    </i>
    <i>
      <x v="1"/>
    </i>
    <i>
      <x/>
    </i>
    <i>
      <x v="18"/>
    </i>
    <i>
      <x v="11"/>
    </i>
    <i>
      <x v="31"/>
    </i>
    <i>
      <x v="22"/>
    </i>
    <i>
      <x v="23"/>
    </i>
    <i>
      <x v="6"/>
    </i>
    <i>
      <x v="29"/>
    </i>
    <i>
      <x v="24"/>
    </i>
    <i>
      <x v="19"/>
    </i>
    <i>
      <x v="7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a de Valorizado" fld="6" baseField="0" baseItem="0" numFmtId="42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type="origin" dataOnly="0" labelOnly="1" outline="0" fieldPosition="0"/>
    </format>
    <format dxfId="4">
      <pivotArea type="topRight" dataOnly="0" labelOnly="1" outline="0" fieldPosition="0"/>
    </format>
    <format dxfId="3">
      <pivotArea field="9" type="button" dataOnly="0" labelOnly="1" outline="0" axis="axisRow" fieldPosition="0"/>
    </format>
    <format dxfId="2">
      <pivotArea dataOnly="0" labelOnly="1" fieldPosition="0">
        <references count="1">
          <reference field="9" count="0"/>
        </references>
      </pivotArea>
    </format>
    <format dxfId="1">
      <pivotArea dataOnly="0" labelOnly="1" grandRow="1" outline="0" fieldPosition="0"/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29587-9CBE-4B06-95F1-B795986D0C91}" name="TablaDinámica2" cacheId="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J3:K32" firstHeaderRow="1" firstDataRow="1" firstDataCol="1" rowPageCount="1" colPageCount="1"/>
  <pivotFields count="12">
    <pivotField showAll="0"/>
    <pivotField axis="axisRow" showAll="0">
      <items count="381">
        <item x="255"/>
        <item x="9"/>
        <item x="2"/>
        <item x="0"/>
        <item x="1"/>
        <item x="253"/>
        <item x="7"/>
        <item x="254"/>
        <item x="3"/>
        <item x="5"/>
        <item x="10"/>
        <item x="12"/>
        <item x="11"/>
        <item x="256"/>
        <item x="15"/>
        <item x="13"/>
        <item x="257"/>
        <item x="14"/>
        <item x="16"/>
        <item x="17"/>
        <item x="19"/>
        <item x="18"/>
        <item x="20"/>
        <item x="23"/>
        <item x="21"/>
        <item x="22"/>
        <item x="258"/>
        <item x="259"/>
        <item x="261"/>
        <item x="260"/>
        <item x="27"/>
        <item x="262"/>
        <item x="24"/>
        <item x="25"/>
        <item x="26"/>
        <item x="28"/>
        <item x="29"/>
        <item x="263"/>
        <item x="31"/>
        <item x="30"/>
        <item x="32"/>
        <item x="33"/>
        <item x="34"/>
        <item x="35"/>
        <item x="40"/>
        <item x="36"/>
        <item x="37"/>
        <item x="264"/>
        <item x="38"/>
        <item x="39"/>
        <item x="41"/>
        <item x="47"/>
        <item x="42"/>
        <item x="43"/>
        <item x="44"/>
        <item x="45"/>
        <item x="52"/>
        <item x="46"/>
        <item x="265"/>
        <item x="48"/>
        <item x="266"/>
        <item x="49"/>
        <item x="50"/>
        <item x="51"/>
        <item x="54"/>
        <item x="267"/>
        <item x="53"/>
        <item x="268"/>
        <item x="269"/>
        <item x="271"/>
        <item x="55"/>
        <item x="270"/>
        <item x="56"/>
        <item x="60"/>
        <item x="57"/>
        <item x="272"/>
        <item x="58"/>
        <item x="275"/>
        <item x="59"/>
        <item x="273"/>
        <item x="63"/>
        <item x="61"/>
        <item x="62"/>
        <item x="64"/>
        <item x="274"/>
        <item x="276"/>
        <item x="67"/>
        <item x="277"/>
        <item x="278"/>
        <item x="65"/>
        <item x="279"/>
        <item x="66"/>
        <item x="363"/>
        <item x="361"/>
        <item x="68"/>
        <item x="362"/>
        <item x="69"/>
        <item x="70"/>
        <item x="71"/>
        <item x="72"/>
        <item x="73"/>
        <item x="74"/>
        <item x="75"/>
        <item x="280"/>
        <item x="76"/>
        <item x="77"/>
        <item x="78"/>
        <item x="281"/>
        <item x="282"/>
        <item x="289"/>
        <item x="290"/>
        <item x="292"/>
        <item x="293"/>
        <item x="294"/>
        <item x="79"/>
        <item x="283"/>
        <item x="295"/>
        <item x="296"/>
        <item x="284"/>
        <item x="80"/>
        <item x="285"/>
        <item x="297"/>
        <item x="298"/>
        <item x="299"/>
        <item x="300"/>
        <item x="286"/>
        <item x="287"/>
        <item x="288"/>
        <item x="301"/>
        <item x="81"/>
        <item x="82"/>
        <item x="83"/>
        <item x="84"/>
        <item x="85"/>
        <item x="86"/>
        <item x="87"/>
        <item x="88"/>
        <item x="89"/>
        <item x="90"/>
        <item x="91"/>
        <item x="98"/>
        <item x="99"/>
        <item x="100"/>
        <item x="92"/>
        <item x="93"/>
        <item x="94"/>
        <item x="95"/>
        <item x="96"/>
        <item x="97"/>
        <item x="103"/>
        <item x="101"/>
        <item x="102"/>
        <item x="302"/>
        <item x="303"/>
        <item x="104"/>
        <item x="105"/>
        <item x="307"/>
        <item x="304"/>
        <item x="106"/>
        <item x="305"/>
        <item x="112"/>
        <item x="113"/>
        <item x="114"/>
        <item x="107"/>
        <item x="108"/>
        <item x="109"/>
        <item x="110"/>
        <item x="111"/>
        <item x="123"/>
        <item x="115"/>
        <item x="116"/>
        <item x="117"/>
        <item x="118"/>
        <item x="119"/>
        <item x="120"/>
        <item x="121"/>
        <item x="122"/>
        <item x="131"/>
        <item x="132"/>
        <item x="133"/>
        <item x="134"/>
        <item x="124"/>
        <item x="125"/>
        <item x="126"/>
        <item x="127"/>
        <item x="128"/>
        <item x="130"/>
        <item x="308"/>
        <item x="310"/>
        <item x="309"/>
        <item x="316"/>
        <item x="311"/>
        <item x="312"/>
        <item x="313"/>
        <item x="314"/>
        <item x="315"/>
        <item x="364"/>
        <item x="135"/>
        <item x="136"/>
        <item x="140"/>
        <item x="141"/>
        <item x="142"/>
        <item x="143"/>
        <item x="137"/>
        <item x="138"/>
        <item x="139"/>
        <item x="155"/>
        <item x="156"/>
        <item x="144"/>
        <item x="145"/>
        <item x="146"/>
        <item x="148"/>
        <item x="149"/>
        <item x="150"/>
        <item x="151"/>
        <item x="152"/>
        <item x="153"/>
        <item x="154"/>
        <item x="158"/>
        <item x="159"/>
        <item x="317"/>
        <item x="157"/>
        <item x="160"/>
        <item x="318"/>
        <item x="161"/>
        <item x="319"/>
        <item x="162"/>
        <item x="164"/>
        <item x="165"/>
        <item x="163"/>
        <item x="170"/>
        <item x="368"/>
        <item x="167"/>
        <item x="168"/>
        <item x="366"/>
        <item x="365"/>
        <item x="169"/>
        <item x="320"/>
        <item x="367"/>
        <item x="171"/>
        <item x="172"/>
        <item x="173"/>
        <item x="321"/>
        <item x="175"/>
        <item x="176"/>
        <item x="177"/>
        <item x="369"/>
        <item x="370"/>
        <item x="179"/>
        <item x="181"/>
        <item x="178"/>
        <item x="180"/>
        <item x="184"/>
        <item x="182"/>
        <item x="183"/>
        <item x="185"/>
        <item x="323"/>
        <item x="324"/>
        <item x="186"/>
        <item x="187"/>
        <item x="188"/>
        <item x="325"/>
        <item x="192"/>
        <item x="189"/>
        <item x="190"/>
        <item x="191"/>
        <item x="193"/>
        <item x="327"/>
        <item x="326"/>
        <item x="194"/>
        <item x="195"/>
        <item x="371"/>
        <item x="328"/>
        <item x="372"/>
        <item x="196"/>
        <item x="373"/>
        <item x="197"/>
        <item x="198"/>
        <item x="335"/>
        <item x="206"/>
        <item x="336"/>
        <item x="208"/>
        <item x="199"/>
        <item x="329"/>
        <item x="200"/>
        <item x="201"/>
        <item x="330"/>
        <item x="331"/>
        <item x="332"/>
        <item x="202"/>
        <item x="333"/>
        <item x="203"/>
        <item x="204"/>
        <item x="205"/>
        <item x="334"/>
        <item x="207"/>
        <item x="338"/>
        <item x="339"/>
        <item x="337"/>
        <item x="340"/>
        <item x="341"/>
        <item x="374"/>
        <item x="375"/>
        <item x="342"/>
        <item x="343"/>
        <item x="344"/>
        <item x="214"/>
        <item x="209"/>
        <item x="210"/>
        <item x="211"/>
        <item x="212"/>
        <item x="213"/>
        <item x="215"/>
        <item x="346"/>
        <item x="376"/>
        <item x="345"/>
        <item x="216"/>
        <item x="217"/>
        <item x="219"/>
        <item x="347"/>
        <item x="221"/>
        <item x="348"/>
        <item x="349"/>
        <item x="223"/>
        <item x="222"/>
        <item x="350"/>
        <item x="351"/>
        <item x="224"/>
        <item x="225"/>
        <item x="226"/>
        <item x="231"/>
        <item x="352"/>
        <item x="227"/>
        <item x="228"/>
        <item x="353"/>
        <item x="229"/>
        <item x="230"/>
        <item x="232"/>
        <item x="377"/>
        <item x="233"/>
        <item x="234"/>
        <item x="354"/>
        <item x="235"/>
        <item x="236"/>
        <item x="237"/>
        <item x="355"/>
        <item x="238"/>
        <item x="239"/>
        <item x="356"/>
        <item x="240"/>
        <item x="241"/>
        <item x="357"/>
        <item x="242"/>
        <item x="358"/>
        <item x="244"/>
        <item x="249"/>
        <item x="360"/>
        <item x="250"/>
        <item x="245"/>
        <item x="246"/>
        <item x="247"/>
        <item x="378"/>
        <item x="252"/>
        <item x="4"/>
        <item x="6"/>
        <item x="8"/>
        <item x="129"/>
        <item x="147"/>
        <item x="166"/>
        <item x="174"/>
        <item x="218"/>
        <item x="220"/>
        <item x="243"/>
        <item x="248"/>
        <item x="251"/>
        <item x="291"/>
        <item x="306"/>
        <item x="322"/>
        <item x="359"/>
        <item x="379"/>
        <item t="default"/>
      </items>
    </pivotField>
    <pivotField axis="axisPage" multipleItemSelectionAllowed="1" showAll="0">
      <items count="5">
        <item h="1" x="2"/>
        <item h="1" x="0"/>
        <item x="1"/>
        <item h="1" x="3"/>
        <item t="default"/>
      </items>
    </pivotField>
    <pivotField showAll="0"/>
    <pivotField showAll="0"/>
    <pivotField numFmtId="42" showAll="0"/>
    <pivotField numFmtId="42" showAll="0"/>
    <pivotField numFmtId="16" showAll="0"/>
    <pivotField showAll="0"/>
    <pivotField axis="axisRow" showAll="0">
      <items count="33">
        <item sd="0" x="26"/>
        <item sd="0" x="0"/>
        <item sd="0" x="5"/>
        <item sd="0" x="7"/>
        <item sd="0" x="14"/>
        <item sd="0" x="2"/>
        <item sd="0" x="27"/>
        <item sd="0" x="10"/>
        <item sd="0" x="13"/>
        <item sd="0" x="4"/>
        <item sd="0" x="28"/>
        <item sd="0" x="9"/>
        <item sd="0" x="1"/>
        <item sd="0" x="16"/>
        <item sd="0" x="17"/>
        <item sd="0" x="18"/>
        <item sd="0" x="8"/>
        <item sd="0" x="12"/>
        <item sd="0" x="19"/>
        <item sd="0" x="31"/>
        <item sd="0" x="29"/>
        <item sd="0" x="3"/>
        <item sd="0" x="22"/>
        <item sd="0" x="23"/>
        <item sd="0" x="11"/>
        <item sd="0" x="15"/>
        <item sd="0" x="24"/>
        <item sd="0" x="6"/>
        <item sd="0" x="20"/>
        <item sd="0" x="30"/>
        <item sd="0" x="21"/>
        <item sd="0" x="25"/>
        <item t="default" sd="0"/>
      </items>
    </pivotField>
    <pivotField dataField="1" showAll="0"/>
    <pivotField showAll="0"/>
  </pivotFields>
  <rowFields count="2">
    <field x="9"/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pageFields count="1">
    <pageField fld="2" hier="-1"/>
  </pageFields>
  <dataFields count="1">
    <dataField name="Suma de D/stock" fld="10" baseField="9" baseItem="2" numFmtId="3"/>
  </dataFields>
  <formats count="10"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2" type="button" dataOnly="0" labelOnly="1" outline="0" axis="axisPage" fieldPosition="0"/>
    </format>
    <format dxfId="13">
      <pivotArea type="topRight" dataOnly="0" labelOnly="1" outline="0" fieldPosition="0"/>
    </format>
    <format dxfId="12">
      <pivotArea field="9" type="button" dataOnly="0" labelOnly="1" outline="0" axis="axisRow" fieldPosition="0"/>
    </format>
    <format dxfId="11">
      <pivotArea dataOnly="0" labelOnly="1" fieldPosition="0">
        <references count="1">
          <reference field="9" count="0"/>
        </references>
      </pivotArea>
    </format>
    <format dxfId="10">
      <pivotArea dataOnly="0" labelOnly="1" grandRow="1" outline="0" fieldPosition="0"/>
    </format>
    <format dxfId="9">
      <pivotArea dataOnly="0" labelOnly="1" grandCol="1" outline="0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A7B1-054E-460A-8D2F-F5514D6FB19E}">
  <dimension ref="A1:N386"/>
  <sheetViews>
    <sheetView topLeftCell="A10" workbookViewId="0">
      <selection activeCell="B10" sqref="B10"/>
    </sheetView>
  </sheetViews>
  <sheetFormatPr baseColWidth="10" defaultRowHeight="14.4" x14ac:dyDescent="0.3"/>
  <cols>
    <col min="1" max="1" width="17.77734375" style="2" bestFit="1" customWidth="1"/>
    <col min="2" max="2" width="12" style="2" bestFit="1" customWidth="1"/>
    <col min="3" max="6" width="13" style="2" bestFit="1" customWidth="1"/>
    <col min="7" max="9" width="4" style="2" customWidth="1"/>
    <col min="10" max="10" width="16.6640625" style="2" bestFit="1" customWidth="1"/>
    <col min="11" max="11" width="15.33203125" style="2" bestFit="1" customWidth="1"/>
    <col min="12" max="13" width="10.5546875" style="2" bestFit="1" customWidth="1"/>
    <col min="14" max="14" width="11.88671875" style="2" bestFit="1" customWidth="1"/>
    <col min="15" max="16384" width="11.5546875" style="2"/>
  </cols>
  <sheetData>
    <row r="1" spans="1:14" x14ac:dyDescent="0.3">
      <c r="J1" s="10" t="s">
        <v>246</v>
      </c>
      <c r="K1" s="2" t="s">
        <v>250</v>
      </c>
    </row>
    <row r="3" spans="1:14" x14ac:dyDescent="0.3">
      <c r="A3" s="10" t="s">
        <v>421</v>
      </c>
      <c r="B3" s="10" t="s">
        <v>819</v>
      </c>
      <c r="J3" s="10" t="s">
        <v>420</v>
      </c>
      <c r="K3" s="2" t="s">
        <v>422</v>
      </c>
      <c r="L3"/>
      <c r="M3"/>
      <c r="N3"/>
    </row>
    <row r="4" spans="1:14" x14ac:dyDescent="0.3">
      <c r="A4" s="10" t="s">
        <v>420</v>
      </c>
      <c r="B4" s="2" t="s">
        <v>396</v>
      </c>
      <c r="C4" s="2" t="s">
        <v>1</v>
      </c>
      <c r="D4" s="2" t="s">
        <v>817</v>
      </c>
      <c r="E4" s="2" t="s">
        <v>250</v>
      </c>
      <c r="F4" s="2" t="s">
        <v>419</v>
      </c>
      <c r="J4" s="11" t="s">
        <v>391</v>
      </c>
      <c r="K4" s="7">
        <v>98.549953022236153</v>
      </c>
      <c r="L4"/>
      <c r="M4"/>
      <c r="N4"/>
    </row>
    <row r="5" spans="1:14" x14ac:dyDescent="0.3">
      <c r="A5" s="11" t="s">
        <v>370</v>
      </c>
      <c r="B5" s="12">
        <v>121250.0304</v>
      </c>
      <c r="C5" s="12">
        <v>30824988.436999999</v>
      </c>
      <c r="D5" s="12">
        <v>93493779.08039999</v>
      </c>
      <c r="E5" s="12">
        <v>15050395.458799999</v>
      </c>
      <c r="F5" s="12">
        <v>139490413.00659999</v>
      </c>
      <c r="J5" s="11" t="s">
        <v>364</v>
      </c>
      <c r="K5" s="7">
        <v>28.94358645178372</v>
      </c>
      <c r="L5"/>
      <c r="M5"/>
      <c r="N5"/>
    </row>
    <row r="6" spans="1:14" x14ac:dyDescent="0.3">
      <c r="A6" s="11" t="s">
        <v>368</v>
      </c>
      <c r="B6" s="12">
        <v>2037334.6</v>
      </c>
      <c r="C6" s="12">
        <v>67453534.245000005</v>
      </c>
      <c r="D6" s="12"/>
      <c r="E6" s="12">
        <v>41521207.720000006</v>
      </c>
      <c r="F6" s="12">
        <v>111012076.565</v>
      </c>
      <c r="J6" s="11" t="s">
        <v>367</v>
      </c>
      <c r="K6" s="7">
        <v>77.922753036437243</v>
      </c>
      <c r="L6"/>
      <c r="M6"/>
      <c r="N6"/>
    </row>
    <row r="7" spans="1:14" x14ac:dyDescent="0.3">
      <c r="A7" s="11" t="s">
        <v>376</v>
      </c>
      <c r="B7" s="12">
        <v>184178.76120000001</v>
      </c>
      <c r="C7" s="12">
        <v>67556357.484999999</v>
      </c>
      <c r="D7" s="12"/>
      <c r="E7" s="12">
        <v>34218073.020000003</v>
      </c>
      <c r="F7" s="12">
        <v>101958609.26620001</v>
      </c>
      <c r="J7" s="11" t="s">
        <v>369</v>
      </c>
      <c r="K7" s="7">
        <v>54.115885057471267</v>
      </c>
      <c r="L7"/>
      <c r="M7"/>
      <c r="N7"/>
    </row>
    <row r="8" spans="1:14" x14ac:dyDescent="0.3">
      <c r="A8" s="11" t="s">
        <v>366</v>
      </c>
      <c r="B8" s="12">
        <v>323485</v>
      </c>
      <c r="C8" s="12">
        <v>52910452.853</v>
      </c>
      <c r="D8" s="12"/>
      <c r="E8" s="12">
        <v>10493869.199999999</v>
      </c>
      <c r="F8" s="12">
        <v>63727807.053000003</v>
      </c>
      <c r="J8" s="11" t="s">
        <v>378</v>
      </c>
      <c r="K8" s="7">
        <v>871.57636628419812</v>
      </c>
      <c r="L8"/>
      <c r="M8"/>
      <c r="N8"/>
    </row>
    <row r="9" spans="1:14" x14ac:dyDescent="0.3">
      <c r="A9" s="11" t="s">
        <v>365</v>
      </c>
      <c r="B9" s="12">
        <v>2694073.702</v>
      </c>
      <c r="C9" s="12">
        <v>47970553.769999996</v>
      </c>
      <c r="D9" s="12"/>
      <c r="E9" s="12">
        <v>9987655.9250000007</v>
      </c>
      <c r="F9" s="12">
        <v>60652283.397</v>
      </c>
      <c r="J9" s="11" t="s">
        <v>365</v>
      </c>
      <c r="K9" s="7">
        <v>146.700925716417</v>
      </c>
      <c r="L9"/>
      <c r="M9"/>
      <c r="N9"/>
    </row>
    <row r="10" spans="1:14" x14ac:dyDescent="0.3">
      <c r="A10" s="11" t="s">
        <v>378</v>
      </c>
      <c r="B10" s="12">
        <v>3925587.7905000001</v>
      </c>
      <c r="C10" s="12">
        <v>23618908.800000001</v>
      </c>
      <c r="D10" s="12"/>
      <c r="E10" s="12">
        <v>31284974</v>
      </c>
      <c r="F10" s="12">
        <v>58829470.590499997</v>
      </c>
      <c r="J10" s="11" t="s">
        <v>392</v>
      </c>
      <c r="K10" s="7">
        <v>33</v>
      </c>
      <c r="L10"/>
      <c r="M10"/>
      <c r="N10"/>
    </row>
    <row r="11" spans="1:14" x14ac:dyDescent="0.3">
      <c r="A11" s="11" t="s">
        <v>362</v>
      </c>
      <c r="B11" s="12">
        <v>1372637.26</v>
      </c>
      <c r="C11" s="12">
        <v>36116190.700000003</v>
      </c>
      <c r="D11" s="12"/>
      <c r="E11" s="12">
        <v>11570965.800000001</v>
      </c>
      <c r="F11" s="12">
        <v>49059793.760000005</v>
      </c>
      <c r="J11" s="11" t="s">
        <v>376</v>
      </c>
      <c r="K11" s="7">
        <v>284.90898321392854</v>
      </c>
      <c r="L11"/>
      <c r="M11"/>
      <c r="N11"/>
    </row>
    <row r="12" spans="1:14" x14ac:dyDescent="0.3">
      <c r="A12" s="11" t="s">
        <v>388</v>
      </c>
      <c r="B12" s="12">
        <v>7238531.9724000003</v>
      </c>
      <c r="C12" s="12">
        <v>1369873.35</v>
      </c>
      <c r="D12" s="12">
        <v>24304005</v>
      </c>
      <c r="E12" s="12">
        <v>6592639.7999999998</v>
      </c>
      <c r="F12" s="12">
        <v>39505050.122400001</v>
      </c>
      <c r="J12" s="11" t="s">
        <v>362</v>
      </c>
      <c r="K12" s="7">
        <v>128.65100446311661</v>
      </c>
      <c r="L12"/>
      <c r="M12"/>
      <c r="N12"/>
    </row>
    <row r="13" spans="1:14" x14ac:dyDescent="0.3">
      <c r="A13" s="11" t="s">
        <v>361</v>
      </c>
      <c r="B13" s="12">
        <v>3174405.6187999998</v>
      </c>
      <c r="C13" s="12">
        <v>14533910</v>
      </c>
      <c r="D13" s="12"/>
      <c r="E13" s="12">
        <v>19271260</v>
      </c>
      <c r="F13" s="12">
        <v>36979575.618799999</v>
      </c>
      <c r="J13" s="11" t="s">
        <v>393</v>
      </c>
      <c r="K13" s="7">
        <v>23.458515283842793</v>
      </c>
      <c r="L13"/>
      <c r="M13"/>
      <c r="N13"/>
    </row>
    <row r="14" spans="1:14" x14ac:dyDescent="0.3">
      <c r="A14" s="11" t="s">
        <v>384</v>
      </c>
      <c r="B14" s="12">
        <v>9116387.5199999996</v>
      </c>
      <c r="C14" s="12">
        <v>5055000</v>
      </c>
      <c r="D14" s="12"/>
      <c r="E14" s="12">
        <v>20442319.899999999</v>
      </c>
      <c r="F14" s="12">
        <v>34613707.420000002</v>
      </c>
      <c r="J14" s="11" t="s">
        <v>372</v>
      </c>
      <c r="K14" s="7">
        <v>75.728267868641339</v>
      </c>
      <c r="L14"/>
      <c r="M14"/>
      <c r="N14"/>
    </row>
    <row r="15" spans="1:14" x14ac:dyDescent="0.3">
      <c r="A15" s="11" t="s">
        <v>379</v>
      </c>
      <c r="B15" s="12">
        <v>8301942.8599999994</v>
      </c>
      <c r="C15" s="12">
        <v>20547315</v>
      </c>
      <c r="D15" s="12"/>
      <c r="E15" s="12">
        <v>1539560</v>
      </c>
      <c r="F15" s="12">
        <v>30388817.859999999</v>
      </c>
      <c r="J15" s="11" t="s">
        <v>363</v>
      </c>
      <c r="K15" s="7">
        <v>374.54463300002504</v>
      </c>
      <c r="L15"/>
      <c r="M15"/>
      <c r="N15"/>
    </row>
    <row r="16" spans="1:14" x14ac:dyDescent="0.3">
      <c r="A16" s="11" t="s">
        <v>385</v>
      </c>
      <c r="B16" s="12"/>
      <c r="C16" s="12">
        <v>9364534.1170000006</v>
      </c>
      <c r="D16" s="12"/>
      <c r="E16" s="12">
        <v>8801399.8000000007</v>
      </c>
      <c r="F16" s="12">
        <v>18165933.917000003</v>
      </c>
      <c r="J16" s="11" t="s">
        <v>361</v>
      </c>
      <c r="K16" s="7">
        <v>807.90132025596074</v>
      </c>
      <c r="L16"/>
      <c r="M16"/>
      <c r="N16"/>
    </row>
    <row r="17" spans="1:14" x14ac:dyDescent="0.3">
      <c r="A17" s="11" t="s">
        <v>367</v>
      </c>
      <c r="B17" s="12">
        <v>4034859.7591999997</v>
      </c>
      <c r="C17" s="12">
        <v>1911595.8759999999</v>
      </c>
      <c r="D17" s="12"/>
      <c r="E17" s="12">
        <v>4586294</v>
      </c>
      <c r="F17" s="12">
        <v>10532749.635199999</v>
      </c>
      <c r="J17" s="11" t="s">
        <v>381</v>
      </c>
      <c r="K17" s="7">
        <v>1440.6672064777329</v>
      </c>
      <c r="L17"/>
      <c r="M17"/>
      <c r="N17"/>
    </row>
    <row r="18" spans="1:14" x14ac:dyDescent="0.3">
      <c r="A18" s="11" t="s">
        <v>369</v>
      </c>
      <c r="B18" s="12">
        <v>223399.76</v>
      </c>
      <c r="C18" s="12">
        <v>7178359.25</v>
      </c>
      <c r="D18" s="12"/>
      <c r="E18" s="12">
        <v>2135927</v>
      </c>
      <c r="F18" s="12">
        <v>9537686.0099999998</v>
      </c>
      <c r="J18" s="11" t="s">
        <v>382</v>
      </c>
      <c r="K18" s="7">
        <v>12.63654715216385</v>
      </c>
      <c r="L18"/>
      <c r="M18"/>
      <c r="N18"/>
    </row>
    <row r="19" spans="1:14" x14ac:dyDescent="0.3">
      <c r="A19" s="11" t="s">
        <v>381</v>
      </c>
      <c r="B19" s="12">
        <v>276552.07</v>
      </c>
      <c r="C19" s="12">
        <v>2676646.4299999997</v>
      </c>
      <c r="D19" s="12"/>
      <c r="E19" s="12">
        <v>5570685.7000000002</v>
      </c>
      <c r="F19" s="12">
        <v>8523884.1999999993</v>
      </c>
      <c r="J19" s="11" t="s">
        <v>370</v>
      </c>
      <c r="K19" s="7">
        <v>1096.4312970458836</v>
      </c>
      <c r="L19"/>
      <c r="M19"/>
      <c r="N19"/>
    </row>
    <row r="20" spans="1:14" x14ac:dyDescent="0.3">
      <c r="A20" s="11" t="s">
        <v>363</v>
      </c>
      <c r="B20" s="12"/>
      <c r="C20" s="12">
        <v>4289462.3599999994</v>
      </c>
      <c r="D20" s="12"/>
      <c r="E20" s="12">
        <v>2928734.3</v>
      </c>
      <c r="F20" s="12">
        <v>7218196.6599999992</v>
      </c>
      <c r="J20" s="11" t="s">
        <v>375</v>
      </c>
      <c r="K20" s="7">
        <v>37.13318841033923</v>
      </c>
      <c r="L20"/>
      <c r="M20"/>
      <c r="N20"/>
    </row>
    <row r="21" spans="1:14" x14ac:dyDescent="0.3">
      <c r="A21" s="11" t="s">
        <v>417</v>
      </c>
      <c r="B21" s="12">
        <v>2958696</v>
      </c>
      <c r="C21" s="12"/>
      <c r="D21" s="12"/>
      <c r="E21" s="12">
        <v>4232000</v>
      </c>
      <c r="F21" s="12">
        <v>7190696</v>
      </c>
      <c r="J21" s="11" t="s">
        <v>383</v>
      </c>
      <c r="K21" s="7">
        <v>96.025466893039052</v>
      </c>
      <c r="L21"/>
      <c r="M21"/>
      <c r="N21"/>
    </row>
    <row r="22" spans="1:14" x14ac:dyDescent="0.3">
      <c r="A22" s="11"/>
      <c r="B22" s="12">
        <v>1407750</v>
      </c>
      <c r="C22" s="12">
        <v>3820020</v>
      </c>
      <c r="D22" s="12"/>
      <c r="E22" s="12">
        <v>1285710</v>
      </c>
      <c r="F22" s="12">
        <v>6513480</v>
      </c>
      <c r="J22" s="11" t="s">
        <v>417</v>
      </c>
      <c r="K22" s="7">
        <v>6</v>
      </c>
      <c r="L22"/>
      <c r="M22"/>
      <c r="N22"/>
    </row>
    <row r="23" spans="1:14" x14ac:dyDescent="0.3">
      <c r="A23" s="11" t="s">
        <v>393</v>
      </c>
      <c r="B23" s="12"/>
      <c r="C23" s="12"/>
      <c r="D23" s="12"/>
      <c r="E23" s="12">
        <v>6323700</v>
      </c>
      <c r="F23" s="12">
        <v>6323700</v>
      </c>
      <c r="J23" s="11" t="s">
        <v>366</v>
      </c>
      <c r="K23" s="7">
        <v>70.130333931411258</v>
      </c>
      <c r="L23"/>
      <c r="M23"/>
      <c r="N23"/>
    </row>
    <row r="24" spans="1:14" x14ac:dyDescent="0.3">
      <c r="A24" s="11" t="s">
        <v>382</v>
      </c>
      <c r="B24" s="12"/>
      <c r="C24" s="12">
        <v>2936978.9536000001</v>
      </c>
      <c r="D24" s="12"/>
      <c r="E24" s="12">
        <v>2664049</v>
      </c>
      <c r="F24" s="12">
        <v>5601027.9536000006</v>
      </c>
      <c r="J24" s="11" t="s">
        <v>386</v>
      </c>
      <c r="K24" s="7">
        <v>58.041407341547057</v>
      </c>
      <c r="L24"/>
      <c r="M24"/>
      <c r="N24"/>
    </row>
    <row r="25" spans="1:14" x14ac:dyDescent="0.3">
      <c r="A25" s="11" t="s">
        <v>375</v>
      </c>
      <c r="B25" s="12"/>
      <c r="C25" s="12">
        <v>2377636.3404000001</v>
      </c>
      <c r="D25" s="12"/>
      <c r="E25" s="12">
        <v>1264756.3488</v>
      </c>
      <c r="F25" s="12">
        <v>3642392.6891999999</v>
      </c>
      <c r="J25" s="11" t="s">
        <v>379</v>
      </c>
      <c r="K25" s="7">
        <v>14.013168264970945</v>
      </c>
      <c r="L25"/>
      <c r="M25"/>
      <c r="N25"/>
    </row>
    <row r="26" spans="1:14" x14ac:dyDescent="0.3">
      <c r="A26" s="11" t="s">
        <v>364</v>
      </c>
      <c r="B26" s="12"/>
      <c r="C26" s="12">
        <v>2483454.25</v>
      </c>
      <c r="D26" s="12"/>
      <c r="E26" s="12">
        <v>1149914.06</v>
      </c>
      <c r="F26" s="12">
        <v>3633368.31</v>
      </c>
      <c r="J26" s="11" t="s">
        <v>388</v>
      </c>
      <c r="K26" s="7">
        <v>26.783223716407853</v>
      </c>
      <c r="L26"/>
      <c r="M26"/>
      <c r="N26"/>
    </row>
    <row r="27" spans="1:14" x14ac:dyDescent="0.3">
      <c r="A27" s="11" t="s">
        <v>391</v>
      </c>
      <c r="B27" s="12"/>
      <c r="C27" s="12"/>
      <c r="D27" s="12"/>
      <c r="E27" s="12">
        <v>3584000</v>
      </c>
      <c r="F27" s="12">
        <v>3584000</v>
      </c>
      <c r="J27" s="11" t="s">
        <v>368</v>
      </c>
      <c r="K27" s="7">
        <v>311.33519872153101</v>
      </c>
      <c r="L27"/>
      <c r="M27"/>
      <c r="N27"/>
    </row>
    <row r="28" spans="1:14" x14ac:dyDescent="0.3">
      <c r="A28" s="11" t="s">
        <v>383</v>
      </c>
      <c r="B28" s="12"/>
      <c r="C28" s="12">
        <v>2536301.1800000002</v>
      </c>
      <c r="D28" s="12"/>
      <c r="E28" s="12">
        <v>1044495.3200000001</v>
      </c>
      <c r="F28" s="12">
        <v>3580796.5</v>
      </c>
      <c r="J28" s="11" t="s">
        <v>384</v>
      </c>
      <c r="K28" s="7">
        <v>78.039056232898062</v>
      </c>
      <c r="L28"/>
      <c r="M28"/>
      <c r="N28"/>
    </row>
    <row r="29" spans="1:14" x14ac:dyDescent="0.3">
      <c r="A29" s="11" t="s">
        <v>372</v>
      </c>
      <c r="B29" s="12">
        <v>90674.802899999995</v>
      </c>
      <c r="C29" s="12">
        <v>1269360</v>
      </c>
      <c r="D29" s="12"/>
      <c r="E29" s="12">
        <v>1212600</v>
      </c>
      <c r="F29" s="12">
        <v>2572634.8029</v>
      </c>
      <c r="J29" s="11" t="s">
        <v>394</v>
      </c>
      <c r="K29" s="7">
        <v>29.375999999999998</v>
      </c>
      <c r="L29"/>
      <c r="M29"/>
      <c r="N29"/>
    </row>
    <row r="30" spans="1:14" x14ac:dyDescent="0.3">
      <c r="A30" s="11" t="s">
        <v>390</v>
      </c>
      <c r="B30" s="12"/>
      <c r="C30" s="12">
        <v>1544042.98</v>
      </c>
      <c r="D30" s="12"/>
      <c r="E30" s="12">
        <v>530630</v>
      </c>
      <c r="F30" s="12">
        <v>2074672.98</v>
      </c>
      <c r="J30" s="11" t="s">
        <v>385</v>
      </c>
      <c r="K30" s="7">
        <v>47.581136661440816</v>
      </c>
      <c r="L30"/>
      <c r="M30"/>
      <c r="N30"/>
    </row>
    <row r="31" spans="1:14" x14ac:dyDescent="0.3">
      <c r="A31" s="11" t="s">
        <v>386</v>
      </c>
      <c r="B31" s="12"/>
      <c r="C31" s="12">
        <v>1940530.15</v>
      </c>
      <c r="D31" s="12"/>
      <c r="E31" s="12">
        <v>84865.0389</v>
      </c>
      <c r="F31" s="12">
        <v>2025395.1889</v>
      </c>
      <c r="J31" s="11" t="s">
        <v>390</v>
      </c>
      <c r="K31" s="7">
        <v>4.2584898122253287</v>
      </c>
      <c r="L31"/>
      <c r="M31"/>
      <c r="N31"/>
    </row>
    <row r="32" spans="1:14" x14ac:dyDescent="0.3">
      <c r="A32" s="11" t="s">
        <v>387</v>
      </c>
      <c r="B32" s="12"/>
      <c r="C32" s="12">
        <v>1341371.845</v>
      </c>
      <c r="D32" s="12"/>
      <c r="E32" s="12"/>
      <c r="F32" s="12">
        <v>1341371.845</v>
      </c>
      <c r="J32" s="11" t="s">
        <v>419</v>
      </c>
      <c r="K32" s="7">
        <v>6334.4539143156489</v>
      </c>
      <c r="L32"/>
      <c r="M32"/>
      <c r="N32"/>
    </row>
    <row r="33" spans="1:14" x14ac:dyDescent="0.3">
      <c r="A33" s="11" t="s">
        <v>392</v>
      </c>
      <c r="B33" s="12"/>
      <c r="C33" s="12"/>
      <c r="D33" s="12"/>
      <c r="E33" s="12">
        <v>557370</v>
      </c>
      <c r="F33" s="12">
        <v>557370</v>
      </c>
      <c r="J33"/>
      <c r="K33"/>
      <c r="L33"/>
      <c r="M33"/>
      <c r="N33"/>
    </row>
    <row r="34" spans="1:14" x14ac:dyDescent="0.3">
      <c r="A34" s="11" t="s">
        <v>394</v>
      </c>
      <c r="B34" s="12">
        <v>271288.06479999999</v>
      </c>
      <c r="C34" s="12"/>
      <c r="D34" s="12"/>
      <c r="E34" s="12">
        <v>25819.99</v>
      </c>
      <c r="F34" s="12">
        <v>297108.05479999998</v>
      </c>
      <c r="J34"/>
      <c r="K34"/>
      <c r="L34"/>
      <c r="M34"/>
      <c r="N34"/>
    </row>
    <row r="35" spans="1:14" x14ac:dyDescent="0.3">
      <c r="A35" s="11" t="s">
        <v>373</v>
      </c>
      <c r="B35" s="12"/>
      <c r="C35" s="12">
        <v>116382.86599999999</v>
      </c>
      <c r="D35" s="12"/>
      <c r="E35" s="12"/>
      <c r="F35" s="12">
        <v>116382.86599999999</v>
      </c>
      <c r="J35"/>
      <c r="K35"/>
      <c r="L35"/>
      <c r="M35"/>
      <c r="N35"/>
    </row>
    <row r="36" spans="1:14" x14ac:dyDescent="0.3">
      <c r="A36" s="11" t="s">
        <v>416</v>
      </c>
      <c r="B36" s="12">
        <v>45450</v>
      </c>
      <c r="C36" s="12"/>
      <c r="D36" s="12"/>
      <c r="E36" s="12"/>
      <c r="F36" s="12">
        <v>45450</v>
      </c>
      <c r="J36"/>
      <c r="K36"/>
      <c r="L36"/>
      <c r="M36"/>
      <c r="N36"/>
    </row>
    <row r="37" spans="1:14" x14ac:dyDescent="0.3">
      <c r="A37" s="11" t="s">
        <v>374</v>
      </c>
      <c r="B37" s="12"/>
      <c r="C37" s="12">
        <v>44489</v>
      </c>
      <c r="D37" s="12"/>
      <c r="E37" s="12"/>
      <c r="F37" s="12">
        <v>44489</v>
      </c>
      <c r="J37"/>
      <c r="K37"/>
      <c r="L37"/>
      <c r="M37"/>
      <c r="N37"/>
    </row>
    <row r="38" spans="1:14" x14ac:dyDescent="0.3">
      <c r="A38" s="11" t="s">
        <v>419</v>
      </c>
      <c r="B38" s="12">
        <v>47798485.572200008</v>
      </c>
      <c r="C38" s="12">
        <v>413788250.23800004</v>
      </c>
      <c r="D38" s="12">
        <v>117797784.08039999</v>
      </c>
      <c r="E38" s="12">
        <v>249955871.38149998</v>
      </c>
      <c r="F38" s="12">
        <v>829340391.27210033</v>
      </c>
      <c r="J38"/>
      <c r="K38"/>
    </row>
    <row r="39" spans="1:14" x14ac:dyDescent="0.3">
      <c r="J39"/>
      <c r="K39"/>
    </row>
    <row r="40" spans="1:14" x14ac:dyDescent="0.3">
      <c r="J40"/>
      <c r="K40"/>
    </row>
    <row r="41" spans="1:14" x14ac:dyDescent="0.3">
      <c r="J41"/>
      <c r="K41"/>
    </row>
    <row r="42" spans="1:14" x14ac:dyDescent="0.3">
      <c r="J42"/>
      <c r="K42"/>
    </row>
    <row r="43" spans="1:14" x14ac:dyDescent="0.3">
      <c r="J43"/>
      <c r="K43"/>
    </row>
    <row r="44" spans="1:14" x14ac:dyDescent="0.3">
      <c r="J44"/>
      <c r="K44"/>
    </row>
    <row r="45" spans="1:14" x14ac:dyDescent="0.3">
      <c r="J45"/>
      <c r="K45"/>
    </row>
    <row r="46" spans="1:14" x14ac:dyDescent="0.3">
      <c r="J46"/>
      <c r="K46"/>
    </row>
    <row r="47" spans="1:14" x14ac:dyDescent="0.3">
      <c r="J47"/>
      <c r="K47"/>
    </row>
    <row r="48" spans="1:14" x14ac:dyDescent="0.3">
      <c r="J48"/>
      <c r="K48"/>
    </row>
    <row r="49" spans="10:11" x14ac:dyDescent="0.3">
      <c r="J49"/>
      <c r="K49"/>
    </row>
    <row r="50" spans="10:11" x14ac:dyDescent="0.3">
      <c r="J50"/>
      <c r="K50"/>
    </row>
    <row r="51" spans="10:11" x14ac:dyDescent="0.3">
      <c r="J51"/>
      <c r="K51"/>
    </row>
    <row r="52" spans="10:11" x14ac:dyDescent="0.3">
      <c r="J52"/>
      <c r="K52"/>
    </row>
    <row r="53" spans="10:11" x14ac:dyDescent="0.3">
      <c r="J53"/>
      <c r="K53"/>
    </row>
    <row r="54" spans="10:11" x14ac:dyDescent="0.3">
      <c r="J54"/>
      <c r="K54"/>
    </row>
    <row r="55" spans="10:11" x14ac:dyDescent="0.3">
      <c r="J55"/>
      <c r="K55"/>
    </row>
    <row r="56" spans="10:11" x14ac:dyDescent="0.3">
      <c r="J56"/>
      <c r="K56"/>
    </row>
    <row r="57" spans="10:11" x14ac:dyDescent="0.3">
      <c r="J57"/>
      <c r="K57"/>
    </row>
    <row r="58" spans="10:11" x14ac:dyDescent="0.3">
      <c r="J58"/>
      <c r="K58"/>
    </row>
    <row r="59" spans="10:11" x14ac:dyDescent="0.3">
      <c r="J59"/>
      <c r="K59"/>
    </row>
    <row r="60" spans="10:11" x14ac:dyDescent="0.3">
      <c r="J60"/>
      <c r="K60"/>
    </row>
    <row r="61" spans="10:11" x14ac:dyDescent="0.3">
      <c r="J61"/>
      <c r="K61"/>
    </row>
    <row r="62" spans="10:11" x14ac:dyDescent="0.3">
      <c r="J62"/>
      <c r="K62"/>
    </row>
    <row r="63" spans="10:11" x14ac:dyDescent="0.3">
      <c r="J63"/>
      <c r="K63"/>
    </row>
    <row r="64" spans="10:11" x14ac:dyDescent="0.3">
      <c r="J64"/>
      <c r="K64"/>
    </row>
    <row r="65" spans="10:11" x14ac:dyDescent="0.3">
      <c r="J65"/>
      <c r="K65"/>
    </row>
    <row r="66" spans="10:11" x14ac:dyDescent="0.3">
      <c r="J66"/>
      <c r="K66"/>
    </row>
    <row r="67" spans="10:11" x14ac:dyDescent="0.3">
      <c r="J67"/>
      <c r="K67"/>
    </row>
    <row r="68" spans="10:11" x14ac:dyDescent="0.3">
      <c r="J68"/>
      <c r="K68"/>
    </row>
    <row r="69" spans="10:11" x14ac:dyDescent="0.3">
      <c r="J69"/>
      <c r="K69"/>
    </row>
    <row r="70" spans="10:11" x14ac:dyDescent="0.3">
      <c r="J70"/>
      <c r="K70"/>
    </row>
    <row r="71" spans="10:11" x14ac:dyDescent="0.3">
      <c r="J71"/>
      <c r="K71"/>
    </row>
    <row r="72" spans="10:11" x14ac:dyDescent="0.3">
      <c r="J72"/>
      <c r="K72"/>
    </row>
    <row r="73" spans="10:11" x14ac:dyDescent="0.3">
      <c r="J73"/>
      <c r="K73"/>
    </row>
    <row r="74" spans="10:11" x14ac:dyDescent="0.3">
      <c r="J74"/>
      <c r="K74"/>
    </row>
    <row r="75" spans="10:11" x14ac:dyDescent="0.3">
      <c r="J75"/>
      <c r="K75"/>
    </row>
    <row r="76" spans="10:11" x14ac:dyDescent="0.3">
      <c r="J76"/>
      <c r="K76"/>
    </row>
    <row r="77" spans="10:11" x14ac:dyDescent="0.3">
      <c r="J77"/>
      <c r="K77"/>
    </row>
    <row r="78" spans="10:11" x14ac:dyDescent="0.3">
      <c r="J78"/>
      <c r="K78"/>
    </row>
    <row r="79" spans="10:11" x14ac:dyDescent="0.3">
      <c r="J79"/>
      <c r="K79"/>
    </row>
    <row r="80" spans="10:11" x14ac:dyDescent="0.3">
      <c r="J80"/>
      <c r="K80"/>
    </row>
    <row r="81" spans="10:11" x14ac:dyDescent="0.3">
      <c r="J81"/>
      <c r="K81"/>
    </row>
    <row r="82" spans="10:11" x14ac:dyDescent="0.3">
      <c r="J82"/>
      <c r="K82"/>
    </row>
    <row r="83" spans="10:11" x14ac:dyDescent="0.3">
      <c r="J83"/>
      <c r="K83"/>
    </row>
    <row r="84" spans="10:11" x14ac:dyDescent="0.3">
      <c r="J84"/>
      <c r="K84"/>
    </row>
    <row r="85" spans="10:11" x14ac:dyDescent="0.3">
      <c r="J85"/>
      <c r="K85"/>
    </row>
    <row r="86" spans="10:11" x14ac:dyDescent="0.3">
      <c r="J86"/>
      <c r="K86"/>
    </row>
    <row r="87" spans="10:11" x14ac:dyDescent="0.3">
      <c r="J87"/>
      <c r="K87"/>
    </row>
    <row r="88" spans="10:11" x14ac:dyDescent="0.3">
      <c r="J88"/>
      <c r="K88"/>
    </row>
    <row r="89" spans="10:11" x14ac:dyDescent="0.3">
      <c r="J89"/>
      <c r="K89"/>
    </row>
    <row r="90" spans="10:11" x14ac:dyDescent="0.3">
      <c r="J90"/>
      <c r="K90"/>
    </row>
    <row r="91" spans="10:11" x14ac:dyDescent="0.3">
      <c r="J91"/>
      <c r="K91"/>
    </row>
    <row r="92" spans="10:11" x14ac:dyDescent="0.3">
      <c r="J92"/>
      <c r="K92"/>
    </row>
    <row r="93" spans="10:11" x14ac:dyDescent="0.3">
      <c r="J93"/>
      <c r="K93"/>
    </row>
    <row r="94" spans="10:11" x14ac:dyDescent="0.3">
      <c r="J94"/>
      <c r="K94"/>
    </row>
    <row r="95" spans="10:11" x14ac:dyDescent="0.3">
      <c r="J95"/>
      <c r="K95"/>
    </row>
    <row r="96" spans="10:11" x14ac:dyDescent="0.3">
      <c r="J96"/>
      <c r="K96"/>
    </row>
    <row r="97" spans="10:11" x14ac:dyDescent="0.3">
      <c r="J97"/>
      <c r="K97"/>
    </row>
    <row r="98" spans="10:11" x14ac:dyDescent="0.3">
      <c r="J98"/>
      <c r="K98"/>
    </row>
    <row r="99" spans="10:11" x14ac:dyDescent="0.3">
      <c r="J99"/>
      <c r="K99"/>
    </row>
    <row r="100" spans="10:11" x14ac:dyDescent="0.3">
      <c r="J100"/>
      <c r="K100"/>
    </row>
    <row r="101" spans="10:11" x14ac:dyDescent="0.3">
      <c r="J101"/>
      <c r="K101"/>
    </row>
    <row r="102" spans="10:11" x14ac:dyDescent="0.3">
      <c r="J102"/>
      <c r="K102"/>
    </row>
    <row r="103" spans="10:11" x14ac:dyDescent="0.3">
      <c r="J103"/>
      <c r="K103"/>
    </row>
    <row r="104" spans="10:11" x14ac:dyDescent="0.3">
      <c r="J104"/>
      <c r="K104"/>
    </row>
    <row r="105" spans="10:11" x14ac:dyDescent="0.3">
      <c r="J105"/>
      <c r="K105"/>
    </row>
    <row r="106" spans="10:11" x14ac:dyDescent="0.3">
      <c r="J106"/>
      <c r="K106"/>
    </row>
    <row r="107" spans="10:11" x14ac:dyDescent="0.3">
      <c r="J107"/>
      <c r="K107"/>
    </row>
    <row r="108" spans="10:11" x14ac:dyDescent="0.3">
      <c r="J108"/>
      <c r="K108"/>
    </row>
    <row r="109" spans="10:11" x14ac:dyDescent="0.3">
      <c r="J109"/>
      <c r="K109"/>
    </row>
    <row r="110" spans="10:11" x14ac:dyDescent="0.3">
      <c r="J110"/>
      <c r="K110"/>
    </row>
    <row r="111" spans="10:11" x14ac:dyDescent="0.3">
      <c r="J111"/>
      <c r="K111"/>
    </row>
    <row r="112" spans="10:11" x14ac:dyDescent="0.3">
      <c r="J112"/>
      <c r="K112"/>
    </row>
    <row r="113" spans="10:11" x14ac:dyDescent="0.3">
      <c r="J113"/>
      <c r="K113"/>
    </row>
    <row r="114" spans="10:11" x14ac:dyDescent="0.3">
      <c r="J114"/>
      <c r="K114"/>
    </row>
    <row r="115" spans="10:11" x14ac:dyDescent="0.3">
      <c r="J115"/>
      <c r="K115"/>
    </row>
    <row r="116" spans="10:11" x14ac:dyDescent="0.3">
      <c r="J116"/>
      <c r="K116"/>
    </row>
    <row r="117" spans="10:11" x14ac:dyDescent="0.3">
      <c r="J117"/>
      <c r="K117"/>
    </row>
    <row r="118" spans="10:11" x14ac:dyDescent="0.3">
      <c r="J118"/>
      <c r="K118"/>
    </row>
    <row r="119" spans="10:11" x14ac:dyDescent="0.3">
      <c r="J119"/>
      <c r="K119"/>
    </row>
    <row r="120" spans="10:11" x14ac:dyDescent="0.3">
      <c r="J120"/>
      <c r="K120"/>
    </row>
    <row r="121" spans="10:11" x14ac:dyDescent="0.3">
      <c r="J121"/>
      <c r="K121"/>
    </row>
    <row r="122" spans="10:11" x14ac:dyDescent="0.3">
      <c r="J122"/>
      <c r="K122"/>
    </row>
    <row r="123" spans="10:11" x14ac:dyDescent="0.3">
      <c r="J123"/>
      <c r="K123"/>
    </row>
    <row r="124" spans="10:11" x14ac:dyDescent="0.3">
      <c r="J124"/>
      <c r="K124"/>
    </row>
    <row r="125" spans="10:11" x14ac:dyDescent="0.3">
      <c r="J125"/>
      <c r="K125"/>
    </row>
    <row r="126" spans="10:11" x14ac:dyDescent="0.3">
      <c r="J126"/>
      <c r="K126"/>
    </row>
    <row r="127" spans="10:11" x14ac:dyDescent="0.3">
      <c r="J127"/>
      <c r="K127"/>
    </row>
    <row r="128" spans="10:11" x14ac:dyDescent="0.3">
      <c r="J128"/>
      <c r="K128"/>
    </row>
    <row r="129" spans="10:11" x14ac:dyDescent="0.3">
      <c r="J129"/>
      <c r="K129"/>
    </row>
    <row r="130" spans="10:11" x14ac:dyDescent="0.3">
      <c r="J130"/>
      <c r="K130"/>
    </row>
    <row r="131" spans="10:11" x14ac:dyDescent="0.3">
      <c r="J131"/>
      <c r="K131"/>
    </row>
    <row r="132" spans="10:11" x14ac:dyDescent="0.3">
      <c r="J132"/>
      <c r="K132"/>
    </row>
    <row r="133" spans="10:11" x14ac:dyDescent="0.3">
      <c r="J133"/>
      <c r="K133"/>
    </row>
    <row r="134" spans="10:11" x14ac:dyDescent="0.3">
      <c r="J134"/>
      <c r="K134"/>
    </row>
    <row r="135" spans="10:11" x14ac:dyDescent="0.3">
      <c r="J135"/>
      <c r="K135"/>
    </row>
    <row r="136" spans="10:11" x14ac:dyDescent="0.3">
      <c r="J136"/>
      <c r="K136"/>
    </row>
    <row r="137" spans="10:11" x14ac:dyDescent="0.3">
      <c r="J137"/>
      <c r="K137"/>
    </row>
    <row r="138" spans="10:11" x14ac:dyDescent="0.3">
      <c r="J138"/>
      <c r="K138"/>
    </row>
    <row r="139" spans="10:11" x14ac:dyDescent="0.3">
      <c r="J139"/>
      <c r="K139"/>
    </row>
    <row r="140" spans="10:11" x14ac:dyDescent="0.3">
      <c r="J140"/>
      <c r="K140"/>
    </row>
    <row r="141" spans="10:11" x14ac:dyDescent="0.3">
      <c r="J141"/>
      <c r="K141"/>
    </row>
    <row r="142" spans="10:11" x14ac:dyDescent="0.3">
      <c r="J142"/>
      <c r="K142"/>
    </row>
    <row r="143" spans="10:11" x14ac:dyDescent="0.3">
      <c r="J143"/>
      <c r="K143"/>
    </row>
    <row r="144" spans="10:11" x14ac:dyDescent="0.3">
      <c r="J144"/>
      <c r="K144"/>
    </row>
    <row r="145" spans="10:11" x14ac:dyDescent="0.3">
      <c r="J145"/>
      <c r="K145"/>
    </row>
    <row r="146" spans="10:11" x14ac:dyDescent="0.3">
      <c r="J146"/>
      <c r="K146"/>
    </row>
    <row r="147" spans="10:11" x14ac:dyDescent="0.3">
      <c r="J147"/>
      <c r="K147"/>
    </row>
    <row r="148" spans="10:11" x14ac:dyDescent="0.3">
      <c r="J148"/>
      <c r="K148"/>
    </row>
    <row r="149" spans="10:11" x14ac:dyDescent="0.3">
      <c r="J149"/>
      <c r="K149"/>
    </row>
    <row r="150" spans="10:11" x14ac:dyDescent="0.3">
      <c r="J150"/>
      <c r="K150"/>
    </row>
    <row r="151" spans="10:11" x14ac:dyDescent="0.3">
      <c r="J151"/>
      <c r="K151"/>
    </row>
    <row r="152" spans="10:11" x14ac:dyDescent="0.3">
      <c r="J152"/>
      <c r="K152"/>
    </row>
    <row r="153" spans="10:11" x14ac:dyDescent="0.3">
      <c r="J153"/>
      <c r="K153"/>
    </row>
    <row r="154" spans="10:11" x14ac:dyDescent="0.3">
      <c r="J154"/>
      <c r="K154"/>
    </row>
    <row r="155" spans="10:11" x14ac:dyDescent="0.3">
      <c r="J155"/>
      <c r="K155"/>
    </row>
    <row r="156" spans="10:11" x14ac:dyDescent="0.3">
      <c r="J156"/>
      <c r="K156"/>
    </row>
    <row r="157" spans="10:11" x14ac:dyDescent="0.3">
      <c r="J157"/>
      <c r="K157"/>
    </row>
    <row r="158" spans="10:11" x14ac:dyDescent="0.3">
      <c r="J158"/>
      <c r="K158"/>
    </row>
    <row r="159" spans="10:11" x14ac:dyDescent="0.3">
      <c r="J159"/>
      <c r="K159"/>
    </row>
    <row r="160" spans="10:11" x14ac:dyDescent="0.3">
      <c r="J160"/>
      <c r="K160"/>
    </row>
    <row r="161" spans="10:11" x14ac:dyDescent="0.3">
      <c r="J161"/>
      <c r="K161"/>
    </row>
    <row r="162" spans="10:11" x14ac:dyDescent="0.3">
      <c r="J162"/>
      <c r="K162"/>
    </row>
    <row r="163" spans="10:11" x14ac:dyDescent="0.3">
      <c r="J163"/>
      <c r="K163"/>
    </row>
    <row r="164" spans="10:11" x14ac:dyDescent="0.3">
      <c r="J164"/>
      <c r="K164"/>
    </row>
    <row r="165" spans="10:11" x14ac:dyDescent="0.3">
      <c r="J165"/>
      <c r="K165"/>
    </row>
    <row r="166" spans="10:11" x14ac:dyDescent="0.3">
      <c r="J166"/>
      <c r="K166"/>
    </row>
    <row r="167" spans="10:11" x14ac:dyDescent="0.3">
      <c r="J167"/>
      <c r="K167"/>
    </row>
    <row r="168" spans="10:11" x14ac:dyDescent="0.3">
      <c r="J168"/>
      <c r="K168"/>
    </row>
    <row r="169" spans="10:11" x14ac:dyDescent="0.3">
      <c r="J169"/>
      <c r="K169"/>
    </row>
    <row r="170" spans="10:11" x14ac:dyDescent="0.3">
      <c r="J170"/>
      <c r="K170"/>
    </row>
    <row r="171" spans="10:11" x14ac:dyDescent="0.3">
      <c r="J171"/>
      <c r="K171"/>
    </row>
    <row r="172" spans="10:11" x14ac:dyDescent="0.3">
      <c r="J172"/>
      <c r="K172"/>
    </row>
    <row r="173" spans="10:11" x14ac:dyDescent="0.3">
      <c r="J173"/>
      <c r="K173"/>
    </row>
    <row r="174" spans="10:11" x14ac:dyDescent="0.3">
      <c r="J174"/>
      <c r="K174"/>
    </row>
    <row r="175" spans="10:11" x14ac:dyDescent="0.3">
      <c r="J175"/>
      <c r="K175"/>
    </row>
    <row r="176" spans="10:11" x14ac:dyDescent="0.3">
      <c r="J176"/>
      <c r="K176"/>
    </row>
    <row r="177" spans="10:11" x14ac:dyDescent="0.3">
      <c r="J177"/>
      <c r="K177"/>
    </row>
    <row r="178" spans="10:11" x14ac:dyDescent="0.3">
      <c r="J178"/>
      <c r="K178"/>
    </row>
    <row r="179" spans="10:11" x14ac:dyDescent="0.3">
      <c r="J179"/>
      <c r="K179"/>
    </row>
    <row r="180" spans="10:11" x14ac:dyDescent="0.3">
      <c r="J180"/>
      <c r="K180"/>
    </row>
    <row r="181" spans="10:11" x14ac:dyDescent="0.3">
      <c r="J181"/>
      <c r="K181"/>
    </row>
    <row r="182" spans="10:11" x14ac:dyDescent="0.3">
      <c r="J182"/>
      <c r="K182"/>
    </row>
    <row r="183" spans="10:11" x14ac:dyDescent="0.3">
      <c r="J183"/>
      <c r="K183"/>
    </row>
    <row r="184" spans="10:11" x14ac:dyDescent="0.3">
      <c r="J184"/>
      <c r="K184"/>
    </row>
    <row r="185" spans="10:11" x14ac:dyDescent="0.3">
      <c r="J185"/>
      <c r="K185"/>
    </row>
    <row r="186" spans="10:11" x14ac:dyDescent="0.3">
      <c r="J186"/>
      <c r="K186"/>
    </row>
    <row r="187" spans="10:11" x14ac:dyDescent="0.3">
      <c r="J187"/>
      <c r="K187"/>
    </row>
    <row r="188" spans="10:11" x14ac:dyDescent="0.3">
      <c r="J188"/>
      <c r="K188"/>
    </row>
    <row r="189" spans="10:11" x14ac:dyDescent="0.3">
      <c r="J189"/>
      <c r="K189"/>
    </row>
    <row r="190" spans="10:11" x14ac:dyDescent="0.3">
      <c r="J190"/>
      <c r="K190"/>
    </row>
    <row r="191" spans="10:11" x14ac:dyDescent="0.3">
      <c r="J191"/>
      <c r="K191"/>
    </row>
    <row r="192" spans="10:11" x14ac:dyDescent="0.3">
      <c r="J192"/>
      <c r="K192"/>
    </row>
    <row r="193" spans="10:11" x14ac:dyDescent="0.3">
      <c r="J193"/>
      <c r="K193"/>
    </row>
    <row r="194" spans="10:11" x14ac:dyDescent="0.3">
      <c r="J194"/>
      <c r="K194"/>
    </row>
    <row r="195" spans="10:11" x14ac:dyDescent="0.3">
      <c r="J195"/>
      <c r="K195"/>
    </row>
    <row r="196" spans="10:11" x14ac:dyDescent="0.3">
      <c r="J196"/>
      <c r="K196"/>
    </row>
    <row r="197" spans="10:11" x14ac:dyDescent="0.3">
      <c r="J197"/>
      <c r="K197"/>
    </row>
    <row r="198" spans="10:11" x14ac:dyDescent="0.3">
      <c r="J198"/>
      <c r="K198"/>
    </row>
    <row r="199" spans="10:11" x14ac:dyDescent="0.3">
      <c r="J199"/>
      <c r="K199"/>
    </row>
    <row r="200" spans="10:11" x14ac:dyDescent="0.3">
      <c r="J200"/>
      <c r="K200"/>
    </row>
    <row r="201" spans="10:11" x14ac:dyDescent="0.3">
      <c r="J201"/>
      <c r="K201"/>
    </row>
    <row r="202" spans="10:11" x14ac:dyDescent="0.3">
      <c r="J202"/>
      <c r="K202"/>
    </row>
    <row r="203" spans="10:11" x14ac:dyDescent="0.3">
      <c r="J203"/>
      <c r="K203"/>
    </row>
    <row r="204" spans="10:11" x14ac:dyDescent="0.3">
      <c r="J204"/>
      <c r="K204"/>
    </row>
    <row r="205" spans="10:11" x14ac:dyDescent="0.3">
      <c r="J205"/>
      <c r="K205"/>
    </row>
    <row r="206" spans="10:11" x14ac:dyDescent="0.3">
      <c r="J206"/>
      <c r="K206"/>
    </row>
    <row r="207" spans="10:11" x14ac:dyDescent="0.3">
      <c r="J207"/>
      <c r="K207"/>
    </row>
    <row r="208" spans="10:11" x14ac:dyDescent="0.3">
      <c r="J208"/>
      <c r="K208"/>
    </row>
    <row r="209" spans="10:11" x14ac:dyDescent="0.3">
      <c r="J209"/>
      <c r="K209"/>
    </row>
    <row r="210" spans="10:11" x14ac:dyDescent="0.3">
      <c r="J210"/>
      <c r="K210"/>
    </row>
    <row r="211" spans="10:11" x14ac:dyDescent="0.3">
      <c r="J211"/>
      <c r="K211"/>
    </row>
    <row r="212" spans="10:11" x14ac:dyDescent="0.3">
      <c r="J212"/>
      <c r="K212"/>
    </row>
    <row r="213" spans="10:11" x14ac:dyDescent="0.3">
      <c r="J213"/>
      <c r="K213"/>
    </row>
    <row r="214" spans="10:11" x14ac:dyDescent="0.3">
      <c r="J214"/>
      <c r="K214"/>
    </row>
    <row r="215" spans="10:11" x14ac:dyDescent="0.3">
      <c r="J215"/>
      <c r="K215"/>
    </row>
    <row r="216" spans="10:11" x14ac:dyDescent="0.3">
      <c r="J216"/>
      <c r="K216"/>
    </row>
    <row r="217" spans="10:11" x14ac:dyDescent="0.3">
      <c r="J217"/>
      <c r="K217"/>
    </row>
    <row r="218" spans="10:11" x14ac:dyDescent="0.3">
      <c r="J218"/>
      <c r="K218"/>
    </row>
    <row r="219" spans="10:11" x14ac:dyDescent="0.3">
      <c r="J219"/>
      <c r="K219"/>
    </row>
    <row r="220" spans="10:11" x14ac:dyDescent="0.3">
      <c r="J220"/>
      <c r="K220"/>
    </row>
    <row r="221" spans="10:11" x14ac:dyDescent="0.3">
      <c r="J221"/>
      <c r="K221"/>
    </row>
    <row r="222" spans="10:11" x14ac:dyDescent="0.3">
      <c r="J222"/>
      <c r="K222"/>
    </row>
    <row r="223" spans="10:11" x14ac:dyDescent="0.3">
      <c r="J223"/>
      <c r="K223"/>
    </row>
    <row r="224" spans="10:11" x14ac:dyDescent="0.3">
      <c r="J224"/>
      <c r="K224"/>
    </row>
    <row r="225" spans="10:11" x14ac:dyDescent="0.3">
      <c r="J225"/>
      <c r="K225"/>
    </row>
    <row r="226" spans="10:11" x14ac:dyDescent="0.3">
      <c r="J226"/>
      <c r="K226"/>
    </row>
    <row r="227" spans="10:11" x14ac:dyDescent="0.3">
      <c r="J227"/>
      <c r="K227"/>
    </row>
    <row r="228" spans="10:11" x14ac:dyDescent="0.3">
      <c r="J228"/>
      <c r="K228"/>
    </row>
    <row r="229" spans="10:11" x14ac:dyDescent="0.3">
      <c r="J229"/>
      <c r="K229"/>
    </row>
    <row r="230" spans="10:11" x14ac:dyDescent="0.3">
      <c r="J230"/>
      <c r="K230"/>
    </row>
    <row r="231" spans="10:11" x14ac:dyDescent="0.3">
      <c r="J231"/>
      <c r="K231"/>
    </row>
    <row r="232" spans="10:11" x14ac:dyDescent="0.3">
      <c r="J232"/>
      <c r="K232"/>
    </row>
    <row r="233" spans="10:11" x14ac:dyDescent="0.3">
      <c r="J233"/>
      <c r="K233"/>
    </row>
    <row r="234" spans="10:11" x14ac:dyDescent="0.3">
      <c r="J234"/>
      <c r="K234"/>
    </row>
    <row r="235" spans="10:11" x14ac:dyDescent="0.3">
      <c r="J235"/>
      <c r="K235"/>
    </row>
    <row r="236" spans="10:11" x14ac:dyDescent="0.3">
      <c r="J236"/>
      <c r="K236"/>
    </row>
    <row r="237" spans="10:11" x14ac:dyDescent="0.3">
      <c r="J237"/>
      <c r="K237"/>
    </row>
    <row r="238" spans="10:11" x14ac:dyDescent="0.3">
      <c r="J238"/>
      <c r="K238"/>
    </row>
    <row r="239" spans="10:11" x14ac:dyDescent="0.3">
      <c r="J239"/>
      <c r="K239"/>
    </row>
    <row r="240" spans="10:11" x14ac:dyDescent="0.3">
      <c r="J240"/>
      <c r="K240"/>
    </row>
    <row r="241" spans="10:11" x14ac:dyDescent="0.3">
      <c r="J241"/>
      <c r="K241"/>
    </row>
    <row r="242" spans="10:11" x14ac:dyDescent="0.3">
      <c r="J242"/>
      <c r="K242"/>
    </row>
    <row r="243" spans="10:11" x14ac:dyDescent="0.3">
      <c r="J243"/>
      <c r="K243"/>
    </row>
    <row r="244" spans="10:11" x14ac:dyDescent="0.3">
      <c r="J244"/>
      <c r="K244"/>
    </row>
    <row r="245" spans="10:11" x14ac:dyDescent="0.3">
      <c r="J245"/>
      <c r="K245"/>
    </row>
    <row r="246" spans="10:11" x14ac:dyDescent="0.3">
      <c r="J246"/>
      <c r="K246"/>
    </row>
    <row r="247" spans="10:11" x14ac:dyDescent="0.3">
      <c r="J247"/>
      <c r="K247"/>
    </row>
    <row r="248" spans="10:11" x14ac:dyDescent="0.3">
      <c r="J248"/>
      <c r="K248"/>
    </row>
    <row r="249" spans="10:11" x14ac:dyDescent="0.3">
      <c r="J249"/>
      <c r="K249"/>
    </row>
    <row r="250" spans="10:11" x14ac:dyDescent="0.3">
      <c r="J250"/>
      <c r="K250"/>
    </row>
    <row r="251" spans="10:11" x14ac:dyDescent="0.3">
      <c r="J251"/>
      <c r="K251"/>
    </row>
    <row r="252" spans="10:11" x14ac:dyDescent="0.3">
      <c r="J252"/>
      <c r="K252"/>
    </row>
    <row r="253" spans="10:11" x14ac:dyDescent="0.3">
      <c r="J253"/>
      <c r="K253"/>
    </row>
    <row r="254" spans="10:11" x14ac:dyDescent="0.3">
      <c r="J254"/>
      <c r="K254"/>
    </row>
    <row r="255" spans="10:11" x14ac:dyDescent="0.3">
      <c r="J255"/>
      <c r="K255"/>
    </row>
    <row r="256" spans="10:11" x14ac:dyDescent="0.3">
      <c r="J256"/>
      <c r="K256"/>
    </row>
    <row r="257" spans="10:11" x14ac:dyDescent="0.3">
      <c r="J257"/>
      <c r="K257"/>
    </row>
    <row r="258" spans="10:11" x14ac:dyDescent="0.3">
      <c r="J258"/>
      <c r="K258"/>
    </row>
    <row r="259" spans="10:11" x14ac:dyDescent="0.3">
      <c r="J259"/>
      <c r="K259"/>
    </row>
    <row r="260" spans="10:11" x14ac:dyDescent="0.3">
      <c r="J260"/>
      <c r="K260"/>
    </row>
    <row r="261" spans="10:11" x14ac:dyDescent="0.3">
      <c r="J261"/>
      <c r="K261"/>
    </row>
    <row r="262" spans="10:11" x14ac:dyDescent="0.3">
      <c r="J262"/>
      <c r="K262"/>
    </row>
    <row r="263" spans="10:11" x14ac:dyDescent="0.3">
      <c r="J263"/>
      <c r="K263"/>
    </row>
    <row r="264" spans="10:11" x14ac:dyDescent="0.3">
      <c r="J264"/>
      <c r="K264"/>
    </row>
    <row r="265" spans="10:11" x14ac:dyDescent="0.3">
      <c r="J265"/>
      <c r="K265"/>
    </row>
    <row r="266" spans="10:11" x14ac:dyDescent="0.3">
      <c r="J266"/>
      <c r="K266"/>
    </row>
    <row r="267" spans="10:11" x14ac:dyDescent="0.3">
      <c r="J267"/>
      <c r="K267"/>
    </row>
    <row r="268" spans="10:11" x14ac:dyDescent="0.3">
      <c r="J268"/>
      <c r="K268"/>
    </row>
    <row r="269" spans="10:11" x14ac:dyDescent="0.3">
      <c r="J269"/>
      <c r="K269"/>
    </row>
    <row r="270" spans="10:11" x14ac:dyDescent="0.3">
      <c r="J270"/>
      <c r="K270"/>
    </row>
    <row r="271" spans="10:11" x14ac:dyDescent="0.3">
      <c r="J271"/>
      <c r="K271"/>
    </row>
    <row r="272" spans="10:11" x14ac:dyDescent="0.3">
      <c r="J272"/>
      <c r="K272"/>
    </row>
    <row r="273" spans="10:11" x14ac:dyDescent="0.3">
      <c r="J273"/>
      <c r="K273"/>
    </row>
    <row r="274" spans="10:11" x14ac:dyDescent="0.3">
      <c r="J274"/>
      <c r="K274"/>
    </row>
    <row r="275" spans="10:11" x14ac:dyDescent="0.3">
      <c r="J275"/>
      <c r="K275"/>
    </row>
    <row r="276" spans="10:11" x14ac:dyDescent="0.3">
      <c r="J276"/>
      <c r="K276"/>
    </row>
    <row r="277" spans="10:11" x14ac:dyDescent="0.3">
      <c r="J277"/>
      <c r="K277"/>
    </row>
    <row r="278" spans="10:11" x14ac:dyDescent="0.3">
      <c r="J278"/>
      <c r="K278"/>
    </row>
    <row r="279" spans="10:11" x14ac:dyDescent="0.3">
      <c r="J279"/>
      <c r="K279"/>
    </row>
    <row r="280" spans="10:11" x14ac:dyDescent="0.3">
      <c r="J280"/>
      <c r="K280"/>
    </row>
    <row r="281" spans="10:11" x14ac:dyDescent="0.3">
      <c r="J281"/>
      <c r="K281"/>
    </row>
    <row r="282" spans="10:11" x14ac:dyDescent="0.3">
      <c r="J282"/>
      <c r="K282"/>
    </row>
    <row r="283" spans="10:11" x14ac:dyDescent="0.3">
      <c r="J283"/>
      <c r="K283"/>
    </row>
    <row r="284" spans="10:11" x14ac:dyDescent="0.3">
      <c r="J284"/>
      <c r="K284"/>
    </row>
    <row r="285" spans="10:11" x14ac:dyDescent="0.3">
      <c r="J285"/>
      <c r="K285"/>
    </row>
    <row r="286" spans="10:11" x14ac:dyDescent="0.3">
      <c r="J286"/>
      <c r="K286"/>
    </row>
    <row r="287" spans="10:11" x14ac:dyDescent="0.3">
      <c r="J287"/>
      <c r="K287"/>
    </row>
    <row r="288" spans="10:11" x14ac:dyDescent="0.3">
      <c r="J288"/>
      <c r="K288"/>
    </row>
    <row r="289" spans="10:11" x14ac:dyDescent="0.3">
      <c r="J289"/>
      <c r="K289"/>
    </row>
    <row r="290" spans="10:11" x14ac:dyDescent="0.3">
      <c r="J290"/>
      <c r="K290"/>
    </row>
    <row r="291" spans="10:11" x14ac:dyDescent="0.3">
      <c r="J291"/>
      <c r="K291"/>
    </row>
    <row r="292" spans="10:11" x14ac:dyDescent="0.3">
      <c r="J292"/>
      <c r="K292"/>
    </row>
    <row r="293" spans="10:11" x14ac:dyDescent="0.3">
      <c r="J293"/>
      <c r="K293"/>
    </row>
    <row r="294" spans="10:11" x14ac:dyDescent="0.3">
      <c r="J294"/>
      <c r="K294"/>
    </row>
    <row r="295" spans="10:11" x14ac:dyDescent="0.3">
      <c r="J295"/>
      <c r="K295"/>
    </row>
    <row r="296" spans="10:11" x14ac:dyDescent="0.3">
      <c r="J296"/>
      <c r="K296"/>
    </row>
    <row r="297" spans="10:11" x14ac:dyDescent="0.3">
      <c r="J297"/>
      <c r="K297"/>
    </row>
    <row r="298" spans="10:11" x14ac:dyDescent="0.3">
      <c r="J298"/>
      <c r="K298"/>
    </row>
    <row r="299" spans="10:11" x14ac:dyDescent="0.3">
      <c r="J299"/>
      <c r="K299"/>
    </row>
    <row r="300" spans="10:11" x14ac:dyDescent="0.3">
      <c r="J300"/>
      <c r="K300"/>
    </row>
    <row r="301" spans="10:11" x14ac:dyDescent="0.3">
      <c r="J301"/>
      <c r="K301"/>
    </row>
    <row r="302" spans="10:11" x14ac:dyDescent="0.3">
      <c r="J302"/>
      <c r="K302"/>
    </row>
    <row r="303" spans="10:11" x14ac:dyDescent="0.3">
      <c r="J303"/>
      <c r="K303"/>
    </row>
    <row r="304" spans="10:11" x14ac:dyDescent="0.3">
      <c r="J304"/>
      <c r="K304"/>
    </row>
    <row r="305" spans="10:11" x14ac:dyDescent="0.3">
      <c r="J305"/>
      <c r="K305"/>
    </row>
    <row r="306" spans="10:11" x14ac:dyDescent="0.3">
      <c r="J306"/>
      <c r="K306"/>
    </row>
    <row r="307" spans="10:11" x14ac:dyDescent="0.3">
      <c r="J307"/>
      <c r="K307"/>
    </row>
    <row r="308" spans="10:11" x14ac:dyDescent="0.3">
      <c r="J308"/>
      <c r="K308"/>
    </row>
    <row r="309" spans="10:11" x14ac:dyDescent="0.3">
      <c r="J309"/>
      <c r="K309"/>
    </row>
    <row r="310" spans="10:11" x14ac:dyDescent="0.3">
      <c r="J310"/>
      <c r="K310"/>
    </row>
    <row r="311" spans="10:11" x14ac:dyDescent="0.3">
      <c r="J311"/>
      <c r="K311"/>
    </row>
    <row r="312" spans="10:11" x14ac:dyDescent="0.3">
      <c r="J312"/>
      <c r="K312"/>
    </row>
    <row r="313" spans="10:11" x14ac:dyDescent="0.3">
      <c r="J313"/>
      <c r="K313"/>
    </row>
    <row r="314" spans="10:11" x14ac:dyDescent="0.3">
      <c r="J314"/>
      <c r="K314"/>
    </row>
    <row r="315" spans="10:11" x14ac:dyDescent="0.3">
      <c r="J315"/>
      <c r="K315"/>
    </row>
    <row r="316" spans="10:11" x14ac:dyDescent="0.3">
      <c r="J316"/>
      <c r="K316"/>
    </row>
    <row r="317" spans="10:11" x14ac:dyDescent="0.3">
      <c r="J317"/>
      <c r="K317"/>
    </row>
    <row r="318" spans="10:11" x14ac:dyDescent="0.3">
      <c r="J318"/>
      <c r="K318"/>
    </row>
    <row r="319" spans="10:11" x14ac:dyDescent="0.3">
      <c r="J319"/>
      <c r="K319"/>
    </row>
    <row r="320" spans="10:11" x14ac:dyDescent="0.3">
      <c r="J320"/>
      <c r="K320"/>
    </row>
    <row r="321" spans="10:11" x14ac:dyDescent="0.3">
      <c r="J321"/>
      <c r="K321"/>
    </row>
    <row r="322" spans="10:11" x14ac:dyDescent="0.3">
      <c r="J322"/>
      <c r="K322"/>
    </row>
    <row r="323" spans="10:11" x14ac:dyDescent="0.3">
      <c r="J323"/>
      <c r="K323"/>
    </row>
    <row r="324" spans="10:11" x14ac:dyDescent="0.3">
      <c r="J324"/>
      <c r="K324"/>
    </row>
    <row r="325" spans="10:11" x14ac:dyDescent="0.3">
      <c r="J325"/>
      <c r="K325"/>
    </row>
    <row r="326" spans="10:11" x14ac:dyDescent="0.3">
      <c r="J326"/>
      <c r="K326"/>
    </row>
    <row r="327" spans="10:11" x14ac:dyDescent="0.3">
      <c r="J327"/>
      <c r="K327"/>
    </row>
    <row r="328" spans="10:11" x14ac:dyDescent="0.3">
      <c r="J328"/>
      <c r="K328"/>
    </row>
    <row r="329" spans="10:11" x14ac:dyDescent="0.3">
      <c r="J329"/>
      <c r="K329"/>
    </row>
    <row r="330" spans="10:11" x14ac:dyDescent="0.3">
      <c r="J330"/>
      <c r="K330"/>
    </row>
    <row r="331" spans="10:11" x14ac:dyDescent="0.3">
      <c r="J331"/>
      <c r="K331"/>
    </row>
    <row r="332" spans="10:11" x14ac:dyDescent="0.3">
      <c r="J332"/>
      <c r="K332"/>
    </row>
    <row r="333" spans="10:11" x14ac:dyDescent="0.3">
      <c r="J333"/>
      <c r="K333"/>
    </row>
    <row r="334" spans="10:11" x14ac:dyDescent="0.3">
      <c r="J334"/>
      <c r="K334"/>
    </row>
    <row r="335" spans="10:11" x14ac:dyDescent="0.3">
      <c r="J335"/>
      <c r="K335"/>
    </row>
    <row r="336" spans="10:11" x14ac:dyDescent="0.3">
      <c r="J336"/>
      <c r="K336"/>
    </row>
    <row r="337" spans="10:11" x14ac:dyDescent="0.3">
      <c r="J337"/>
      <c r="K337"/>
    </row>
    <row r="338" spans="10:11" x14ac:dyDescent="0.3">
      <c r="J338"/>
      <c r="K338"/>
    </row>
    <row r="339" spans="10:11" x14ac:dyDescent="0.3">
      <c r="J339"/>
      <c r="K339"/>
    </row>
    <row r="340" spans="10:11" x14ac:dyDescent="0.3">
      <c r="J340"/>
      <c r="K340"/>
    </row>
    <row r="341" spans="10:11" x14ac:dyDescent="0.3">
      <c r="J341"/>
      <c r="K341"/>
    </row>
    <row r="342" spans="10:11" x14ac:dyDescent="0.3">
      <c r="J342"/>
      <c r="K342"/>
    </row>
    <row r="343" spans="10:11" x14ac:dyDescent="0.3">
      <c r="J343"/>
      <c r="K343"/>
    </row>
    <row r="344" spans="10:11" x14ac:dyDescent="0.3">
      <c r="J344"/>
      <c r="K344"/>
    </row>
    <row r="345" spans="10:11" x14ac:dyDescent="0.3">
      <c r="J345"/>
      <c r="K345"/>
    </row>
    <row r="346" spans="10:11" x14ac:dyDescent="0.3">
      <c r="J346"/>
      <c r="K346"/>
    </row>
    <row r="347" spans="10:11" x14ac:dyDescent="0.3">
      <c r="J347"/>
      <c r="K347"/>
    </row>
    <row r="348" spans="10:11" x14ac:dyDescent="0.3">
      <c r="J348"/>
      <c r="K348"/>
    </row>
    <row r="349" spans="10:11" x14ac:dyDescent="0.3">
      <c r="J349"/>
      <c r="K349"/>
    </row>
    <row r="350" spans="10:11" x14ac:dyDescent="0.3">
      <c r="J350"/>
      <c r="K350"/>
    </row>
    <row r="351" spans="10:11" x14ac:dyDescent="0.3">
      <c r="J351"/>
      <c r="K351"/>
    </row>
    <row r="352" spans="10:11" x14ac:dyDescent="0.3">
      <c r="J352"/>
      <c r="K352"/>
    </row>
    <row r="353" spans="10:11" x14ac:dyDescent="0.3">
      <c r="J353"/>
      <c r="K353"/>
    </row>
    <row r="354" spans="10:11" x14ac:dyDescent="0.3">
      <c r="J354"/>
      <c r="K354"/>
    </row>
    <row r="355" spans="10:11" x14ac:dyDescent="0.3">
      <c r="J355"/>
      <c r="K355"/>
    </row>
    <row r="356" spans="10:11" x14ac:dyDescent="0.3">
      <c r="J356"/>
      <c r="K356"/>
    </row>
    <row r="357" spans="10:11" x14ac:dyDescent="0.3">
      <c r="J357"/>
      <c r="K357"/>
    </row>
    <row r="358" spans="10:11" x14ac:dyDescent="0.3">
      <c r="J358"/>
      <c r="K358"/>
    </row>
    <row r="359" spans="10:11" x14ac:dyDescent="0.3">
      <c r="J359"/>
      <c r="K359"/>
    </row>
    <row r="360" spans="10:11" x14ac:dyDescent="0.3">
      <c r="J360"/>
      <c r="K360"/>
    </row>
    <row r="361" spans="10:11" x14ac:dyDescent="0.3">
      <c r="J361"/>
      <c r="K361"/>
    </row>
    <row r="362" spans="10:11" x14ac:dyDescent="0.3">
      <c r="J362"/>
      <c r="K362"/>
    </row>
    <row r="363" spans="10:11" x14ac:dyDescent="0.3">
      <c r="J363"/>
      <c r="K363"/>
    </row>
    <row r="364" spans="10:11" x14ac:dyDescent="0.3">
      <c r="J364"/>
      <c r="K364"/>
    </row>
    <row r="365" spans="10:11" x14ac:dyDescent="0.3">
      <c r="J365"/>
      <c r="K365"/>
    </row>
    <row r="366" spans="10:11" x14ac:dyDescent="0.3">
      <c r="J366"/>
      <c r="K366"/>
    </row>
    <row r="367" spans="10:11" x14ac:dyDescent="0.3">
      <c r="J367"/>
      <c r="K367"/>
    </row>
    <row r="368" spans="10:11" x14ac:dyDescent="0.3">
      <c r="J368"/>
      <c r="K368"/>
    </row>
    <row r="369" spans="10:11" x14ac:dyDescent="0.3">
      <c r="J369"/>
      <c r="K369"/>
    </row>
    <row r="370" spans="10:11" x14ac:dyDescent="0.3">
      <c r="J370"/>
      <c r="K370"/>
    </row>
    <row r="371" spans="10:11" x14ac:dyDescent="0.3">
      <c r="J371"/>
      <c r="K371"/>
    </row>
    <row r="372" spans="10:11" x14ac:dyDescent="0.3">
      <c r="J372"/>
      <c r="K372"/>
    </row>
    <row r="373" spans="10:11" x14ac:dyDescent="0.3">
      <c r="J373"/>
      <c r="K373"/>
    </row>
    <row r="374" spans="10:11" x14ac:dyDescent="0.3">
      <c r="J374"/>
      <c r="K374"/>
    </row>
    <row r="375" spans="10:11" x14ac:dyDescent="0.3">
      <c r="J375"/>
      <c r="K375"/>
    </row>
    <row r="376" spans="10:11" x14ac:dyDescent="0.3">
      <c r="J376"/>
      <c r="K376"/>
    </row>
    <row r="377" spans="10:11" x14ac:dyDescent="0.3">
      <c r="J377"/>
      <c r="K377"/>
    </row>
    <row r="378" spans="10:11" x14ac:dyDescent="0.3">
      <c r="J378"/>
      <c r="K378"/>
    </row>
    <row r="379" spans="10:11" x14ac:dyDescent="0.3">
      <c r="J379"/>
      <c r="K379"/>
    </row>
    <row r="380" spans="10:11" x14ac:dyDescent="0.3">
      <c r="J380"/>
      <c r="K380"/>
    </row>
    <row r="381" spans="10:11" x14ac:dyDescent="0.3">
      <c r="J381"/>
      <c r="K381"/>
    </row>
    <row r="382" spans="10:11" x14ac:dyDescent="0.3">
      <c r="J382"/>
      <c r="K382"/>
    </row>
    <row r="383" spans="10:11" x14ac:dyDescent="0.3">
      <c r="J383"/>
      <c r="K383"/>
    </row>
    <row r="384" spans="10:11" x14ac:dyDescent="0.3">
      <c r="J384"/>
      <c r="K384"/>
    </row>
    <row r="385" spans="10:11" x14ac:dyDescent="0.3">
      <c r="J385"/>
      <c r="K385"/>
    </row>
    <row r="386" spans="10:11" x14ac:dyDescent="0.3">
      <c r="J386"/>
      <c r="K38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62D2-3890-4F4D-AEB7-57882B4F2A8E}">
  <dimension ref="A1:L525"/>
  <sheetViews>
    <sheetView tabSelected="1" topLeftCell="A440" workbookViewId="0">
      <selection activeCell="J505" sqref="J505"/>
    </sheetView>
  </sheetViews>
  <sheetFormatPr baseColWidth="10" defaultRowHeight="14.4" x14ac:dyDescent="0.3"/>
  <cols>
    <col min="1" max="1" width="11.5546875" style="2"/>
    <col min="2" max="2" width="72.33203125" style="2" customWidth="1"/>
    <col min="3" max="5" width="11.5546875" style="2"/>
    <col min="6" max="6" width="11.5546875" style="17"/>
    <col min="7" max="7" width="12.6640625" style="17" bestFit="1" customWidth="1"/>
    <col min="8" max="8" width="11.5546875" style="2"/>
    <col min="9" max="9" width="11.5546875" style="5"/>
    <col min="10" max="11" width="11.5546875" style="2"/>
    <col min="12" max="12" width="11.5546875" style="6"/>
    <col min="13" max="16384" width="11.5546875" style="2"/>
  </cols>
  <sheetData>
    <row r="1" spans="1:12" x14ac:dyDescent="0.3">
      <c r="A1" s="3" t="s">
        <v>244</v>
      </c>
      <c r="B1" s="3" t="s">
        <v>245</v>
      </c>
      <c r="C1" s="3" t="s">
        <v>828</v>
      </c>
      <c r="D1" s="3" t="s">
        <v>829</v>
      </c>
      <c r="E1" s="3" t="s">
        <v>830</v>
      </c>
      <c r="F1" s="16" t="s">
        <v>831</v>
      </c>
      <c r="G1" s="16" t="s">
        <v>247</v>
      </c>
      <c r="H1" s="3" t="s">
        <v>248</v>
      </c>
      <c r="I1" s="8" t="s">
        <v>359</v>
      </c>
      <c r="J1" s="8" t="s">
        <v>360</v>
      </c>
      <c r="K1" s="8" t="s">
        <v>395</v>
      </c>
      <c r="L1" s="13" t="s">
        <v>423</v>
      </c>
    </row>
    <row r="2" spans="1:12" x14ac:dyDescent="0.3">
      <c r="A2" s="2">
        <v>405482</v>
      </c>
      <c r="B2" s="2" t="s">
        <v>0</v>
      </c>
      <c r="C2" s="2" t="s">
        <v>1</v>
      </c>
      <c r="D2" s="2" t="s">
        <v>2</v>
      </c>
      <c r="E2" s="2">
        <v>146</v>
      </c>
      <c r="F2" s="17">
        <v>11250.01</v>
      </c>
      <c r="G2" s="17">
        <v>1642501.46</v>
      </c>
      <c r="H2" s="1">
        <f ca="1">TODAY()</f>
        <v>46207</v>
      </c>
      <c r="I2" s="5">
        <f>IFERROR(VLOOKUP(A2,'[1]Consumo SEMANA ENEA'!$F:$EM,138,0),0)</f>
        <v>0</v>
      </c>
      <c r="J2" s="2" t="str">
        <f>IFERROR(VLOOKUP(A2,Hoja4!A:C,3,0),"")</f>
        <v>Esencia</v>
      </c>
      <c r="K2" s="9">
        <f>IFERROR(+E2/I2,0)</f>
        <v>0</v>
      </c>
      <c r="L2" s="6">
        <f>IFERROR(VLOOKUP(A2,'[1]Consumo SEMANA ENEA'!$F:$ES,144,0),0)</f>
        <v>0</v>
      </c>
    </row>
    <row r="3" spans="1:12" x14ac:dyDescent="0.3">
      <c r="A3" s="2">
        <v>405682</v>
      </c>
      <c r="B3" s="2" t="s">
        <v>3</v>
      </c>
      <c r="C3" s="2" t="s">
        <v>1</v>
      </c>
      <c r="D3" s="2" t="s">
        <v>2</v>
      </c>
      <c r="E3" s="5">
        <v>40</v>
      </c>
      <c r="F3" s="17">
        <v>10690</v>
      </c>
      <c r="G3" s="17">
        <v>427600</v>
      </c>
      <c r="H3" s="1">
        <f t="shared" ref="H3:H66" ca="1" si="0">TODAY()</f>
        <v>46207</v>
      </c>
      <c r="I3" s="5">
        <f>IFERROR(VLOOKUP(A3,'[1]Consumo SEMANA ENEA'!$F:$EM,138,0),0)</f>
        <v>10</v>
      </c>
      <c r="J3" s="2" t="str">
        <f>IFERROR(VLOOKUP(A3,Hoja4!A:C,3,0),"")</f>
        <v>Esencia</v>
      </c>
      <c r="K3" s="9">
        <f t="shared" ref="K3:K66" si="1">IFERROR(+E3/I3,0)</f>
        <v>4</v>
      </c>
      <c r="L3" s="6">
        <f>IFERROR(VLOOKUP(A3,'[1]Consumo SEMANA ENEA'!$F:$ES,144,0),0)</f>
        <v>3.3333333333333335</v>
      </c>
    </row>
    <row r="4" spans="1:12" x14ac:dyDescent="0.3">
      <c r="A4" s="2">
        <v>405418</v>
      </c>
      <c r="B4" s="2" t="s">
        <v>4</v>
      </c>
      <c r="C4" s="2" t="s">
        <v>1</v>
      </c>
      <c r="D4" s="2" t="s">
        <v>2</v>
      </c>
      <c r="E4" s="2">
        <v>185</v>
      </c>
      <c r="F4" s="17">
        <v>1371.65</v>
      </c>
      <c r="G4" s="17">
        <v>253755.25</v>
      </c>
      <c r="H4" s="1">
        <f t="shared" ca="1" si="0"/>
        <v>46207</v>
      </c>
      <c r="I4" s="5">
        <f>IFERROR(VLOOKUP(A4,'[1]Consumo SEMANA ENEA'!$F:$EM,138,0),0)</f>
        <v>65</v>
      </c>
      <c r="J4" s="2" t="str">
        <f>IFERROR(VLOOKUP(A4,Hoja4!A:C,3,0),"")</f>
        <v>Azucar</v>
      </c>
      <c r="K4" s="9">
        <f t="shared" si="1"/>
        <v>2.8461538461538463</v>
      </c>
      <c r="L4" s="6">
        <f>IFERROR(VLOOKUP(A4,'[1]Consumo SEMANA ENEA'!$F:$ES,144,0),0)</f>
        <v>21.666666666666668</v>
      </c>
    </row>
    <row r="5" spans="1:12" x14ac:dyDescent="0.3">
      <c r="A5" s="2">
        <v>104006</v>
      </c>
      <c r="B5" s="2" t="s">
        <v>5</v>
      </c>
      <c r="C5" s="2" t="s">
        <v>1</v>
      </c>
      <c r="D5" s="2" t="s">
        <v>2</v>
      </c>
      <c r="E5" s="2">
        <v>2066</v>
      </c>
      <c r="F5" s="17">
        <v>900</v>
      </c>
      <c r="G5" s="17">
        <v>1859400</v>
      </c>
      <c r="H5" s="1">
        <f t="shared" ca="1" si="0"/>
        <v>46207</v>
      </c>
      <c r="I5" s="5">
        <f>IFERROR(VLOOKUP(A5,'[1]Consumo SEMANA ENEA'!$F:$EM,138,0),0)</f>
        <v>1247.7367999999999</v>
      </c>
      <c r="J5" s="2" t="str">
        <f>IFERROR(VLOOKUP(A5,Hoja4!A:C,3,0),"")</f>
        <v>Azucar</v>
      </c>
      <c r="K5" s="9">
        <f t="shared" si="1"/>
        <v>1.6557979214847236</v>
      </c>
      <c r="L5" s="6">
        <f>IFERROR(VLOOKUP(A5,'[1]Consumo SEMANA ENEA'!$F:$ES,144,0),0)</f>
        <v>623.86839999999995</v>
      </c>
    </row>
    <row r="6" spans="1:12" x14ac:dyDescent="0.3">
      <c r="A6" s="2">
        <v>404316</v>
      </c>
      <c r="B6" s="2" t="s">
        <v>506</v>
      </c>
      <c r="C6" s="2" t="s">
        <v>1</v>
      </c>
      <c r="D6" s="2" t="s">
        <v>2</v>
      </c>
      <c r="E6" s="5">
        <v>273</v>
      </c>
      <c r="F6" s="17">
        <v>1646</v>
      </c>
      <c r="G6" s="17">
        <v>449358</v>
      </c>
      <c r="H6" s="1">
        <f t="shared" ca="1" si="0"/>
        <v>46207</v>
      </c>
      <c r="I6" s="5">
        <f>IFERROR(VLOOKUP(A6,'[1]Consumo SEMANA ENEA'!$F:$EM,138,0),0)</f>
        <v>365.04</v>
      </c>
      <c r="J6" s="2" t="str">
        <f>IFERROR(VLOOKUP(A6,Hoja4!A:C,3,0),"")</f>
        <v>Insumo</v>
      </c>
      <c r="K6" s="9">
        <f t="shared" si="1"/>
        <v>0.74786324786324787</v>
      </c>
      <c r="L6" s="6">
        <f>IFERROR(VLOOKUP(A6,'[1]Consumo SEMANA ENEA'!$F:$ES,144,0),0)</f>
        <v>182.52</v>
      </c>
    </row>
    <row r="7" spans="1:12" x14ac:dyDescent="0.3">
      <c r="A7" s="2">
        <v>405445</v>
      </c>
      <c r="B7" s="2" t="s">
        <v>6</v>
      </c>
      <c r="C7" s="2" t="s">
        <v>1</v>
      </c>
      <c r="D7" s="2" t="s">
        <v>2</v>
      </c>
      <c r="E7" s="2">
        <v>96200</v>
      </c>
      <c r="F7" s="17">
        <v>93.6</v>
      </c>
      <c r="G7" s="17">
        <v>9004320</v>
      </c>
      <c r="H7" s="1">
        <f t="shared" ca="1" si="0"/>
        <v>46207</v>
      </c>
      <c r="I7" s="5">
        <f>IFERROR(VLOOKUP(A7,'[1]Consumo SEMANA ENEA'!$F:$EM,138,0),0)</f>
        <v>58368.84</v>
      </c>
      <c r="J7" s="2" t="str">
        <f>IFERROR(VLOOKUP(A7,Hoja4!A:C,3,0),"")</f>
        <v>Cupula</v>
      </c>
      <c r="K7" s="9">
        <f t="shared" si="1"/>
        <v>1.6481396580778376</v>
      </c>
      <c r="L7" s="6">
        <f>IFERROR(VLOOKUP(A7,'[1]Consumo SEMANA ENEA'!$F:$ES,144,0),0)</f>
        <v>19456.28</v>
      </c>
    </row>
    <row r="8" spans="1:12" x14ac:dyDescent="0.3">
      <c r="A8" s="2">
        <v>107302</v>
      </c>
      <c r="B8" s="2" t="s">
        <v>7</v>
      </c>
      <c r="C8" s="2" t="s">
        <v>1</v>
      </c>
      <c r="D8" s="2" t="s">
        <v>2</v>
      </c>
      <c r="E8" s="2">
        <v>245</v>
      </c>
      <c r="F8" s="17">
        <v>12960</v>
      </c>
      <c r="G8" s="17">
        <v>3175200</v>
      </c>
      <c r="H8" s="1">
        <f t="shared" ca="1" si="0"/>
        <v>46207</v>
      </c>
      <c r="I8" s="5">
        <f>IFERROR(VLOOKUP(A8,'[1]Consumo SEMANA ENEA'!$F:$EM,138,0),0)</f>
        <v>107.5</v>
      </c>
      <c r="J8" s="2" t="str">
        <f>IFERROR(VLOOKUP(A8,Hoja4!A:C,3,0),"")</f>
        <v>Chocolate</v>
      </c>
      <c r="K8" s="9">
        <f t="shared" si="1"/>
        <v>2.2790697674418605</v>
      </c>
      <c r="L8" s="6">
        <f>IFERROR(VLOOKUP(A8,'[1]Consumo SEMANA ENEA'!$F:$ES,144,0),0)</f>
        <v>53.75</v>
      </c>
    </row>
    <row r="9" spans="1:12" x14ac:dyDescent="0.3">
      <c r="A9" s="2">
        <v>405645</v>
      </c>
      <c r="B9" s="2" t="s">
        <v>742</v>
      </c>
      <c r="C9" s="2" t="s">
        <v>1</v>
      </c>
      <c r="D9" s="2" t="s">
        <v>2</v>
      </c>
      <c r="E9" s="2">
        <v>44</v>
      </c>
      <c r="F9" s="17">
        <v>2450</v>
      </c>
      <c r="G9" s="17">
        <v>107800</v>
      </c>
      <c r="H9" s="1">
        <f t="shared" ca="1" si="0"/>
        <v>46207</v>
      </c>
      <c r="I9" s="5">
        <f>IFERROR(VLOOKUP(A9,'[1]Consumo SEMANA ENEA'!$F:$EM,138,0),0)</f>
        <v>112.375</v>
      </c>
      <c r="J9" s="2" t="str">
        <f>IFERROR(VLOOKUP(A9,Hoja4!A:C,3,0),"")</f>
        <v>Insumo</v>
      </c>
      <c r="K9" s="9">
        <f t="shared" si="1"/>
        <v>0.39154616240266965</v>
      </c>
      <c r="L9" s="6">
        <f>IFERROR(VLOOKUP(A9,'[1]Consumo SEMANA ENEA'!$F:$ES,144,0),0)</f>
        <v>56.1875</v>
      </c>
    </row>
    <row r="10" spans="1:12" x14ac:dyDescent="0.3">
      <c r="A10" s="2">
        <v>400216</v>
      </c>
      <c r="B10" s="2" t="s">
        <v>8</v>
      </c>
      <c r="C10" s="2" t="s">
        <v>1</v>
      </c>
      <c r="D10" s="2" t="s">
        <v>2</v>
      </c>
      <c r="E10" s="5">
        <v>45</v>
      </c>
      <c r="F10" s="17">
        <v>4322</v>
      </c>
      <c r="G10" s="17">
        <v>194490</v>
      </c>
      <c r="H10" s="1">
        <f t="shared" ca="1" si="0"/>
        <v>46207</v>
      </c>
      <c r="I10" s="5">
        <f>IFERROR(VLOOKUP(A10,'[1]Consumo SEMANA ENEA'!$F:$EM,138,0),0)</f>
        <v>86.36363636363636</v>
      </c>
      <c r="J10" s="2" t="str">
        <f>IFERROR(VLOOKUP(A10,Hoja4!A:C,3,0),"")</f>
        <v>Insumo</v>
      </c>
      <c r="K10" s="9">
        <f t="shared" si="1"/>
        <v>0.52105263157894743</v>
      </c>
      <c r="L10" s="6">
        <f>IFERROR(VLOOKUP(A10,'[1]Consumo SEMANA ENEA'!$F:$ES,144,0),0)</f>
        <v>43.18181818181818</v>
      </c>
    </row>
    <row r="11" spans="1:12" x14ac:dyDescent="0.3">
      <c r="A11" s="2">
        <v>405786</v>
      </c>
      <c r="B11" s="2" t="s">
        <v>825</v>
      </c>
      <c r="C11" s="2" t="s">
        <v>1</v>
      </c>
      <c r="D11" s="2" t="s">
        <v>2</v>
      </c>
      <c r="E11" s="5">
        <v>6000</v>
      </c>
      <c r="F11" s="17">
        <v>107</v>
      </c>
      <c r="G11" s="17">
        <v>642000</v>
      </c>
      <c r="H11" s="1">
        <f t="shared" ca="1" si="0"/>
        <v>46207</v>
      </c>
      <c r="I11" s="5">
        <f>IFERROR(VLOOKUP(A11,'[1]Consumo SEMANA ENEA'!$F:$EM,138,0),0)</f>
        <v>0</v>
      </c>
      <c r="J11" s="2" t="str">
        <f>IFERROR(VLOOKUP(A11,Hoja4!A:C,3,0),"")</f>
        <v>Cupula</v>
      </c>
      <c r="K11" s="9">
        <f t="shared" si="1"/>
        <v>0</v>
      </c>
      <c r="L11" s="6">
        <f>IFERROR(VLOOKUP(A11,'[1]Consumo SEMANA ENEA'!$F:$ES,144,0),0)</f>
        <v>0</v>
      </c>
    </row>
    <row r="12" spans="1:12" x14ac:dyDescent="0.3">
      <c r="A12" s="2">
        <v>403338</v>
      </c>
      <c r="B12" s="2" t="s">
        <v>9</v>
      </c>
      <c r="C12" s="2" t="s">
        <v>1</v>
      </c>
      <c r="D12" s="2" t="s">
        <v>2</v>
      </c>
      <c r="E12" s="5">
        <v>13800</v>
      </c>
      <c r="F12" s="17">
        <v>49.44</v>
      </c>
      <c r="G12" s="17">
        <v>682272</v>
      </c>
      <c r="H12" s="1">
        <f t="shared" ca="1" si="0"/>
        <v>46207</v>
      </c>
      <c r="I12" s="5">
        <f>IFERROR(VLOOKUP(A12,'[1]Consumo SEMANA ENEA'!$F:$EM,138,0),0)</f>
        <v>3488.04</v>
      </c>
      <c r="J12" s="2" t="str">
        <f>IFERROR(VLOOKUP(A12,Hoja4!A:C,3,0),"")</f>
        <v>Cupula</v>
      </c>
      <c r="K12" s="9">
        <f t="shared" si="1"/>
        <v>3.9563766470567998</v>
      </c>
      <c r="L12" s="6">
        <f>IFERROR(VLOOKUP(A12,'[1]Consumo SEMANA ENEA'!$F:$ES,144,0),0)</f>
        <v>1162.68</v>
      </c>
    </row>
    <row r="13" spans="1:12" x14ac:dyDescent="0.3">
      <c r="A13" s="2">
        <v>400205</v>
      </c>
      <c r="B13" s="2" t="s">
        <v>254</v>
      </c>
      <c r="C13" s="2" t="s">
        <v>1</v>
      </c>
      <c r="D13" s="2" t="s">
        <v>2</v>
      </c>
      <c r="E13" s="2">
        <v>2000</v>
      </c>
      <c r="F13" s="17">
        <v>39.29</v>
      </c>
      <c r="G13" s="17">
        <v>78580</v>
      </c>
      <c r="H13" s="1">
        <f t="shared" ca="1" si="0"/>
        <v>46207</v>
      </c>
      <c r="I13" s="5">
        <f>IFERROR(VLOOKUP(A13,'[1]Consumo SEMANA ENEA'!$F:$EM,138,0),0)</f>
        <v>2571.4285714285716</v>
      </c>
      <c r="J13" s="2" t="str">
        <f>IFERROR(VLOOKUP(A13,Hoja4!A:C,3,0),"")</f>
        <v>Bolsas</v>
      </c>
      <c r="K13" s="9">
        <f t="shared" si="1"/>
        <v>0.77777777777777779</v>
      </c>
      <c r="L13" s="6">
        <f>IFERROR(VLOOKUP(A13,'[1]Consumo SEMANA ENEA'!$F:$ES,144,0),0)</f>
        <v>2571.4285714285716</v>
      </c>
    </row>
    <row r="14" spans="1:12" x14ac:dyDescent="0.3">
      <c r="A14" s="2">
        <v>402263</v>
      </c>
      <c r="B14" s="2" t="s">
        <v>10</v>
      </c>
      <c r="C14" s="2" t="s">
        <v>1</v>
      </c>
      <c r="D14" s="2" t="s">
        <v>2</v>
      </c>
      <c r="E14" s="2">
        <v>291.89999999999998</v>
      </c>
      <c r="F14" s="17">
        <v>2478.7399999999998</v>
      </c>
      <c r="G14" s="17">
        <v>723544.20600000001</v>
      </c>
      <c r="H14" s="1">
        <f t="shared" ca="1" si="0"/>
        <v>46207</v>
      </c>
      <c r="I14" s="5">
        <f>IFERROR(VLOOKUP(A14,'[1]Consumo SEMANA ENEA'!$F:$EM,138,0),0)</f>
        <v>31.12857142857143</v>
      </c>
      <c r="J14" s="2" t="str">
        <f>IFERROR(VLOOKUP(A14,Hoja4!A:C,3,0),"")</f>
        <v>Bolsas</v>
      </c>
      <c r="K14" s="9">
        <f t="shared" si="1"/>
        <v>9.3772372648003657</v>
      </c>
      <c r="L14" s="6">
        <f>IFERROR(VLOOKUP(A14,'[1]Consumo SEMANA ENEA'!$F:$ES,144,0),0)</f>
        <v>57.069047619047623</v>
      </c>
    </row>
    <row r="15" spans="1:12" x14ac:dyDescent="0.3">
      <c r="A15" s="2">
        <v>400203</v>
      </c>
      <c r="B15" s="2" t="s">
        <v>11</v>
      </c>
      <c r="C15" s="2" t="s">
        <v>1</v>
      </c>
      <c r="D15" s="2" t="s">
        <v>2</v>
      </c>
      <c r="E15" s="2">
        <v>389.6</v>
      </c>
      <c r="F15" s="17">
        <v>2749.62</v>
      </c>
      <c r="G15" s="17">
        <v>1071251.952</v>
      </c>
      <c r="H15" s="1">
        <f t="shared" ca="1" si="0"/>
        <v>46207</v>
      </c>
      <c r="I15" s="5">
        <f>IFERROR(VLOOKUP(A15,'[1]Consumo SEMANA ENEA'!$F:$EM,138,0),0)</f>
        <v>341.56666666666666</v>
      </c>
      <c r="J15" s="2" t="str">
        <f>IFERROR(VLOOKUP(A15,Hoja4!A:C,3,0),"")</f>
        <v>Bolsas</v>
      </c>
      <c r="K15" s="9">
        <f t="shared" si="1"/>
        <v>1.1406265248365377</v>
      </c>
      <c r="L15" s="6">
        <f>IFERROR(VLOOKUP(A15,'[1]Consumo SEMANA ENEA'!$F:$ES,144,0),0)</f>
        <v>341.56666666666666</v>
      </c>
    </row>
    <row r="16" spans="1:12" x14ac:dyDescent="0.3">
      <c r="A16" s="2">
        <v>107120</v>
      </c>
      <c r="B16" s="2" t="s">
        <v>12</v>
      </c>
      <c r="C16" s="2" t="s">
        <v>1</v>
      </c>
      <c r="D16" s="2" t="s">
        <v>2</v>
      </c>
      <c r="E16" s="2">
        <v>805.5</v>
      </c>
      <c r="F16" s="17">
        <v>1829.98</v>
      </c>
      <c r="G16" s="17">
        <v>1474048.89</v>
      </c>
      <c r="H16" s="1">
        <f t="shared" ca="1" si="0"/>
        <v>46207</v>
      </c>
      <c r="I16" s="5">
        <f>IFERROR(VLOOKUP(A16,'[1]Consumo SEMANA ENEA'!$F:$EM,138,0),0)</f>
        <v>450.17599999999999</v>
      </c>
      <c r="J16" s="2" t="str">
        <f>IFERROR(VLOOKUP(A16,Hoja4!A:C,3,0),"")</f>
        <v>Mermelada</v>
      </c>
      <c r="K16" s="9">
        <f t="shared" si="1"/>
        <v>1.789300184816605</v>
      </c>
      <c r="L16" s="6">
        <f>IFERROR(VLOOKUP(A16,'[1]Consumo SEMANA ENEA'!$F:$ES,144,0),0)</f>
        <v>225.08799999999997</v>
      </c>
    </row>
    <row r="17" spans="1:12" x14ac:dyDescent="0.3">
      <c r="A17" s="2">
        <v>101002</v>
      </c>
      <c r="B17" s="2" t="s">
        <v>13</v>
      </c>
      <c r="C17" s="2" t="s">
        <v>1</v>
      </c>
      <c r="D17" s="2" t="s">
        <v>2</v>
      </c>
      <c r="E17" s="2">
        <v>125</v>
      </c>
      <c r="F17" s="17">
        <v>12467.56</v>
      </c>
      <c r="G17" s="17">
        <v>1558445</v>
      </c>
      <c r="H17" s="1">
        <f t="shared" ca="1" si="0"/>
        <v>46207</v>
      </c>
      <c r="I17" s="5">
        <f>IFERROR(VLOOKUP(A17,'[1]Consumo SEMANA ENEA'!$F:$EM,138,0),0)</f>
        <v>33.333333333333336</v>
      </c>
      <c r="J17" s="2" t="str">
        <f>IFERROR(VLOOKUP(A17,Hoja4!A:C,3,0),"")</f>
        <v>Chocolate</v>
      </c>
      <c r="K17" s="9">
        <f t="shared" si="1"/>
        <v>3.7499999999999996</v>
      </c>
      <c r="L17" s="6">
        <f>IFERROR(VLOOKUP(A17,'[1]Consumo SEMANA ENEA'!$F:$ES,144,0),0)</f>
        <v>16.666666666666668</v>
      </c>
    </row>
    <row r="18" spans="1:12" x14ac:dyDescent="0.3">
      <c r="A18" s="2">
        <v>106401</v>
      </c>
      <c r="B18" s="2" t="s">
        <v>14</v>
      </c>
      <c r="C18" s="2" t="s">
        <v>1</v>
      </c>
      <c r="D18" s="2" t="s">
        <v>2</v>
      </c>
      <c r="E18" s="5">
        <v>7</v>
      </c>
      <c r="F18" s="17">
        <v>21844.29</v>
      </c>
      <c r="G18" s="17">
        <v>152910.03</v>
      </c>
      <c r="H18" s="1">
        <f t="shared" ca="1" si="0"/>
        <v>46207</v>
      </c>
      <c r="I18" s="5">
        <f>IFERROR(VLOOKUP(A18,'[1]Consumo SEMANA ENEA'!$F:$EM,138,0),0)</f>
        <v>5.7941176470588234</v>
      </c>
      <c r="J18" s="2" t="str">
        <f>IFERROR(VLOOKUP(A18,Hoja4!A:C,3,0),"")</f>
        <v>Esencia</v>
      </c>
      <c r="K18" s="9">
        <f t="shared" si="1"/>
        <v>1.2081218274111676</v>
      </c>
      <c r="L18" s="6">
        <f>IFERROR(VLOOKUP(A18,'[1]Consumo SEMANA ENEA'!$F:$ES,144,0),0)</f>
        <v>2.8970588235294117</v>
      </c>
    </row>
    <row r="19" spans="1:12" x14ac:dyDescent="0.3">
      <c r="A19" s="2">
        <v>107361</v>
      </c>
      <c r="B19" s="2" t="s">
        <v>15</v>
      </c>
      <c r="C19" s="2" t="s">
        <v>1</v>
      </c>
      <c r="D19" s="2" t="s">
        <v>2</v>
      </c>
      <c r="E19" s="5">
        <v>3598</v>
      </c>
      <c r="F19" s="17">
        <v>585</v>
      </c>
      <c r="G19" s="17">
        <v>2104830</v>
      </c>
      <c r="H19" s="1">
        <f t="shared" ca="1" si="0"/>
        <v>46207</v>
      </c>
      <c r="I19" s="5">
        <f>IFERROR(VLOOKUP(A19,'[1]Consumo SEMANA ENEA'!$F:$EM,138,0),0)</f>
        <v>1000</v>
      </c>
      <c r="J19" s="2" t="str">
        <f>IFERROR(VLOOKUP(A19,Hoja4!A:C,3,0),"")</f>
        <v>Caja</v>
      </c>
      <c r="K19" s="9">
        <f t="shared" si="1"/>
        <v>3.5979999999999999</v>
      </c>
      <c r="L19" s="6">
        <f>IFERROR(VLOOKUP(A19,'[1]Consumo SEMANA ENEA'!$F:$ES,144,0),0)</f>
        <v>2500</v>
      </c>
    </row>
    <row r="20" spans="1:12" x14ac:dyDescent="0.3">
      <c r="A20" s="2">
        <v>107367</v>
      </c>
      <c r="B20" s="2" t="s">
        <v>16</v>
      </c>
      <c r="C20" s="2" t="s">
        <v>1</v>
      </c>
      <c r="D20" s="2" t="s">
        <v>2</v>
      </c>
      <c r="E20" s="5">
        <v>2400</v>
      </c>
      <c r="F20" s="17">
        <v>890.76</v>
      </c>
      <c r="G20" s="17">
        <v>2137824</v>
      </c>
      <c r="H20" s="1">
        <f t="shared" ca="1" si="0"/>
        <v>46207</v>
      </c>
      <c r="I20" s="5">
        <f>IFERROR(VLOOKUP(A20,'[1]Consumo SEMANA ENEA'!$F:$EM,138,0),0)</f>
        <v>530</v>
      </c>
      <c r="J20" s="2" t="str">
        <f>IFERROR(VLOOKUP(A20,Hoja4!A:C,3,0),"")</f>
        <v>Caja</v>
      </c>
      <c r="K20" s="9">
        <f t="shared" si="1"/>
        <v>4.5283018867924527</v>
      </c>
      <c r="L20" s="6">
        <f>IFERROR(VLOOKUP(A20,'[1]Consumo SEMANA ENEA'!$F:$ES,144,0),0)</f>
        <v>1325</v>
      </c>
    </row>
    <row r="21" spans="1:12" x14ac:dyDescent="0.3">
      <c r="A21" s="2">
        <v>107366</v>
      </c>
      <c r="B21" s="2" t="s">
        <v>17</v>
      </c>
      <c r="C21" s="2" t="s">
        <v>1</v>
      </c>
      <c r="D21" s="2" t="s">
        <v>2</v>
      </c>
      <c r="E21" s="2">
        <v>1325</v>
      </c>
      <c r="F21" s="17">
        <v>721.89</v>
      </c>
      <c r="G21" s="17">
        <v>956504.25</v>
      </c>
      <c r="H21" s="1">
        <f t="shared" ca="1" si="0"/>
        <v>46207</v>
      </c>
      <c r="I21" s="5">
        <f>IFERROR(VLOOKUP(A21,'[1]Consumo SEMANA ENEA'!$F:$EM,138,0),0)</f>
        <v>392.85714285714283</v>
      </c>
      <c r="J21" s="2" t="str">
        <f>IFERROR(VLOOKUP(A21,Hoja4!A:C,3,0),"")</f>
        <v>Caja</v>
      </c>
      <c r="K21" s="9">
        <f t="shared" si="1"/>
        <v>3.372727272727273</v>
      </c>
      <c r="L21" s="6">
        <f>IFERROR(VLOOKUP(A21,'[1]Consumo SEMANA ENEA'!$F:$ES,144,0),0)</f>
        <v>982.142857142857</v>
      </c>
    </row>
    <row r="22" spans="1:12" x14ac:dyDescent="0.3">
      <c r="A22" s="2">
        <v>405696</v>
      </c>
      <c r="B22" s="2" t="s">
        <v>18</v>
      </c>
      <c r="C22" s="2" t="s">
        <v>1</v>
      </c>
      <c r="D22" s="2" t="s">
        <v>2</v>
      </c>
      <c r="E22" s="5">
        <v>659</v>
      </c>
      <c r="F22" s="17">
        <v>600</v>
      </c>
      <c r="G22" s="17">
        <v>395400</v>
      </c>
      <c r="H22" s="1">
        <f t="shared" ca="1" si="0"/>
        <v>46207</v>
      </c>
      <c r="I22" s="5">
        <f>IFERROR(VLOOKUP(A22,'[1]Consumo SEMANA ENEA'!$F:$EM,138,0),0)</f>
        <v>533.33333333333337</v>
      </c>
      <c r="J22" s="2" t="str">
        <f>IFERROR(VLOOKUP(A22,Hoja4!A:C,3,0),"")</f>
        <v>Caja</v>
      </c>
      <c r="K22" s="9">
        <f t="shared" si="1"/>
        <v>1.235625</v>
      </c>
      <c r="L22" s="6">
        <f>IFERROR(VLOOKUP(A22,'[1]Consumo SEMANA ENEA'!$F:$ES,144,0),0)</f>
        <v>1333.3333333333335</v>
      </c>
    </row>
    <row r="23" spans="1:12" x14ac:dyDescent="0.3">
      <c r="A23" s="2">
        <v>405794</v>
      </c>
      <c r="B23" s="2" t="s">
        <v>826</v>
      </c>
      <c r="C23" s="2" t="s">
        <v>1</v>
      </c>
      <c r="D23" s="2" t="s">
        <v>2</v>
      </c>
      <c r="E23" s="2">
        <v>750</v>
      </c>
      <c r="F23" s="17">
        <v>600</v>
      </c>
      <c r="G23" s="17">
        <v>450000</v>
      </c>
      <c r="H23" s="1">
        <f t="shared" ca="1" si="0"/>
        <v>46207</v>
      </c>
      <c r="I23" s="5">
        <f>IFERROR(VLOOKUP(A23,'[1]Consumo SEMANA ENEA'!$F:$EM,138,0),0)</f>
        <v>1117</v>
      </c>
      <c r="J23" s="2" t="str">
        <f>IFERROR(VLOOKUP(A23,Hoja4!A:C,3,0),"")</f>
        <v>Carton</v>
      </c>
      <c r="K23" s="9">
        <f t="shared" si="1"/>
        <v>0.67144136078782457</v>
      </c>
      <c r="L23" s="6">
        <f>IFERROR(VLOOKUP(A23,'[1]Consumo SEMANA ENEA'!$F:$ES,144,0),0)</f>
        <v>2792.5</v>
      </c>
    </row>
    <row r="24" spans="1:12" x14ac:dyDescent="0.3">
      <c r="A24" s="2">
        <v>405503</v>
      </c>
      <c r="B24" s="2" t="s">
        <v>19</v>
      </c>
      <c r="C24" s="2" t="s">
        <v>1</v>
      </c>
      <c r="D24" s="2" t="s">
        <v>2</v>
      </c>
      <c r="E24" s="5">
        <v>362</v>
      </c>
      <c r="F24" s="17">
        <v>407</v>
      </c>
      <c r="G24" s="17">
        <v>147334</v>
      </c>
      <c r="H24" s="1">
        <f t="shared" ca="1" si="0"/>
        <v>46207</v>
      </c>
      <c r="I24" s="5">
        <f>IFERROR(VLOOKUP(A24,'[1]Consumo SEMANA ENEA'!$F:$EM,138,0),0)</f>
        <v>556</v>
      </c>
      <c r="J24" s="2" t="str">
        <f>IFERROR(VLOOKUP(A24,Hoja4!A:C,3,0),"")</f>
        <v>Caja</v>
      </c>
      <c r="K24" s="9">
        <f t="shared" si="1"/>
        <v>0.65107913669064743</v>
      </c>
      <c r="L24" s="6">
        <f>IFERROR(VLOOKUP(A24,'[1]Consumo SEMANA ENEA'!$F:$ES,144,0),0)</f>
        <v>1390</v>
      </c>
    </row>
    <row r="25" spans="1:12" x14ac:dyDescent="0.3">
      <c r="A25" s="2">
        <v>107365</v>
      </c>
      <c r="B25" s="2" t="s">
        <v>257</v>
      </c>
      <c r="C25" s="2" t="s">
        <v>1</v>
      </c>
      <c r="D25" s="2" t="s">
        <v>2</v>
      </c>
      <c r="E25" s="5">
        <v>4191</v>
      </c>
      <c r="F25" s="17">
        <v>493</v>
      </c>
      <c r="G25" s="17">
        <v>2066163</v>
      </c>
      <c r="H25" s="1">
        <f t="shared" ca="1" si="0"/>
        <v>46207</v>
      </c>
      <c r="I25" s="5">
        <f>IFERROR(VLOOKUP(A25,'[1]Consumo SEMANA ENEA'!$F:$EM,138,0),0)</f>
        <v>1047.5714285714287</v>
      </c>
      <c r="J25" s="2" t="str">
        <f>IFERROR(VLOOKUP(A25,Hoja4!A:C,3,0),"")</f>
        <v>Caja</v>
      </c>
      <c r="K25" s="9">
        <f t="shared" si="1"/>
        <v>4.0006818491749625</v>
      </c>
      <c r="L25" s="6">
        <f>IFERROR(VLOOKUP(A25,'[1]Consumo SEMANA ENEA'!$F:$ES,144,0),0)</f>
        <v>2618.9285714285716</v>
      </c>
    </row>
    <row r="26" spans="1:12" x14ac:dyDescent="0.3">
      <c r="A26" s="2">
        <v>403219</v>
      </c>
      <c r="B26" s="2" t="s">
        <v>20</v>
      </c>
      <c r="C26" s="2" t="s">
        <v>1</v>
      </c>
      <c r="D26" s="2" t="s">
        <v>2</v>
      </c>
      <c r="E26" s="2">
        <v>6000</v>
      </c>
      <c r="F26" s="17">
        <v>6.1</v>
      </c>
      <c r="G26" s="17">
        <v>36600</v>
      </c>
      <c r="H26" s="1">
        <f t="shared" ca="1" si="0"/>
        <v>46207</v>
      </c>
      <c r="I26" s="5">
        <f>IFERROR(VLOOKUP(A26,'[1]Consumo SEMANA ENEA'!$F:$EM,138,0),0)</f>
        <v>7833.333333333333</v>
      </c>
      <c r="J26" s="2" t="str">
        <f>IFERROR(VLOOKUP(A26,Hoja4!A:C,3,0),"")</f>
        <v>Cupula</v>
      </c>
      <c r="K26" s="9">
        <f t="shared" si="1"/>
        <v>0.76595744680851063</v>
      </c>
      <c r="L26" s="6">
        <f>IFERROR(VLOOKUP(A26,'[1]Consumo SEMANA ENEA'!$F:$ES,144,0),0)</f>
        <v>7833.3333333333321</v>
      </c>
    </row>
    <row r="27" spans="1:12" x14ac:dyDescent="0.3">
      <c r="A27" s="2">
        <v>405749</v>
      </c>
      <c r="B27" s="2" t="s">
        <v>21</v>
      </c>
      <c r="C27" s="2" t="s">
        <v>1</v>
      </c>
      <c r="D27" s="2" t="s">
        <v>2</v>
      </c>
      <c r="E27" s="2">
        <v>247</v>
      </c>
      <c r="F27" s="17">
        <v>6000</v>
      </c>
      <c r="G27" s="17">
        <v>1482000</v>
      </c>
      <c r="H27" s="1">
        <f t="shared" ca="1" si="0"/>
        <v>46207</v>
      </c>
      <c r="I27" s="5">
        <f>IFERROR(VLOOKUP(A27,'[1]Consumo SEMANA ENEA'!$F:$EM,138,0),0)</f>
        <v>209.75</v>
      </c>
      <c r="J27" s="2" t="str">
        <f>IFERROR(VLOOKUP(A27,Hoja4!A:C,3,0),"")</f>
        <v>Chocolate</v>
      </c>
      <c r="K27" s="9">
        <f t="shared" si="1"/>
        <v>1.1775923718712753</v>
      </c>
      <c r="L27" s="6">
        <f>IFERROR(VLOOKUP(A27,'[1]Consumo SEMANA ENEA'!$F:$ES,144,0),0)</f>
        <v>104.875</v>
      </c>
    </row>
    <row r="28" spans="1:12" x14ac:dyDescent="0.3">
      <c r="A28" s="2">
        <v>107312</v>
      </c>
      <c r="B28" s="2" t="s">
        <v>22</v>
      </c>
      <c r="C28" s="2" t="s">
        <v>1</v>
      </c>
      <c r="D28" s="2" t="s">
        <v>2</v>
      </c>
      <c r="E28" s="2">
        <v>469.9</v>
      </c>
      <c r="F28" s="17">
        <v>5980</v>
      </c>
      <c r="G28" s="17">
        <v>2810002</v>
      </c>
      <c r="H28" s="1">
        <f t="shared" ca="1" si="0"/>
        <v>46207</v>
      </c>
      <c r="I28" s="5">
        <f>IFERROR(VLOOKUP(A28,'[1]Consumo SEMANA ENEA'!$F:$EM,138,0),0)</f>
        <v>193.16315789473686</v>
      </c>
      <c r="J28" s="2" t="str">
        <f>IFERROR(VLOOKUP(A28,Hoja4!A:C,3,0),"")</f>
        <v>Fruta Conserva</v>
      </c>
      <c r="K28" s="9">
        <f t="shared" si="1"/>
        <v>2.432658510667284</v>
      </c>
      <c r="L28" s="6">
        <f>IFERROR(VLOOKUP(A28,'[1]Consumo SEMANA ENEA'!$F:$ES,144,0),0)</f>
        <v>96.581578947368428</v>
      </c>
    </row>
    <row r="29" spans="1:12" x14ac:dyDescent="0.3">
      <c r="A29" s="2">
        <v>403336</v>
      </c>
      <c r="B29" s="2" t="s">
        <v>23</v>
      </c>
      <c r="C29" s="2" t="s">
        <v>1</v>
      </c>
      <c r="D29" s="2" t="s">
        <v>2</v>
      </c>
      <c r="E29" s="2">
        <v>57.9</v>
      </c>
      <c r="F29" s="17">
        <v>5056.18</v>
      </c>
      <c r="G29" s="17">
        <v>292752.82199999999</v>
      </c>
      <c r="H29" s="1">
        <f t="shared" ca="1" si="0"/>
        <v>46207</v>
      </c>
      <c r="I29" s="5">
        <f>IFERROR(VLOOKUP(A29,'[1]Consumo SEMANA ENEA'!$F:$EM,138,0),0)</f>
        <v>104.14000000000001</v>
      </c>
      <c r="J29" s="2" t="s">
        <v>365</v>
      </c>
      <c r="K29" s="9">
        <f t="shared" si="1"/>
        <v>0.55598233147685794</v>
      </c>
      <c r="L29" s="6">
        <f>IFERROR(VLOOKUP(A29,'[1]Consumo SEMANA ENEA'!$F:$ES,144,0),0)</f>
        <v>34.713333333333338</v>
      </c>
    </row>
    <row r="30" spans="1:12" x14ac:dyDescent="0.3">
      <c r="A30" s="2">
        <v>405748</v>
      </c>
      <c r="B30" s="2" t="s">
        <v>832</v>
      </c>
      <c r="C30" s="2" t="s">
        <v>1</v>
      </c>
      <c r="D30" s="2" t="s">
        <v>2</v>
      </c>
      <c r="E30" s="2">
        <v>170</v>
      </c>
      <c r="F30" s="17">
        <v>12238</v>
      </c>
      <c r="G30" s="17">
        <v>2080460</v>
      </c>
      <c r="H30" s="1">
        <f t="shared" ca="1" si="0"/>
        <v>46207</v>
      </c>
      <c r="I30" s="5">
        <f>IFERROR(VLOOKUP(A30,'[1]Consumo SEMANA ENEA'!$F:$EM,138,0),0)</f>
        <v>0</v>
      </c>
      <c r="J30" s="2" t="str">
        <f>IFERROR(VLOOKUP(A30,Hoja4!A:C,3,0),"")</f>
        <v/>
      </c>
      <c r="K30" s="9">
        <f t="shared" si="1"/>
        <v>0</v>
      </c>
      <c r="L30" s="6">
        <f>IFERROR(VLOOKUP(A30,'[1]Consumo SEMANA ENEA'!$F:$ES,144,0),0)</f>
        <v>0</v>
      </c>
    </row>
    <row r="31" spans="1:12" x14ac:dyDescent="0.3">
      <c r="A31" s="2">
        <v>405373</v>
      </c>
      <c r="B31" s="2" t="s">
        <v>25</v>
      </c>
      <c r="C31" s="2" t="s">
        <v>1</v>
      </c>
      <c r="D31" s="2" t="s">
        <v>2</v>
      </c>
      <c r="E31" s="2">
        <v>307.5</v>
      </c>
      <c r="F31" s="17">
        <v>14167.83</v>
      </c>
      <c r="G31" s="17">
        <v>4356607.7249999996</v>
      </c>
      <c r="H31" s="1">
        <f t="shared" ca="1" si="0"/>
        <v>46207</v>
      </c>
      <c r="I31" s="5">
        <f>IFERROR(VLOOKUP(A31,'[1]Consumo SEMANA ENEA'!$F:$EM,138,0),0)</f>
        <v>56.24</v>
      </c>
      <c r="J31" s="2" t="str">
        <f>IFERROR(VLOOKUP(A31,Hoja4!A:C,3,0),"")</f>
        <v>Chocolate</v>
      </c>
      <c r="K31" s="9">
        <f t="shared" si="1"/>
        <v>5.467638691322902</v>
      </c>
      <c r="L31" s="6">
        <f>IFERROR(VLOOKUP(A31,'[1]Consumo SEMANA ENEA'!$F:$ES,144,0),0)</f>
        <v>37.493333333333332</v>
      </c>
    </row>
    <row r="32" spans="1:12" x14ac:dyDescent="0.3">
      <c r="A32" s="2">
        <v>402255</v>
      </c>
      <c r="B32" s="2" t="s">
        <v>26</v>
      </c>
      <c r="C32" s="2" t="s">
        <v>1</v>
      </c>
      <c r="D32" s="2" t="s">
        <v>2</v>
      </c>
      <c r="E32" s="2">
        <v>824</v>
      </c>
      <c r="F32" s="17">
        <v>1290</v>
      </c>
      <c r="G32" s="17">
        <v>1062960</v>
      </c>
      <c r="H32" s="1">
        <f t="shared" ca="1" si="0"/>
        <v>46207</v>
      </c>
      <c r="I32" s="5">
        <f>IFERROR(VLOOKUP(A32,'[1]Consumo SEMANA ENEA'!$F:$EM,138,0),0)</f>
        <v>271</v>
      </c>
      <c r="J32" s="2" t="str">
        <f>IFERROR(VLOOKUP(A32,Hoja4!A:C,3,0),"")</f>
        <v>Empaque</v>
      </c>
      <c r="K32" s="9">
        <f t="shared" si="1"/>
        <v>3.0405904059040592</v>
      </c>
      <c r="L32" s="6">
        <f>IFERROR(VLOOKUP(A32,'[1]Consumo SEMANA ENEA'!$F:$ES,144,0),0)</f>
        <v>135.5</v>
      </c>
    </row>
    <row r="33" spans="1:12" x14ac:dyDescent="0.3">
      <c r="A33" s="2">
        <v>404309</v>
      </c>
      <c r="B33" s="2" t="s">
        <v>27</v>
      </c>
      <c r="C33" s="2" t="s">
        <v>1</v>
      </c>
      <c r="D33" s="2" t="s">
        <v>2</v>
      </c>
      <c r="E33" s="2">
        <v>352</v>
      </c>
      <c r="F33" s="17">
        <v>8885</v>
      </c>
      <c r="G33" s="17">
        <v>3127520</v>
      </c>
      <c r="H33" s="1">
        <f t="shared" ca="1" si="0"/>
        <v>46207</v>
      </c>
      <c r="I33" s="5">
        <f>IFERROR(VLOOKUP(A33,'[1]Consumo SEMANA ENEA'!$F:$EM,138,0),0)</f>
        <v>218.66666666666666</v>
      </c>
      <c r="J33" s="2" t="str">
        <f>IFERROR(VLOOKUP(A33,Hoja4!A:C,3,0),"")</f>
        <v>Chocolate</v>
      </c>
      <c r="K33" s="9">
        <f t="shared" si="1"/>
        <v>1.6097560975609757</v>
      </c>
      <c r="L33" s="6">
        <f>IFERROR(VLOOKUP(A33,'[1]Consumo SEMANA ENEA'!$F:$ES,144,0),0)</f>
        <v>145.77777777777777</v>
      </c>
    </row>
    <row r="34" spans="1:12" x14ac:dyDescent="0.3">
      <c r="A34" s="2">
        <v>107197</v>
      </c>
      <c r="B34" s="2" t="s">
        <v>28</v>
      </c>
      <c r="C34" s="2" t="s">
        <v>1</v>
      </c>
      <c r="D34" s="2" t="s">
        <v>2</v>
      </c>
      <c r="E34" s="2">
        <v>420</v>
      </c>
      <c r="F34" s="17">
        <v>5296.65</v>
      </c>
      <c r="G34" s="17">
        <v>2224593</v>
      </c>
      <c r="H34" s="1">
        <f t="shared" ca="1" si="0"/>
        <v>46207</v>
      </c>
      <c r="I34" s="5">
        <f>IFERROR(VLOOKUP(A34,'[1]Consumo SEMANA ENEA'!$F:$EM,138,0),0)</f>
        <v>56.727272727272727</v>
      </c>
      <c r="J34" s="2" t="str">
        <f>IFERROR(VLOOKUP(A34,Hoja4!A:C,3,0),"")</f>
        <v>Chocolate</v>
      </c>
      <c r="K34" s="9">
        <f t="shared" si="1"/>
        <v>7.4038461538461542</v>
      </c>
      <c r="L34" s="6">
        <f>IFERROR(VLOOKUP(A34,'[1]Consumo SEMANA ENEA'!$F:$ES,144,0),0)</f>
        <v>28.363636363636367</v>
      </c>
    </row>
    <row r="35" spans="1:12" x14ac:dyDescent="0.3">
      <c r="A35" s="2">
        <v>107249</v>
      </c>
      <c r="B35" s="2" t="s">
        <v>29</v>
      </c>
      <c r="C35" s="2" t="s">
        <v>1</v>
      </c>
      <c r="D35" s="2" t="s">
        <v>2</v>
      </c>
      <c r="E35" s="2">
        <v>303</v>
      </c>
      <c r="F35" s="17">
        <v>3750</v>
      </c>
      <c r="G35" s="17">
        <v>1136250</v>
      </c>
      <c r="H35" s="1">
        <f t="shared" ca="1" si="0"/>
        <v>46207</v>
      </c>
      <c r="I35" s="5">
        <f>IFERROR(VLOOKUP(A35,'[1]Consumo SEMANA ENEA'!$F:$EM,138,0),0)</f>
        <v>67.769230769230774</v>
      </c>
      <c r="J35" s="2" t="str">
        <f>IFERROR(VLOOKUP(A35,Hoja4!A:C,3,0),"")</f>
        <v>Chocolate</v>
      </c>
      <c r="K35" s="9">
        <f t="shared" si="1"/>
        <v>4.4710556186152095</v>
      </c>
      <c r="L35" s="6">
        <f>IFERROR(VLOOKUP(A35,'[1]Consumo SEMANA ENEA'!$F:$ES,144,0),0)</f>
        <v>33.884615384615387</v>
      </c>
    </row>
    <row r="36" spans="1:12" x14ac:dyDescent="0.3">
      <c r="A36" s="2">
        <v>107134</v>
      </c>
      <c r="B36" s="2" t="s">
        <v>30</v>
      </c>
      <c r="C36" s="2" t="s">
        <v>1</v>
      </c>
      <c r="D36" s="2" t="s">
        <v>2</v>
      </c>
      <c r="E36" s="2">
        <v>240</v>
      </c>
      <c r="F36" s="17">
        <v>3599.96</v>
      </c>
      <c r="G36" s="17">
        <v>863990.4</v>
      </c>
      <c r="H36" s="1">
        <f t="shared" ca="1" si="0"/>
        <v>46207</v>
      </c>
      <c r="I36" s="5">
        <f>IFERROR(VLOOKUP(A36,'[1]Consumo SEMANA ENEA'!$F:$EM,138,0),0)</f>
        <v>111.67833333333334</v>
      </c>
      <c r="J36" s="2" t="str">
        <f>IFERROR(VLOOKUP(A36,Hoja4!A:C,3,0),"")</f>
        <v>Esencia</v>
      </c>
      <c r="K36" s="9">
        <f t="shared" si="1"/>
        <v>2.1490292059038607</v>
      </c>
      <c r="L36" s="6">
        <f>IFERROR(VLOOKUP(A36,'[1]Consumo SEMANA ENEA'!$F:$ES,144,0),0)</f>
        <v>37.226111111111116</v>
      </c>
    </row>
    <row r="37" spans="1:12" x14ac:dyDescent="0.3">
      <c r="A37" s="2">
        <v>405747</v>
      </c>
      <c r="B37" s="2" t="s">
        <v>31</v>
      </c>
      <c r="C37" s="2" t="s">
        <v>1</v>
      </c>
      <c r="D37" s="2" t="s">
        <v>2</v>
      </c>
      <c r="E37" s="2">
        <v>343.8</v>
      </c>
      <c r="F37" s="17">
        <v>3703</v>
      </c>
      <c r="G37" s="17">
        <v>1273091.3999999999</v>
      </c>
      <c r="H37" s="1">
        <f t="shared" ca="1" si="0"/>
        <v>46207</v>
      </c>
      <c r="I37" s="5">
        <f>IFERROR(VLOOKUP(A37,'[1]Consumo SEMANA ENEA'!$F:$EM,138,0),0)</f>
        <v>174.26666666666668</v>
      </c>
      <c r="J37" s="2" t="str">
        <f>IFERROR(VLOOKUP(A37,Hoja4!A:C,3,0),"")</f>
        <v>Fruta conserva</v>
      </c>
      <c r="K37" s="9">
        <f t="shared" si="1"/>
        <v>1.9728385615914306</v>
      </c>
      <c r="L37" s="6">
        <f>IFERROR(VLOOKUP(A37,'[1]Consumo SEMANA ENEA'!$F:$ES,144,0),0)</f>
        <v>58.088888888888896</v>
      </c>
    </row>
    <row r="38" spans="1:12" x14ac:dyDescent="0.3">
      <c r="A38" s="2">
        <v>403355</v>
      </c>
      <c r="B38" s="2" t="s">
        <v>32</v>
      </c>
      <c r="C38" s="2" t="s">
        <v>1</v>
      </c>
      <c r="D38" s="2" t="s">
        <v>2</v>
      </c>
      <c r="E38" s="2">
        <v>56.9</v>
      </c>
      <c r="F38" s="17">
        <v>1975.94</v>
      </c>
      <c r="G38" s="17">
        <v>112430.986</v>
      </c>
      <c r="H38" s="1">
        <f t="shared" ca="1" si="0"/>
        <v>46207</v>
      </c>
      <c r="I38" s="5">
        <f>IFERROR(VLOOKUP(A38,'[1]Consumo SEMANA ENEA'!$F:$EM,138,0),0)</f>
        <v>0</v>
      </c>
      <c r="J38" s="2" t="str">
        <f>IFERROR(VLOOKUP(A38,Hoja4!A:C,3,0),"")</f>
        <v>Licor</v>
      </c>
      <c r="K38" s="9">
        <f t="shared" si="1"/>
        <v>0</v>
      </c>
      <c r="L38" s="6">
        <f>IFERROR(VLOOKUP(A38,'[1]Consumo SEMANA ENEA'!$F:$ES,144,0),0)</f>
        <v>0</v>
      </c>
    </row>
    <row r="39" spans="1:12" x14ac:dyDescent="0.3">
      <c r="A39" s="2">
        <v>107320</v>
      </c>
      <c r="B39" s="2" t="s">
        <v>33</v>
      </c>
      <c r="C39" s="2" t="s">
        <v>1</v>
      </c>
      <c r="D39" s="2" t="s">
        <v>2</v>
      </c>
      <c r="E39" s="2">
        <v>418.5</v>
      </c>
      <c r="F39" s="17">
        <v>3122</v>
      </c>
      <c r="G39" s="17">
        <v>1306557</v>
      </c>
      <c r="H39" s="1">
        <f t="shared" ca="1" si="0"/>
        <v>46207</v>
      </c>
      <c r="I39" s="5">
        <f>IFERROR(VLOOKUP(A39,'[1]Consumo SEMANA ENEA'!$F:$EM,138,0),0)</f>
        <v>205.65</v>
      </c>
      <c r="J39" s="2" t="str">
        <f>IFERROR(VLOOKUP(A39,Hoja4!A:C,3,0),"")</f>
        <v>Mermelada</v>
      </c>
      <c r="K39" s="9">
        <f t="shared" si="1"/>
        <v>2.0350109409190371</v>
      </c>
      <c r="L39" s="6">
        <f>IFERROR(VLOOKUP(A39,'[1]Consumo SEMANA ENEA'!$F:$ES,144,0),0)</f>
        <v>102.82499999999999</v>
      </c>
    </row>
    <row r="40" spans="1:12" x14ac:dyDescent="0.3">
      <c r="A40" s="2">
        <v>405427</v>
      </c>
      <c r="B40" s="2" t="s">
        <v>34</v>
      </c>
      <c r="C40" s="2" t="s">
        <v>1</v>
      </c>
      <c r="D40" s="2" t="s">
        <v>2</v>
      </c>
      <c r="E40" s="5">
        <v>5</v>
      </c>
      <c r="F40" s="17">
        <v>8897.7999999999993</v>
      </c>
      <c r="G40" s="17">
        <v>44489</v>
      </c>
      <c r="H40" s="1">
        <f t="shared" ca="1" si="0"/>
        <v>46207</v>
      </c>
      <c r="I40" s="5">
        <f>IFERROR(VLOOKUP(A40,'[1]Consumo SEMANA ENEA'!$F:$EM,138,0),0)</f>
        <v>0</v>
      </c>
      <c r="J40" s="2" t="str">
        <f>IFERROR(VLOOKUP(A40,Hoja4!A:C,3,0),"")</f>
        <v>Colorantes</v>
      </c>
      <c r="K40" s="9">
        <f t="shared" si="1"/>
        <v>0</v>
      </c>
      <c r="L40" s="6">
        <f>IFERROR(VLOOKUP(A40,'[1]Consumo SEMANA ENEA'!$F:$ES,144,0),0)</f>
        <v>0</v>
      </c>
    </row>
    <row r="41" spans="1:12" x14ac:dyDescent="0.3">
      <c r="A41" s="2">
        <v>107323</v>
      </c>
      <c r="B41" s="2" t="s">
        <v>35</v>
      </c>
      <c r="C41" s="2" t="s">
        <v>1</v>
      </c>
      <c r="D41" s="2" t="s">
        <v>2</v>
      </c>
      <c r="E41" s="5">
        <v>4140</v>
      </c>
      <c r="F41" s="17">
        <v>231.4</v>
      </c>
      <c r="G41" s="17">
        <v>957996</v>
      </c>
      <c r="H41" s="1">
        <f t="shared" ca="1" si="0"/>
        <v>46207</v>
      </c>
      <c r="I41" s="5">
        <f>IFERROR(VLOOKUP(A41,'[1]Consumo SEMANA ENEA'!$F:$EM,138,0),0)</f>
        <v>792.08333333333337</v>
      </c>
      <c r="J41" s="2" t="str">
        <f>IFERROR(VLOOKUP(A41,Hoja4!A:C,3,0),"")</f>
        <v>Cupula</v>
      </c>
      <c r="K41" s="9">
        <f t="shared" si="1"/>
        <v>5.2267227774855334</v>
      </c>
      <c r="L41" s="6">
        <f>IFERROR(VLOOKUP(A41,'[1]Consumo SEMANA ENEA'!$F:$ES,144,0),0)</f>
        <v>264.02777777777777</v>
      </c>
    </row>
    <row r="42" spans="1:12" x14ac:dyDescent="0.3">
      <c r="A42" s="2">
        <v>107300</v>
      </c>
      <c r="B42" s="2" t="s">
        <v>36</v>
      </c>
      <c r="C42" s="2" t="s">
        <v>1</v>
      </c>
      <c r="D42" s="2" t="s">
        <v>2</v>
      </c>
      <c r="E42" s="2">
        <v>10990</v>
      </c>
      <c r="F42" s="17">
        <v>212.66</v>
      </c>
      <c r="G42" s="17">
        <v>2337133.4</v>
      </c>
      <c r="H42" s="1">
        <f t="shared" ca="1" si="0"/>
        <v>46207</v>
      </c>
      <c r="I42" s="5">
        <f>IFERROR(VLOOKUP(A42,'[1]Consumo SEMANA ENEA'!$F:$EM,138,0),0)</f>
        <v>8331.6</v>
      </c>
      <c r="J42" s="2" t="str">
        <f>IFERROR(VLOOKUP(A42,Hoja4!A:C,3,0),"")</f>
        <v>Cupula</v>
      </c>
      <c r="K42" s="9">
        <f t="shared" si="1"/>
        <v>1.3190743674684333</v>
      </c>
      <c r="L42" s="6">
        <f>IFERROR(VLOOKUP(A42,'[1]Consumo SEMANA ENEA'!$F:$ES,144,0),0)</f>
        <v>2777.2000000000003</v>
      </c>
    </row>
    <row r="43" spans="1:12" x14ac:dyDescent="0.3">
      <c r="A43" s="2">
        <v>405560</v>
      </c>
      <c r="B43" s="2" t="s">
        <v>37</v>
      </c>
      <c r="C43" s="2" t="s">
        <v>1</v>
      </c>
      <c r="D43" s="2" t="s">
        <v>2</v>
      </c>
      <c r="E43" s="2">
        <v>179.48</v>
      </c>
      <c r="F43" s="17">
        <v>3848.3</v>
      </c>
      <c r="G43" s="17">
        <v>690692.88399999996</v>
      </c>
      <c r="H43" s="1">
        <f t="shared" ca="1" si="0"/>
        <v>46207</v>
      </c>
      <c r="I43" s="5">
        <f>IFERROR(VLOOKUP(A43,'[1]Consumo SEMANA ENEA'!$F:$EM,138,0),0)</f>
        <v>64.775000000000006</v>
      </c>
      <c r="J43" s="2" t="str">
        <f>IFERROR(VLOOKUP(A43,Hoja4!A:C,3,0),"")</f>
        <v>Galleta</v>
      </c>
      <c r="K43" s="9">
        <f t="shared" si="1"/>
        <v>2.7708220764183711</v>
      </c>
      <c r="L43" s="6">
        <f>IFERROR(VLOOKUP(A43,'[1]Consumo SEMANA ENEA'!$F:$ES,144,0),0)</f>
        <v>32.387500000000003</v>
      </c>
    </row>
    <row r="44" spans="1:12" x14ac:dyDescent="0.3">
      <c r="A44" s="2">
        <v>393400</v>
      </c>
      <c r="B44" s="2" t="s">
        <v>38</v>
      </c>
      <c r="C44" s="2" t="s">
        <v>1</v>
      </c>
      <c r="D44" s="2" t="s">
        <v>2</v>
      </c>
      <c r="E44" s="2">
        <v>98</v>
      </c>
      <c r="F44" s="17">
        <v>3770</v>
      </c>
      <c r="G44" s="17">
        <v>369460</v>
      </c>
      <c r="H44" s="1">
        <f t="shared" ca="1" si="0"/>
        <v>46207</v>
      </c>
      <c r="I44" s="5">
        <f>IFERROR(VLOOKUP(A44,'[1]Consumo SEMANA ENEA'!$F:$EM,138,0),0)</f>
        <v>34.175000000000004</v>
      </c>
      <c r="J44" s="2" t="str">
        <f>IFERROR(VLOOKUP(A44,Hoja4!A:C,3,0),"")</f>
        <v>Chocolate</v>
      </c>
      <c r="K44" s="9">
        <f t="shared" si="1"/>
        <v>2.867593269934162</v>
      </c>
      <c r="L44" s="6">
        <f>IFERROR(VLOOKUP(A44,'[1]Consumo SEMANA ENEA'!$F:$ES,144,0),0)</f>
        <v>17.087500000000002</v>
      </c>
    </row>
    <row r="45" spans="1:12" x14ac:dyDescent="0.3">
      <c r="A45" s="2">
        <v>405559</v>
      </c>
      <c r="B45" s="2" t="s">
        <v>39</v>
      </c>
      <c r="C45" s="2" t="s">
        <v>1</v>
      </c>
      <c r="D45" s="2" t="s">
        <v>2</v>
      </c>
      <c r="E45" s="5">
        <v>316.8</v>
      </c>
      <c r="F45" s="17">
        <v>6554.03</v>
      </c>
      <c r="G45" s="17">
        <v>2076316.7039999999</v>
      </c>
      <c r="H45" s="1">
        <f t="shared" ca="1" si="0"/>
        <v>46207</v>
      </c>
      <c r="I45" s="5">
        <f>IFERROR(VLOOKUP(A45,'[1]Consumo SEMANA ENEA'!$F:$EM,138,0),0)</f>
        <v>89.174999999999997</v>
      </c>
      <c r="J45" s="2" t="str">
        <f>IFERROR(VLOOKUP(A45,Hoja4!A:C,3,0),"")</f>
        <v>Cremas</v>
      </c>
      <c r="K45" s="9">
        <f t="shared" si="1"/>
        <v>3.5525651808242222</v>
      </c>
      <c r="L45" s="6">
        <f>IFERROR(VLOOKUP(A45,'[1]Consumo SEMANA ENEA'!$F:$ES,144,0),0)</f>
        <v>44.587499999999999</v>
      </c>
    </row>
    <row r="46" spans="1:12" x14ac:dyDescent="0.3">
      <c r="A46" s="2">
        <v>170183</v>
      </c>
      <c r="B46" s="2" t="s">
        <v>40</v>
      </c>
      <c r="C46" s="2" t="s">
        <v>1</v>
      </c>
      <c r="D46" s="2" t="s">
        <v>2</v>
      </c>
      <c r="E46" s="2">
        <v>1101</v>
      </c>
      <c r="F46" s="17">
        <v>3376</v>
      </c>
      <c r="G46" s="17">
        <v>3716976</v>
      </c>
      <c r="H46" s="1">
        <f t="shared" ca="1" si="0"/>
        <v>46207</v>
      </c>
      <c r="I46" s="5">
        <f>IFERROR(VLOOKUP(A46,'[1]Consumo SEMANA ENEA'!$F:$EM,138,0),0)</f>
        <v>200.25</v>
      </c>
      <c r="J46" s="2" t="str">
        <f>IFERROR(VLOOKUP(A46,Hoja4!A:C,3,0),"")</f>
        <v>cremas</v>
      </c>
      <c r="K46" s="9">
        <f t="shared" si="1"/>
        <v>5.4981273408239701</v>
      </c>
      <c r="L46" s="6">
        <f>IFERROR(VLOOKUP(A46,'[1]Consumo SEMANA ENEA'!$F:$ES,144,0),0)</f>
        <v>133.5</v>
      </c>
    </row>
    <row r="47" spans="1:12" x14ac:dyDescent="0.3">
      <c r="A47" s="2">
        <v>107337</v>
      </c>
      <c r="B47" s="2" t="s">
        <v>472</v>
      </c>
      <c r="C47" s="2" t="s">
        <v>1</v>
      </c>
      <c r="D47" s="2" t="s">
        <v>2</v>
      </c>
      <c r="E47" s="5">
        <v>27</v>
      </c>
      <c r="F47" s="17">
        <v>2560</v>
      </c>
      <c r="G47" s="17">
        <v>69120</v>
      </c>
      <c r="H47" s="1">
        <f t="shared" ca="1" si="0"/>
        <v>46207</v>
      </c>
      <c r="I47" s="5">
        <f>IFERROR(VLOOKUP(A47,'[1]Consumo SEMANA ENEA'!$F:$EM,138,0),0)</f>
        <v>0</v>
      </c>
      <c r="J47" s="2" t="str">
        <f>IFERROR(VLOOKUP(A47,Hoja4!A:C,3,0),"")</f>
        <v>Cremas</v>
      </c>
      <c r="K47" s="9">
        <f t="shared" si="1"/>
        <v>0</v>
      </c>
      <c r="L47" s="6">
        <f>IFERROR(VLOOKUP(A47,'[1]Consumo SEMANA ENEA'!$F:$ES,144,0),0)</f>
        <v>0</v>
      </c>
    </row>
    <row r="48" spans="1:12" x14ac:dyDescent="0.3">
      <c r="A48" s="2">
        <v>107342</v>
      </c>
      <c r="B48" s="2" t="s">
        <v>41</v>
      </c>
      <c r="C48" s="2" t="s">
        <v>1</v>
      </c>
      <c r="D48" s="2" t="s">
        <v>2</v>
      </c>
      <c r="E48" s="2">
        <v>1204</v>
      </c>
      <c r="F48" s="17">
        <v>2391</v>
      </c>
      <c r="G48" s="17">
        <v>2878764</v>
      </c>
      <c r="H48" s="1">
        <f t="shared" ca="1" si="0"/>
        <v>46207</v>
      </c>
      <c r="I48" s="5">
        <f>IFERROR(VLOOKUP(A48,'[1]Consumo SEMANA ENEA'!$F:$EM,138,0),0)</f>
        <v>862.25</v>
      </c>
      <c r="J48" s="2" t="str">
        <f>IFERROR(VLOOKUP(A48,Hoja4!A:C,3,0),"")</f>
        <v>Cremas</v>
      </c>
      <c r="K48" s="9">
        <f t="shared" si="1"/>
        <v>1.3963467671788925</v>
      </c>
      <c r="L48" s="6">
        <f>IFERROR(VLOOKUP(A48,'[1]Consumo SEMANA ENEA'!$F:$ES,144,0),0)</f>
        <v>431.125</v>
      </c>
    </row>
    <row r="49" spans="1:12" x14ac:dyDescent="0.3">
      <c r="A49" s="2">
        <v>107237</v>
      </c>
      <c r="B49" s="2" t="s">
        <v>42</v>
      </c>
      <c r="C49" s="2" t="s">
        <v>1</v>
      </c>
      <c r="D49" s="2" t="s">
        <v>2</v>
      </c>
      <c r="E49" s="5">
        <v>1406.5</v>
      </c>
      <c r="F49" s="17">
        <v>4103.26</v>
      </c>
      <c r="G49" s="17">
        <v>5771235.1900000004</v>
      </c>
      <c r="H49" s="1">
        <f t="shared" ca="1" si="0"/>
        <v>46207</v>
      </c>
      <c r="I49" s="5">
        <f>IFERROR(VLOOKUP(A49,'[1]Consumo SEMANA ENEA'!$F:$EM,138,0),0)</f>
        <v>979.91199999999992</v>
      </c>
      <c r="J49" s="2" t="str">
        <f>IFERROR(VLOOKUP(A49,Hoja4!A:C,3,0),"")</f>
        <v>Cremas</v>
      </c>
      <c r="K49" s="9">
        <f t="shared" si="1"/>
        <v>1.4353329686747383</v>
      </c>
      <c r="L49" s="6">
        <f>IFERROR(VLOOKUP(A49,'[1]Consumo SEMANA ENEA'!$F:$ES,144,0),0)</f>
        <v>489.9559999999999</v>
      </c>
    </row>
    <row r="50" spans="1:12" x14ac:dyDescent="0.3">
      <c r="A50" s="2">
        <v>107104</v>
      </c>
      <c r="B50" s="2" t="s">
        <v>43</v>
      </c>
      <c r="C50" s="2" t="s">
        <v>1</v>
      </c>
      <c r="D50" s="2" t="s">
        <v>2</v>
      </c>
      <c r="E50" s="2">
        <v>5410</v>
      </c>
      <c r="F50" s="17">
        <v>3380</v>
      </c>
      <c r="G50" s="17">
        <v>18285800</v>
      </c>
      <c r="H50" s="1">
        <f t="shared" ca="1" si="0"/>
        <v>46207</v>
      </c>
      <c r="I50" s="5">
        <f>IFERROR(VLOOKUP(A50,'[1]Consumo SEMANA ENEA'!$F:$EM,138,0),0)</f>
        <v>9931.32</v>
      </c>
      <c r="J50" s="2" t="str">
        <f>IFERROR(VLOOKUP(A50,Hoja4!A:C,3,0),"")</f>
        <v>Cremas</v>
      </c>
      <c r="K50" s="9">
        <f t="shared" si="1"/>
        <v>0.54474128313255443</v>
      </c>
      <c r="L50" s="6">
        <f>IFERROR(VLOOKUP(A50,'[1]Consumo SEMANA ENEA'!$F:$ES,144,0),0)</f>
        <v>4965.66</v>
      </c>
    </row>
    <row r="51" spans="1:12" x14ac:dyDescent="0.3">
      <c r="A51" s="2">
        <v>107142</v>
      </c>
      <c r="B51" s="2" t="s">
        <v>44</v>
      </c>
      <c r="C51" s="2" t="s">
        <v>1</v>
      </c>
      <c r="D51" s="2" t="s">
        <v>2</v>
      </c>
      <c r="E51" s="5">
        <v>700</v>
      </c>
      <c r="F51" s="17">
        <v>3250</v>
      </c>
      <c r="G51" s="17">
        <v>2275000</v>
      </c>
      <c r="H51" s="1">
        <f t="shared" ca="1" si="0"/>
        <v>46207</v>
      </c>
      <c r="I51" s="5">
        <f>IFERROR(VLOOKUP(A51,'[1]Consumo SEMANA ENEA'!$F:$EM,138,0),0)</f>
        <v>1042.2050400000001</v>
      </c>
      <c r="J51" s="2" t="str">
        <f>IFERROR(VLOOKUP(A51,Hoja4!A:C,3,0),"")</f>
        <v>Cremas</v>
      </c>
      <c r="K51" s="9">
        <f t="shared" si="1"/>
        <v>0.6716528640084104</v>
      </c>
      <c r="L51" s="6">
        <f>IFERROR(VLOOKUP(A51,'[1]Consumo SEMANA ENEA'!$F:$ES,144,0),0)</f>
        <v>521.10252000000003</v>
      </c>
    </row>
    <row r="52" spans="1:12" x14ac:dyDescent="0.3">
      <c r="A52" s="2">
        <v>107098</v>
      </c>
      <c r="B52" s="2" t="s">
        <v>45</v>
      </c>
      <c r="C52" s="2" t="s">
        <v>1</v>
      </c>
      <c r="D52" s="2" t="s">
        <v>2</v>
      </c>
      <c r="E52" s="5">
        <v>1420</v>
      </c>
      <c r="F52" s="17">
        <v>3200</v>
      </c>
      <c r="G52" s="17">
        <v>4544000</v>
      </c>
      <c r="H52" s="1">
        <f t="shared" ca="1" si="0"/>
        <v>46207</v>
      </c>
      <c r="I52" s="5">
        <f>IFERROR(VLOOKUP(A52,'[1]Consumo SEMANA ENEA'!$F:$EM,138,0),0)</f>
        <v>1873.08</v>
      </c>
      <c r="J52" s="2" t="str">
        <f>IFERROR(VLOOKUP(A52,Hoja4!A:C,3,0),"")</f>
        <v>Cremas</v>
      </c>
      <c r="K52" s="9">
        <f t="shared" si="1"/>
        <v>0.75810963760223804</v>
      </c>
      <c r="L52" s="6">
        <f>IFERROR(VLOOKUP(A52,'[1]Consumo SEMANA ENEA'!$F:$ES,144,0),0)</f>
        <v>936.54</v>
      </c>
    </row>
    <row r="53" spans="1:12" x14ac:dyDescent="0.3">
      <c r="A53" s="2">
        <v>107242</v>
      </c>
      <c r="B53" s="2" t="s">
        <v>46</v>
      </c>
      <c r="C53" s="2" t="s">
        <v>1</v>
      </c>
      <c r="D53" s="2" t="s">
        <v>2</v>
      </c>
      <c r="E53" s="2">
        <v>3580</v>
      </c>
      <c r="F53" s="17">
        <v>4270.74</v>
      </c>
      <c r="G53" s="17">
        <v>15289249.199999999</v>
      </c>
      <c r="H53" s="1">
        <f t="shared" ca="1" si="0"/>
        <v>46207</v>
      </c>
      <c r="I53" s="5">
        <f>IFERROR(VLOOKUP(A53,'[1]Consumo SEMANA ENEA'!$F:$EM,138,0),0)</f>
        <v>1760.4166666666667</v>
      </c>
      <c r="J53" s="2" t="str">
        <f>IFERROR(VLOOKUP(A53,Hoja4!A:C,3,0),"")</f>
        <v>Cremas</v>
      </c>
      <c r="K53" s="9">
        <f t="shared" si="1"/>
        <v>2.0336094674556211</v>
      </c>
      <c r="L53" s="6">
        <f>IFERROR(VLOOKUP(A53,'[1]Consumo SEMANA ENEA'!$F:$ES,144,0),0)</f>
        <v>586.80555555555554</v>
      </c>
    </row>
    <row r="54" spans="1:12" x14ac:dyDescent="0.3">
      <c r="A54" s="2">
        <v>405673</v>
      </c>
      <c r="B54" s="2" t="s">
        <v>47</v>
      </c>
      <c r="C54" s="2" t="s">
        <v>1</v>
      </c>
      <c r="D54" s="2" t="s">
        <v>2</v>
      </c>
      <c r="E54" s="5">
        <v>212</v>
      </c>
      <c r="F54" s="17">
        <v>3512</v>
      </c>
      <c r="G54" s="17">
        <v>744544</v>
      </c>
      <c r="H54" s="1">
        <f t="shared" ca="1" si="0"/>
        <v>46207</v>
      </c>
      <c r="I54" s="5">
        <f>IFERROR(VLOOKUP(A54,'[1]Consumo SEMANA ENEA'!$F:$EM,138,0),0)</f>
        <v>141.25</v>
      </c>
      <c r="J54" s="2" t="str">
        <f>IFERROR(VLOOKUP(A54,Hoja4!A:C,3,0),"")</f>
        <v>cremas</v>
      </c>
      <c r="K54" s="9">
        <f t="shared" si="1"/>
        <v>1.5008849557522124</v>
      </c>
      <c r="L54" s="6">
        <f>IFERROR(VLOOKUP(A54,'[1]Consumo SEMANA ENEA'!$F:$ES,144,0),0)</f>
        <v>94.166666666666671</v>
      </c>
    </row>
    <row r="55" spans="1:12" x14ac:dyDescent="0.3">
      <c r="A55" s="2">
        <v>103612</v>
      </c>
      <c r="B55" s="2" t="s">
        <v>48</v>
      </c>
      <c r="C55" s="2" t="s">
        <v>1</v>
      </c>
      <c r="D55" s="2" t="s">
        <v>2</v>
      </c>
      <c r="E55" s="5">
        <v>1701</v>
      </c>
      <c r="F55" s="17">
        <v>2600</v>
      </c>
      <c r="G55" s="17">
        <v>4422600</v>
      </c>
      <c r="H55" s="1">
        <f t="shared" ca="1" si="0"/>
        <v>46207</v>
      </c>
      <c r="I55" s="5">
        <f>IFERROR(VLOOKUP(A55,'[1]Consumo SEMANA ENEA'!$F:$EM,138,0),0)</f>
        <v>2755.16</v>
      </c>
      <c r="J55" s="2" t="str">
        <f>IFERROR(VLOOKUP(A55,Hoja4!A:C,3,0),"")</f>
        <v>Cremas</v>
      </c>
      <c r="K55" s="9">
        <f t="shared" si="1"/>
        <v>0.61738701200656232</v>
      </c>
      <c r="L55" s="6">
        <f>IFERROR(VLOOKUP(A55,'[1]Consumo SEMANA ENEA'!$F:$ES,144,0),0)</f>
        <v>1377.58</v>
      </c>
    </row>
    <row r="56" spans="1:12" x14ac:dyDescent="0.3">
      <c r="A56" s="2">
        <v>107209</v>
      </c>
      <c r="B56" s="2" t="s">
        <v>49</v>
      </c>
      <c r="C56" s="2" t="s">
        <v>1</v>
      </c>
      <c r="D56" s="2" t="s">
        <v>2</v>
      </c>
      <c r="E56" s="2">
        <v>1096</v>
      </c>
      <c r="F56" s="17">
        <v>2402.5</v>
      </c>
      <c r="G56" s="17">
        <v>2633140</v>
      </c>
      <c r="H56" s="1">
        <f t="shared" ca="1" si="0"/>
        <v>46207</v>
      </c>
      <c r="I56" s="5">
        <f>IFERROR(VLOOKUP(A56,'[1]Consumo SEMANA ENEA'!$F:$EM,138,0),0)</f>
        <v>5549</v>
      </c>
      <c r="J56" s="2" t="str">
        <f>IFERROR(VLOOKUP(A56,Hoja4!A:C,3,0),"")</f>
        <v>Cremas</v>
      </c>
      <c r="K56" s="9">
        <f t="shared" si="1"/>
        <v>0.1975130654171923</v>
      </c>
      <c r="L56" s="6">
        <f>IFERROR(VLOOKUP(A56,'[1]Consumo SEMANA ENEA'!$F:$ES,144,0),0)</f>
        <v>2774.5</v>
      </c>
    </row>
    <row r="57" spans="1:12" x14ac:dyDescent="0.3">
      <c r="A57" s="2">
        <v>107105</v>
      </c>
      <c r="B57" s="2" t="s">
        <v>50</v>
      </c>
      <c r="C57" s="2" t="s">
        <v>1</v>
      </c>
      <c r="D57" s="2" t="s">
        <v>2</v>
      </c>
      <c r="E57" s="5">
        <v>531</v>
      </c>
      <c r="F57" s="17">
        <v>1914.73</v>
      </c>
      <c r="G57" s="17">
        <v>1016721.63</v>
      </c>
      <c r="H57" s="1">
        <f t="shared" ca="1" si="0"/>
        <v>46207</v>
      </c>
      <c r="I57" s="5">
        <f>IFERROR(VLOOKUP(A57,'[1]Consumo SEMANA ENEA'!$F:$EM,138,0),0)</f>
        <v>433.8</v>
      </c>
      <c r="J57" s="2" t="str">
        <f>IFERROR(VLOOKUP(A57,Hoja4!A:C,3,0),"")</f>
        <v>Mermelada</v>
      </c>
      <c r="K57" s="9">
        <f t="shared" si="1"/>
        <v>1.2240663900414936</v>
      </c>
      <c r="L57" s="6">
        <f>IFERROR(VLOOKUP(A57,'[1]Consumo SEMANA ENEA'!$F:$ES,144,0),0)</f>
        <v>216.89999999999998</v>
      </c>
    </row>
    <row r="58" spans="1:12" x14ac:dyDescent="0.3">
      <c r="A58" s="2">
        <v>403225</v>
      </c>
      <c r="B58" s="2" t="s">
        <v>501</v>
      </c>
      <c r="C58" s="2" t="s">
        <v>1</v>
      </c>
      <c r="D58" s="2" t="s">
        <v>2</v>
      </c>
      <c r="E58" s="5">
        <v>2040</v>
      </c>
      <c r="F58" s="17">
        <v>256</v>
      </c>
      <c r="G58" s="17">
        <v>522240</v>
      </c>
      <c r="H58" s="1">
        <f t="shared" ca="1" si="0"/>
        <v>46207</v>
      </c>
      <c r="I58" s="5">
        <f>IFERROR(VLOOKUP(A58,'[1]Consumo SEMANA ENEA'!$F:$EM,138,0),0)</f>
        <v>0</v>
      </c>
      <c r="J58" s="2" t="str">
        <f>IFERROR(VLOOKUP(A58,Hoja4!A:C,3,0),"")</f>
        <v>Cupula</v>
      </c>
      <c r="K58" s="9">
        <f t="shared" si="1"/>
        <v>0</v>
      </c>
      <c r="L58" s="6">
        <f>IFERROR(VLOOKUP(A58,'[1]Consumo SEMANA ENEA'!$F:$ES,144,0),0)</f>
        <v>0</v>
      </c>
    </row>
    <row r="59" spans="1:12" x14ac:dyDescent="0.3">
      <c r="A59" s="2">
        <v>107345</v>
      </c>
      <c r="B59" s="2" t="s">
        <v>51</v>
      </c>
      <c r="C59" s="2" t="s">
        <v>1</v>
      </c>
      <c r="D59" s="2" t="s">
        <v>2</v>
      </c>
      <c r="E59" s="5">
        <v>7440</v>
      </c>
      <c r="F59" s="17">
        <v>185.4</v>
      </c>
      <c r="G59" s="17">
        <v>1379376</v>
      </c>
      <c r="H59" s="1">
        <f t="shared" ca="1" si="0"/>
        <v>46207</v>
      </c>
      <c r="I59" s="5">
        <f>IFERROR(VLOOKUP(A59,'[1]Consumo SEMANA ENEA'!$F:$EM,138,0),0)</f>
        <v>1686.2916666666667</v>
      </c>
      <c r="J59" s="2" t="str">
        <f>IFERROR(VLOOKUP(A59,Hoja4!A:C,3,0),"")</f>
        <v>Cupula</v>
      </c>
      <c r="K59" s="9">
        <f t="shared" si="1"/>
        <v>4.4120481332312025</v>
      </c>
      <c r="L59" s="6">
        <f>IFERROR(VLOOKUP(A59,'[1]Consumo SEMANA ENEA'!$F:$ES,144,0),0)</f>
        <v>562.09722222222229</v>
      </c>
    </row>
    <row r="60" spans="1:12" x14ac:dyDescent="0.3">
      <c r="A60" s="2">
        <v>403212</v>
      </c>
      <c r="B60" s="2" t="s">
        <v>52</v>
      </c>
      <c r="C60" s="2" t="s">
        <v>1</v>
      </c>
      <c r="D60" s="2" t="s">
        <v>2</v>
      </c>
      <c r="E60" s="5">
        <v>2084</v>
      </c>
      <c r="F60" s="17">
        <v>210</v>
      </c>
      <c r="G60" s="17">
        <v>437640</v>
      </c>
      <c r="H60" s="1">
        <f t="shared" ca="1" si="0"/>
        <v>46207</v>
      </c>
      <c r="I60" s="5">
        <f>IFERROR(VLOOKUP(A60,'[1]Consumo SEMANA ENEA'!$F:$EM,138,0),0)</f>
        <v>0</v>
      </c>
      <c r="J60" s="2" t="str">
        <f>IFERROR(VLOOKUP(A60,Hoja4!A:C,3,0),"")</f>
        <v>Cupula</v>
      </c>
      <c r="K60" s="9">
        <f t="shared" si="1"/>
        <v>0</v>
      </c>
      <c r="L60" s="6">
        <f>IFERROR(VLOOKUP(A60,'[1]Consumo SEMANA ENEA'!$F:$ES,144,0),0)</f>
        <v>0</v>
      </c>
    </row>
    <row r="61" spans="1:12" x14ac:dyDescent="0.3">
      <c r="A61" s="2">
        <v>404314</v>
      </c>
      <c r="B61" s="2" t="s">
        <v>53</v>
      </c>
      <c r="C61" s="2" t="s">
        <v>1</v>
      </c>
      <c r="D61" s="2" t="s">
        <v>2</v>
      </c>
      <c r="E61" s="5">
        <v>5100</v>
      </c>
      <c r="F61" s="17">
        <v>235.81</v>
      </c>
      <c r="G61" s="17">
        <v>1202631</v>
      </c>
      <c r="H61" s="1">
        <f t="shared" ca="1" si="0"/>
        <v>46207</v>
      </c>
      <c r="I61" s="5">
        <f>IFERROR(VLOOKUP(A61,'[1]Consumo SEMANA ENEA'!$F:$EM,138,0),0)</f>
        <v>395.875</v>
      </c>
      <c r="J61" s="2" t="str">
        <f>IFERROR(VLOOKUP(A61,Hoja4!A:C,3,0),"")</f>
        <v>Cupula</v>
      </c>
      <c r="K61" s="9">
        <f t="shared" si="1"/>
        <v>12.882854436375119</v>
      </c>
      <c r="L61" s="6">
        <f>IFERROR(VLOOKUP(A61,'[1]Consumo SEMANA ENEA'!$F:$ES,144,0),0)</f>
        <v>263.91666666666669</v>
      </c>
    </row>
    <row r="62" spans="1:12" x14ac:dyDescent="0.3">
      <c r="A62" s="2">
        <v>107339</v>
      </c>
      <c r="B62" s="2" t="s">
        <v>54</v>
      </c>
      <c r="C62" s="2" t="s">
        <v>1</v>
      </c>
      <c r="D62" s="2" t="s">
        <v>2</v>
      </c>
      <c r="E62" s="5">
        <v>8190</v>
      </c>
      <c r="F62" s="17">
        <v>258.99</v>
      </c>
      <c r="G62" s="17">
        <v>2121128.1</v>
      </c>
      <c r="H62" s="1">
        <f t="shared" ca="1" si="0"/>
        <v>46207</v>
      </c>
      <c r="I62" s="5">
        <f>IFERROR(VLOOKUP(A62,'[1]Consumo SEMANA ENEA'!$F:$EM,138,0),0)</f>
        <v>5419.24</v>
      </c>
      <c r="J62" s="2" t="str">
        <f>IFERROR(VLOOKUP(A62,Hoja4!A:C,3,0),"")</f>
        <v>Cupula</v>
      </c>
      <c r="K62" s="9">
        <f t="shared" si="1"/>
        <v>1.5112820247857635</v>
      </c>
      <c r="L62" s="6">
        <f>IFERROR(VLOOKUP(A62,'[1]Consumo SEMANA ENEA'!$F:$ES,144,0),0)</f>
        <v>1806.4133333333332</v>
      </c>
    </row>
    <row r="63" spans="1:12" x14ac:dyDescent="0.3">
      <c r="A63" s="2">
        <v>405444</v>
      </c>
      <c r="B63" s="2" t="s">
        <v>55</v>
      </c>
      <c r="C63" s="2" t="s">
        <v>1</v>
      </c>
      <c r="D63" s="2" t="s">
        <v>2</v>
      </c>
      <c r="E63" s="5">
        <v>59600</v>
      </c>
      <c r="F63" s="17">
        <v>252</v>
      </c>
      <c r="G63" s="17">
        <v>15019200</v>
      </c>
      <c r="H63" s="1">
        <f t="shared" ca="1" si="0"/>
        <v>46207</v>
      </c>
      <c r="I63" s="5">
        <f>IFERROR(VLOOKUP(A63,'[1]Consumo SEMANA ENEA'!$F:$EM,138,0),0)</f>
        <v>57700.2</v>
      </c>
      <c r="J63" s="2" t="str">
        <f>IFERROR(VLOOKUP(A63,Hoja4!A:C,3,0),"")</f>
        <v>Cupula</v>
      </c>
      <c r="K63" s="9">
        <f t="shared" si="1"/>
        <v>1.0329253624770798</v>
      </c>
      <c r="L63" s="6">
        <f>IFERROR(VLOOKUP(A63,'[1]Consumo SEMANA ENEA'!$F:$ES,144,0),0)</f>
        <v>19233.399999999998</v>
      </c>
    </row>
    <row r="64" spans="1:12" x14ac:dyDescent="0.3">
      <c r="A64" s="2">
        <v>405278</v>
      </c>
      <c r="B64" s="2" t="s">
        <v>56</v>
      </c>
      <c r="C64" s="2" t="s">
        <v>1</v>
      </c>
      <c r="D64" s="2" t="s">
        <v>2</v>
      </c>
      <c r="E64" s="5">
        <v>11730</v>
      </c>
      <c r="F64" s="17">
        <v>244.99</v>
      </c>
      <c r="G64" s="17">
        <v>2873732.7</v>
      </c>
      <c r="H64" s="1">
        <f t="shared" ca="1" si="0"/>
        <v>46207</v>
      </c>
      <c r="I64" s="5">
        <f>IFERROR(VLOOKUP(A64,'[1]Consumo SEMANA ENEA'!$F:$EM,138,0),0)</f>
        <v>7226.96</v>
      </c>
      <c r="J64" s="2" t="str">
        <f>IFERROR(VLOOKUP(A64,Hoja4!A:C,3,0),"")</f>
        <v>Cupula</v>
      </c>
      <c r="K64" s="9">
        <f t="shared" si="1"/>
        <v>1.62308909970444</v>
      </c>
      <c r="L64" s="6">
        <f>IFERROR(VLOOKUP(A64,'[1]Consumo SEMANA ENEA'!$F:$ES,144,0),0)</f>
        <v>2408.9866666666667</v>
      </c>
    </row>
    <row r="65" spans="1:12" x14ac:dyDescent="0.3">
      <c r="A65" s="2">
        <v>107344</v>
      </c>
      <c r="B65" s="2" t="s">
        <v>57</v>
      </c>
      <c r="C65" s="2" t="s">
        <v>1</v>
      </c>
      <c r="D65" s="2" t="s">
        <v>2</v>
      </c>
      <c r="E65" s="2">
        <v>13440</v>
      </c>
      <c r="F65" s="17">
        <v>243.32</v>
      </c>
      <c r="G65" s="17">
        <v>3270220.8</v>
      </c>
      <c r="H65" s="1">
        <f t="shared" ca="1" si="0"/>
        <v>46207</v>
      </c>
      <c r="I65" s="5">
        <f>IFERROR(VLOOKUP(A65,'[1]Consumo SEMANA ENEA'!$F:$EM,138,0),0)</f>
        <v>4354</v>
      </c>
      <c r="J65" s="2" t="str">
        <f>IFERROR(VLOOKUP(A65,Hoja4!A:C,3,0),"")</f>
        <v>Cupula</v>
      </c>
      <c r="K65" s="9">
        <f t="shared" si="1"/>
        <v>3.0868167202572345</v>
      </c>
      <c r="L65" s="6">
        <f>IFERROR(VLOOKUP(A65,'[1]Consumo SEMANA ENEA'!$F:$ES,144,0),0)</f>
        <v>1451.3333333333333</v>
      </c>
    </row>
    <row r="66" spans="1:12" x14ac:dyDescent="0.3">
      <c r="A66" s="2">
        <v>107303</v>
      </c>
      <c r="B66" s="2" t="s">
        <v>58</v>
      </c>
      <c r="C66" s="2" t="s">
        <v>1</v>
      </c>
      <c r="D66" s="2" t="s">
        <v>2</v>
      </c>
      <c r="E66" s="2">
        <v>136</v>
      </c>
      <c r="F66" s="17">
        <v>22359.41</v>
      </c>
      <c r="G66" s="17">
        <v>3040879.76</v>
      </c>
      <c r="H66" s="1">
        <f t="shared" ca="1" si="0"/>
        <v>46207</v>
      </c>
      <c r="I66" s="5">
        <f>IFERROR(VLOOKUP(A66,'[1]Consumo SEMANA ENEA'!$F:$EM,138,0),0)</f>
        <v>22.181818181818183</v>
      </c>
      <c r="J66" s="2" t="str">
        <f>IFERROR(VLOOKUP(A66,Hoja4!A:C,3,0),"")</f>
        <v>Chocolate</v>
      </c>
      <c r="K66" s="9">
        <f t="shared" si="1"/>
        <v>6.1311475409836058</v>
      </c>
      <c r="L66" s="6">
        <f>IFERROR(VLOOKUP(A66,'[1]Consumo SEMANA ENEA'!$F:$ES,144,0),0)</f>
        <v>11.090909090909092</v>
      </c>
    </row>
    <row r="67" spans="1:12" x14ac:dyDescent="0.3">
      <c r="A67" s="2">
        <v>107127</v>
      </c>
      <c r="B67" s="2" t="s">
        <v>59</v>
      </c>
      <c r="C67" s="2" t="s">
        <v>1</v>
      </c>
      <c r="D67" s="2" t="s">
        <v>2</v>
      </c>
      <c r="E67" s="2">
        <v>356</v>
      </c>
      <c r="F67" s="17">
        <v>6263.21</v>
      </c>
      <c r="G67" s="17">
        <v>2229702.7599999998</v>
      </c>
      <c r="H67" s="1">
        <f t="shared" ref="H67:H130" ca="1" si="2">TODAY()</f>
        <v>46207</v>
      </c>
      <c r="I67" s="5">
        <f>IFERROR(VLOOKUP(A67,'[1]Consumo SEMANA ENEA'!$F:$EM,138,0),0)</f>
        <v>138.79166666666666</v>
      </c>
      <c r="J67" s="2" t="str">
        <f>IFERROR(VLOOKUP(A67,Hoja4!A:C,3,0),"")</f>
        <v>Chocolate</v>
      </c>
      <c r="K67" s="9">
        <f t="shared" ref="K67:K130" si="3">IFERROR(+E67/I67,0)</f>
        <v>2.5649954968477937</v>
      </c>
      <c r="L67" s="6">
        <f>IFERROR(VLOOKUP(A67,'[1]Consumo SEMANA ENEA'!$F:$ES,144,0),0)</f>
        <v>69.395833333333329</v>
      </c>
    </row>
    <row r="68" spans="1:12" x14ac:dyDescent="0.3">
      <c r="A68" s="2">
        <v>107108</v>
      </c>
      <c r="B68" s="2" t="s">
        <v>60</v>
      </c>
      <c r="C68" s="2" t="s">
        <v>1</v>
      </c>
      <c r="D68" s="2" t="s">
        <v>2</v>
      </c>
      <c r="E68" s="5">
        <v>823.5</v>
      </c>
      <c r="F68" s="17">
        <v>4199.99</v>
      </c>
      <c r="G68" s="17">
        <v>3458691.7650000001</v>
      </c>
      <c r="H68" s="1">
        <f t="shared" ca="1" si="2"/>
        <v>46207</v>
      </c>
      <c r="I68" s="5">
        <f>IFERROR(VLOOKUP(A68,'[1]Consumo SEMANA ENEA'!$F:$EM,138,0),0)</f>
        <v>1153.44</v>
      </c>
      <c r="J68" s="2" t="str">
        <f>IFERROR(VLOOKUP(A68,Hoja4!A:C,3,0),"")</f>
        <v>Chocolate</v>
      </c>
      <c r="K68" s="9">
        <f t="shared" si="3"/>
        <v>0.71395131086142316</v>
      </c>
      <c r="L68" s="6">
        <f>IFERROR(VLOOKUP(A68,'[1]Consumo SEMANA ENEA'!$F:$ES,144,0),0)</f>
        <v>576.72</v>
      </c>
    </row>
    <row r="69" spans="1:12" x14ac:dyDescent="0.3">
      <c r="A69" s="2">
        <v>405740</v>
      </c>
      <c r="B69" s="2" t="s">
        <v>61</v>
      </c>
      <c r="C69" s="2" t="s">
        <v>1</v>
      </c>
      <c r="D69" s="2" t="s">
        <v>2</v>
      </c>
      <c r="E69" s="5">
        <v>41200</v>
      </c>
      <c r="F69" s="17">
        <v>24.9</v>
      </c>
      <c r="G69" s="17">
        <v>1025880</v>
      </c>
      <c r="H69" s="1">
        <f t="shared" ca="1" si="2"/>
        <v>46207</v>
      </c>
      <c r="I69" s="5">
        <f>IFERROR(VLOOKUP(A69,'[1]Consumo SEMANA ENEA'!$F:$EM,138,0),0)</f>
        <v>38455.555555555555</v>
      </c>
      <c r="J69" s="2" t="str">
        <f>IFERROR(VLOOKUP(A69,Hoja4!A:C,3,0),"")</f>
        <v>Carton</v>
      </c>
      <c r="K69" s="9">
        <f t="shared" si="3"/>
        <v>1.0713666570355389</v>
      </c>
      <c r="L69" s="6">
        <f>IFERROR(VLOOKUP(A69,'[1]Consumo SEMANA ENEA'!$F:$ES,144,0),0)</f>
        <v>38455.555555555555</v>
      </c>
    </row>
    <row r="70" spans="1:12" x14ac:dyDescent="0.3">
      <c r="A70" s="2">
        <v>403278</v>
      </c>
      <c r="B70" s="2" t="s">
        <v>63</v>
      </c>
      <c r="C70" s="2" t="s">
        <v>1</v>
      </c>
      <c r="D70" s="2" t="s">
        <v>2</v>
      </c>
      <c r="E70" s="5">
        <v>30509</v>
      </c>
      <c r="F70" s="17">
        <v>27</v>
      </c>
      <c r="G70" s="17">
        <v>823743</v>
      </c>
      <c r="H70" s="1">
        <f t="shared" ca="1" si="2"/>
        <v>46207</v>
      </c>
      <c r="I70" s="5">
        <f>IFERROR(VLOOKUP(A70,'[1]Consumo SEMANA ENEA'!$F:$EM,138,0),0)</f>
        <v>4905.8571428571431</v>
      </c>
      <c r="J70" s="2" t="str">
        <f>IFERROR(VLOOKUP(A70,Hoja4!A:C,3,0),"")</f>
        <v>Carton</v>
      </c>
      <c r="K70" s="9">
        <f t="shared" si="3"/>
        <v>6.2188928685827429</v>
      </c>
      <c r="L70" s="6">
        <f>IFERROR(VLOOKUP(A70,'[1]Consumo SEMANA ENEA'!$F:$ES,144,0),0)</f>
        <v>12264.642857142859</v>
      </c>
    </row>
    <row r="71" spans="1:12" x14ac:dyDescent="0.3">
      <c r="A71" s="2">
        <v>107210</v>
      </c>
      <c r="B71" s="2" t="s">
        <v>67</v>
      </c>
      <c r="C71" s="2" t="s">
        <v>1</v>
      </c>
      <c r="D71" s="2" t="s">
        <v>2</v>
      </c>
      <c r="E71" s="5">
        <v>18252</v>
      </c>
      <c r="F71" s="17">
        <v>771.66</v>
      </c>
      <c r="G71" s="17">
        <v>14084338.32</v>
      </c>
      <c r="H71" s="1">
        <f t="shared" ca="1" si="2"/>
        <v>46207</v>
      </c>
      <c r="I71" s="5">
        <f>IFERROR(VLOOKUP(A71,'[1]Consumo SEMANA ENEA'!$F:$EM,138,0),0)</f>
        <v>13573.5</v>
      </c>
      <c r="J71" s="2" t="str">
        <f>IFERROR(VLOOKUP(A71,Hoja4!A:C,3,0),"")</f>
        <v>Insumo</v>
      </c>
      <c r="K71" s="9">
        <f t="shared" si="3"/>
        <v>1.3446789700519395</v>
      </c>
      <c r="L71" s="6">
        <f>IFERROR(VLOOKUP(A71,'[1]Consumo SEMANA ENEA'!$F:$ES,144,0),0)</f>
        <v>6786.75</v>
      </c>
    </row>
    <row r="72" spans="1:12" x14ac:dyDescent="0.3">
      <c r="A72" s="2">
        <v>405582</v>
      </c>
      <c r="B72" s="2" t="s">
        <v>68</v>
      </c>
      <c r="C72" s="2" t="s">
        <v>1</v>
      </c>
      <c r="D72" s="2" t="s">
        <v>2</v>
      </c>
      <c r="E72" s="5">
        <v>27736</v>
      </c>
      <c r="F72" s="17">
        <v>49</v>
      </c>
      <c r="G72" s="17">
        <v>1359064</v>
      </c>
      <c r="H72" s="1">
        <f t="shared" ca="1" si="2"/>
        <v>46207</v>
      </c>
      <c r="I72" s="5">
        <f>IFERROR(VLOOKUP(A72,'[1]Consumo SEMANA ENEA'!$F:$EM,138,0),0)</f>
        <v>4123.5294117647063</v>
      </c>
      <c r="J72" s="2" t="str">
        <f>IFERROR(VLOOKUP(A72,Hoja4!A:C,3,0),"")</f>
        <v>Carton</v>
      </c>
      <c r="K72" s="9">
        <f t="shared" si="3"/>
        <v>6.7262767475035661</v>
      </c>
      <c r="L72" s="6">
        <f>IFERROR(VLOOKUP(A72,'[1]Consumo SEMANA ENEA'!$F:$ES,144,0),0)</f>
        <v>10308.823529411766</v>
      </c>
    </row>
    <row r="73" spans="1:12" x14ac:dyDescent="0.3">
      <c r="A73" s="2">
        <v>405583</v>
      </c>
      <c r="B73" s="2" t="s">
        <v>69</v>
      </c>
      <c r="C73" s="2" t="s">
        <v>1</v>
      </c>
      <c r="D73" s="2" t="s">
        <v>2</v>
      </c>
      <c r="E73" s="5">
        <v>155550</v>
      </c>
      <c r="F73" s="17">
        <v>49</v>
      </c>
      <c r="G73" s="17">
        <v>7621950</v>
      </c>
      <c r="H73" s="1">
        <f t="shared" ca="1" si="2"/>
        <v>46207</v>
      </c>
      <c r="I73" s="5">
        <f>IFERROR(VLOOKUP(A73,'[1]Consumo SEMANA ENEA'!$F:$EM,138,0),0)</f>
        <v>10897.619047619048</v>
      </c>
      <c r="J73" s="2" t="str">
        <f>IFERROR(VLOOKUP(A73,Hoja4!A:C,3,0),"")</f>
        <v>Carton</v>
      </c>
      <c r="K73" s="9">
        <f t="shared" si="3"/>
        <v>14.273760104872187</v>
      </c>
      <c r="L73" s="6">
        <f>IFERROR(VLOOKUP(A73,'[1]Consumo SEMANA ENEA'!$F:$ES,144,0),0)</f>
        <v>27244.047619047618</v>
      </c>
    </row>
    <row r="74" spans="1:12" x14ac:dyDescent="0.3">
      <c r="A74" s="2">
        <v>405795</v>
      </c>
      <c r="B74" s="2" t="s">
        <v>821</v>
      </c>
      <c r="C74" s="2" t="s">
        <v>1</v>
      </c>
      <c r="D74" s="2" t="s">
        <v>2</v>
      </c>
      <c r="E74" s="5">
        <v>2250</v>
      </c>
      <c r="F74" s="17">
        <v>49</v>
      </c>
      <c r="G74" s="17">
        <v>110250</v>
      </c>
      <c r="H74" s="1">
        <f t="shared" ca="1" si="2"/>
        <v>46207</v>
      </c>
      <c r="I74" s="5">
        <f>IFERROR(VLOOKUP(A74,'[1]Consumo SEMANA ENEA'!$F:$EM,138,0),0)</f>
        <v>4200</v>
      </c>
      <c r="J74" s="2" t="str">
        <f>IFERROR(VLOOKUP(A74,Hoja4!A:C,3,0),"")</f>
        <v>Insumo</v>
      </c>
      <c r="K74" s="9">
        <f t="shared" si="3"/>
        <v>0.5357142857142857</v>
      </c>
      <c r="L74" s="6">
        <f>IFERROR(VLOOKUP(A74,'[1]Consumo SEMANA ENEA'!$F:$ES,144,0),0)</f>
        <v>10500</v>
      </c>
    </row>
    <row r="75" spans="1:12" x14ac:dyDescent="0.3">
      <c r="A75" s="2">
        <v>353009</v>
      </c>
      <c r="B75" s="2" t="s">
        <v>70</v>
      </c>
      <c r="C75" s="2" t="s">
        <v>1</v>
      </c>
      <c r="D75" s="2" t="s">
        <v>2</v>
      </c>
      <c r="E75" s="5">
        <v>9360</v>
      </c>
      <c r="F75" s="17">
        <v>147.44</v>
      </c>
      <c r="G75" s="17">
        <v>1380038.4</v>
      </c>
      <c r="H75" s="1">
        <f t="shared" ca="1" si="2"/>
        <v>46207</v>
      </c>
      <c r="I75" s="5">
        <f>IFERROR(VLOOKUP(A75,'[1]Consumo SEMANA ENEA'!$F:$EM,138,0),0)</f>
        <v>55448</v>
      </c>
      <c r="J75" s="2" t="str">
        <f>IFERROR(VLOOKUP(A75,Hoja4!A:C,3,0),"")</f>
        <v>Insumo</v>
      </c>
      <c r="K75" s="9">
        <f t="shared" si="3"/>
        <v>0.16880680998412928</v>
      </c>
      <c r="L75" s="6">
        <f>IFERROR(VLOOKUP(A75,'[1]Consumo SEMANA ENEA'!$F:$ES,144,0),0)</f>
        <v>18482.666666666668</v>
      </c>
    </row>
    <row r="76" spans="1:12" x14ac:dyDescent="0.3">
      <c r="A76" s="2">
        <v>107247</v>
      </c>
      <c r="B76" s="2" t="s">
        <v>71</v>
      </c>
      <c r="C76" s="2" t="s">
        <v>1</v>
      </c>
      <c r="D76" s="2" t="s">
        <v>2</v>
      </c>
      <c r="E76" s="5">
        <v>1750</v>
      </c>
      <c r="F76" s="17">
        <v>3090</v>
      </c>
      <c r="G76" s="17">
        <v>5407500</v>
      </c>
      <c r="H76" s="1">
        <f t="shared" ca="1" si="2"/>
        <v>46207</v>
      </c>
      <c r="I76" s="5">
        <f>IFERROR(VLOOKUP(A76,'[1]Consumo SEMANA ENEA'!$F:$EM,138,0),0)</f>
        <v>888.125</v>
      </c>
      <c r="J76" s="2" t="str">
        <f>IFERROR(VLOOKUP(A76,Hoja4!A:C,3,0),"")</f>
        <v>Manjar</v>
      </c>
      <c r="K76" s="9">
        <f t="shared" si="3"/>
        <v>1.9704433497536946</v>
      </c>
      <c r="L76" s="6">
        <f>IFERROR(VLOOKUP(A76,'[1]Consumo SEMANA ENEA'!$F:$ES,144,0),0)</f>
        <v>296.04166666666669</v>
      </c>
    </row>
    <row r="77" spans="1:12" x14ac:dyDescent="0.3">
      <c r="A77" s="2">
        <v>107294</v>
      </c>
      <c r="B77" s="2" t="s">
        <v>72</v>
      </c>
      <c r="C77" s="2" t="s">
        <v>1</v>
      </c>
      <c r="D77" s="2" t="s">
        <v>2</v>
      </c>
      <c r="E77" s="2">
        <v>1638</v>
      </c>
      <c r="F77" s="17">
        <v>1660</v>
      </c>
      <c r="G77" s="17">
        <v>2719080</v>
      </c>
      <c r="H77" s="1">
        <f t="shared" ca="1" si="2"/>
        <v>46207</v>
      </c>
      <c r="I77" s="5">
        <f>IFERROR(VLOOKUP(A77,'[1]Consumo SEMANA ENEA'!$F:$EM,138,0),0)</f>
        <v>2216.08</v>
      </c>
      <c r="J77" s="2" t="str">
        <f>IFERROR(VLOOKUP(A77,Hoja4!A:C,3,0),"")</f>
        <v>Mermelada</v>
      </c>
      <c r="K77" s="9">
        <f t="shared" si="3"/>
        <v>0.73914299122775351</v>
      </c>
      <c r="L77" s="6">
        <f>IFERROR(VLOOKUP(A77,'[1]Consumo SEMANA ENEA'!$F:$ES,144,0),0)</f>
        <v>1108.04</v>
      </c>
    </row>
    <row r="78" spans="1:12" x14ac:dyDescent="0.3">
      <c r="A78" s="2">
        <v>107125</v>
      </c>
      <c r="B78" s="2" t="s">
        <v>280</v>
      </c>
      <c r="C78" s="2" t="s">
        <v>1</v>
      </c>
      <c r="D78" s="2" t="s">
        <v>2</v>
      </c>
      <c r="E78" s="2">
        <v>682.2</v>
      </c>
      <c r="F78" s="17">
        <v>2583</v>
      </c>
      <c r="G78" s="17">
        <v>1762122.6</v>
      </c>
      <c r="H78" s="1">
        <f t="shared" ca="1" si="2"/>
        <v>46207</v>
      </c>
      <c r="I78" s="5">
        <f>IFERROR(VLOOKUP(A78,'[1]Consumo SEMANA ENEA'!$F:$EM,138,0),0)</f>
        <v>652.4666666666667</v>
      </c>
      <c r="J78" s="2" t="str">
        <f>IFERROR(VLOOKUP(A78,Hoja4!A:C,3,0),"")</f>
        <v>Fruta Conserva</v>
      </c>
      <c r="K78" s="9">
        <f t="shared" si="3"/>
        <v>1.0455706549504444</v>
      </c>
      <c r="L78" s="6">
        <f>IFERROR(VLOOKUP(A78,'[1]Consumo SEMANA ENEA'!$F:$ES,144,0),0)</f>
        <v>326.23333333333335</v>
      </c>
    </row>
    <row r="79" spans="1:12" x14ac:dyDescent="0.3">
      <c r="A79" s="2">
        <v>107401</v>
      </c>
      <c r="B79" s="2" t="s">
        <v>73</v>
      </c>
      <c r="C79" s="2" t="s">
        <v>1</v>
      </c>
      <c r="D79" s="2" t="s">
        <v>2</v>
      </c>
      <c r="E79" s="2">
        <v>430.2</v>
      </c>
      <c r="F79" s="17">
        <v>2426.1</v>
      </c>
      <c r="G79" s="17">
        <v>1043708.22</v>
      </c>
      <c r="H79" s="1">
        <f t="shared" ca="1" si="2"/>
        <v>46207</v>
      </c>
      <c r="I79" s="5">
        <f>IFERROR(VLOOKUP(A79,'[1]Consumo SEMANA ENEA'!$F:$EM,138,0),0)</f>
        <v>558.42999999999995</v>
      </c>
      <c r="J79" s="2" t="str">
        <f>IFERROR(VLOOKUP(A79,Hoja4!A:C,3,0),"")</f>
        <v>Fruta conserva</v>
      </c>
      <c r="K79" s="9">
        <f t="shared" si="3"/>
        <v>0.77037408448686506</v>
      </c>
      <c r="L79" s="6">
        <f>IFERROR(VLOOKUP(A79,'[1]Consumo SEMANA ENEA'!$F:$ES,144,0),0)</f>
        <v>186.14333333333332</v>
      </c>
    </row>
    <row r="80" spans="1:12" x14ac:dyDescent="0.3">
      <c r="A80" s="2">
        <v>405652</v>
      </c>
      <c r="B80" s="2" t="s">
        <v>75</v>
      </c>
      <c r="C80" s="2" t="s">
        <v>1</v>
      </c>
      <c r="D80" s="2" t="s">
        <v>2</v>
      </c>
      <c r="E80" s="5">
        <v>8.5</v>
      </c>
      <c r="F80" s="17">
        <v>1970.24</v>
      </c>
      <c r="G80" s="17">
        <v>16747.04</v>
      </c>
      <c r="H80" s="1">
        <f t="shared" ca="1" si="2"/>
        <v>46207</v>
      </c>
      <c r="I80" s="5">
        <f>IFERROR(VLOOKUP(A80,'[1]Consumo SEMANA ENEA'!$F:$EM,138,0),0)</f>
        <v>2.1538461538461537</v>
      </c>
      <c r="J80" s="2" t="str">
        <f>IFERROR(VLOOKUP(A80,Hoja4!A:C,3,0),"")</f>
        <v>Esencia</v>
      </c>
      <c r="K80" s="9">
        <f t="shared" si="3"/>
        <v>3.9464285714285716</v>
      </c>
      <c r="L80" s="6">
        <f>IFERROR(VLOOKUP(A80,'[1]Consumo SEMANA ENEA'!$F:$ES,144,0),0)</f>
        <v>0.71794871794871795</v>
      </c>
    </row>
    <row r="81" spans="1:12" x14ac:dyDescent="0.3">
      <c r="A81" s="2">
        <v>405358</v>
      </c>
      <c r="B81" s="2" t="s">
        <v>76</v>
      </c>
      <c r="C81" s="2" t="s">
        <v>1</v>
      </c>
      <c r="D81" s="2" t="s">
        <v>2</v>
      </c>
      <c r="E81" s="5">
        <v>10000</v>
      </c>
      <c r="F81" s="17">
        <v>20.309999999999999</v>
      </c>
      <c r="G81" s="17">
        <v>203100</v>
      </c>
      <c r="H81" s="1">
        <f t="shared" ca="1" si="2"/>
        <v>46207</v>
      </c>
      <c r="I81" s="5">
        <f>IFERROR(VLOOKUP(A81,'[1]Consumo SEMANA ENEA'!$F:$EM,138,0),0)</f>
        <v>2190.4761904761904</v>
      </c>
      <c r="J81" s="2" t="str">
        <f>IFERROR(VLOOKUP(A81,Hoja4!A:C,3,0),"")</f>
        <v>Etiquetas</v>
      </c>
      <c r="K81" s="9">
        <f t="shared" si="3"/>
        <v>4.5652173913043477</v>
      </c>
      <c r="L81" s="6">
        <f>IFERROR(VLOOKUP(A81,'[1]Consumo SEMANA ENEA'!$F:$ES,144,0),0)</f>
        <v>2190.4761904761904</v>
      </c>
    </row>
    <row r="82" spans="1:12" x14ac:dyDescent="0.3">
      <c r="A82" s="2">
        <v>405712</v>
      </c>
      <c r="B82" s="2" t="s">
        <v>77</v>
      </c>
      <c r="C82" s="2" t="s">
        <v>1</v>
      </c>
      <c r="D82" s="2" t="s">
        <v>2</v>
      </c>
      <c r="E82" s="5">
        <v>20000</v>
      </c>
      <c r="F82" s="17">
        <v>22.7</v>
      </c>
      <c r="G82" s="17">
        <v>454000</v>
      </c>
      <c r="H82" s="1">
        <f t="shared" ca="1" si="2"/>
        <v>46207</v>
      </c>
      <c r="I82" s="5">
        <f>IFERROR(VLOOKUP(A82,'[1]Consumo SEMANA ENEA'!$F:$EM,138,0),0)</f>
        <v>10000</v>
      </c>
      <c r="J82" s="2" t="str">
        <f>IFERROR(VLOOKUP(A82,Hoja4!A:C,3,0),"")</f>
        <v>Etiquetas</v>
      </c>
      <c r="K82" s="9">
        <f t="shared" si="3"/>
        <v>2</v>
      </c>
      <c r="L82" s="6">
        <f>IFERROR(VLOOKUP(A82,'[1]Consumo SEMANA ENEA'!$F:$ES,144,0),0)</f>
        <v>10000</v>
      </c>
    </row>
    <row r="83" spans="1:12" x14ac:dyDescent="0.3">
      <c r="A83" s="2">
        <v>405453</v>
      </c>
      <c r="B83" s="2" t="s">
        <v>78</v>
      </c>
      <c r="C83" s="2" t="s">
        <v>1</v>
      </c>
      <c r="D83" s="2" t="s">
        <v>2</v>
      </c>
      <c r="E83" s="5">
        <v>1000</v>
      </c>
      <c r="F83" s="17">
        <v>20.7</v>
      </c>
      <c r="G83" s="17">
        <v>20700</v>
      </c>
      <c r="H83" s="1">
        <f t="shared" ca="1" si="2"/>
        <v>46207</v>
      </c>
      <c r="I83" s="5">
        <f>IFERROR(VLOOKUP(A83,'[1]Consumo SEMANA ENEA'!$F:$EM,138,0),0)</f>
        <v>1000</v>
      </c>
      <c r="J83" s="2" t="str">
        <f>IFERROR(VLOOKUP(A83,Hoja4!A:C,3,0),"")</f>
        <v>Etiquetas</v>
      </c>
      <c r="K83" s="9">
        <f t="shared" si="3"/>
        <v>1</v>
      </c>
      <c r="L83" s="6">
        <f>IFERROR(VLOOKUP(A83,'[1]Consumo SEMANA ENEA'!$F:$ES,144,0),0)</f>
        <v>1000</v>
      </c>
    </row>
    <row r="84" spans="1:12" x14ac:dyDescent="0.3">
      <c r="A84" s="2">
        <v>405785</v>
      </c>
      <c r="B84" s="2" t="s">
        <v>79</v>
      </c>
      <c r="C84" s="2" t="s">
        <v>1</v>
      </c>
      <c r="D84" s="2" t="s">
        <v>2</v>
      </c>
      <c r="E84" s="5">
        <v>5000</v>
      </c>
      <c r="F84" s="17">
        <v>20.7</v>
      </c>
      <c r="G84" s="17">
        <v>103500</v>
      </c>
      <c r="H84" s="1">
        <f t="shared" ca="1" si="2"/>
        <v>46207</v>
      </c>
      <c r="I84" s="5">
        <f>IFERROR(VLOOKUP(A84,'[1]Consumo SEMANA ENEA'!$F:$EM,138,0),0)</f>
        <v>0</v>
      </c>
      <c r="J84" s="2" t="str">
        <f>IFERROR(VLOOKUP(A84,Hoja4!A:C,3,0),"")</f>
        <v>Etiquetas</v>
      </c>
      <c r="K84" s="9">
        <f t="shared" si="3"/>
        <v>0</v>
      </c>
      <c r="L84" s="6">
        <f>IFERROR(VLOOKUP(A84,'[1]Consumo SEMANA ENEA'!$F:$ES,144,0),0)</f>
        <v>0</v>
      </c>
    </row>
    <row r="85" spans="1:12" x14ac:dyDescent="0.3">
      <c r="A85" s="2">
        <v>405752</v>
      </c>
      <c r="B85" s="2" t="s">
        <v>80</v>
      </c>
      <c r="C85" s="2" t="s">
        <v>1</v>
      </c>
      <c r="D85" s="2" t="s">
        <v>2</v>
      </c>
      <c r="E85" s="5">
        <v>5000</v>
      </c>
      <c r="F85" s="17">
        <v>22.7</v>
      </c>
      <c r="G85" s="17">
        <v>113500</v>
      </c>
      <c r="H85" s="1">
        <f t="shared" ca="1" si="2"/>
        <v>46207</v>
      </c>
      <c r="I85" s="5">
        <f>IFERROR(VLOOKUP(A85,'[1]Consumo SEMANA ENEA'!$F:$EM,138,0),0)</f>
        <v>0</v>
      </c>
      <c r="J85" s="2" t="str">
        <f>IFERROR(VLOOKUP(A85,Hoja4!A:C,3,0),"")</f>
        <v>Etiquetas</v>
      </c>
      <c r="K85" s="9">
        <f t="shared" si="3"/>
        <v>0</v>
      </c>
      <c r="L85" s="6">
        <f>IFERROR(VLOOKUP(A85,'[1]Consumo SEMANA ENEA'!$F:$ES,144,0),0)</f>
        <v>0</v>
      </c>
    </row>
    <row r="86" spans="1:12" x14ac:dyDescent="0.3">
      <c r="A86" s="2">
        <v>405687</v>
      </c>
      <c r="B86" s="2" t="s">
        <v>81</v>
      </c>
      <c r="C86" s="2" t="s">
        <v>1</v>
      </c>
      <c r="D86" s="2" t="s">
        <v>2</v>
      </c>
      <c r="E86" s="5">
        <v>4000</v>
      </c>
      <c r="F86" s="17">
        <v>45</v>
      </c>
      <c r="G86" s="17">
        <v>180000</v>
      </c>
      <c r="H86" s="1">
        <f t="shared" ca="1" si="2"/>
        <v>46207</v>
      </c>
      <c r="I86" s="5">
        <f>IFERROR(VLOOKUP(A86,'[1]Consumo SEMANA ENEA'!$F:$EM,138,0),0)</f>
        <v>1090.909090909091</v>
      </c>
      <c r="J86" s="2" t="str">
        <f>IFERROR(VLOOKUP(A86,Hoja4!A:C,3,0),"")</f>
        <v>Etiquetas</v>
      </c>
      <c r="K86" s="9">
        <f t="shared" si="3"/>
        <v>3.6666666666666665</v>
      </c>
      <c r="L86" s="6">
        <f>IFERROR(VLOOKUP(A86,'[1]Consumo SEMANA ENEA'!$F:$ES,144,0),0)</f>
        <v>1090.909090909091</v>
      </c>
    </row>
    <row r="87" spans="1:12" x14ac:dyDescent="0.3">
      <c r="A87" s="2">
        <v>405353</v>
      </c>
      <c r="B87" s="2" t="s">
        <v>82</v>
      </c>
      <c r="C87" s="2" t="s">
        <v>1</v>
      </c>
      <c r="D87" s="2" t="s">
        <v>2</v>
      </c>
      <c r="E87" s="5">
        <v>4000</v>
      </c>
      <c r="F87" s="17">
        <v>22.7</v>
      </c>
      <c r="G87" s="17">
        <v>90800</v>
      </c>
      <c r="H87" s="1">
        <f t="shared" ca="1" si="2"/>
        <v>46207</v>
      </c>
      <c r="I87" s="5">
        <f>IFERROR(VLOOKUP(A87,'[1]Consumo SEMANA ENEA'!$F:$EM,138,0),0)</f>
        <v>4071.4285714285716</v>
      </c>
      <c r="J87" s="2" t="str">
        <f>IFERROR(VLOOKUP(A87,Hoja4!A:C,3,0),"")</f>
        <v>Etiquetas</v>
      </c>
      <c r="K87" s="9">
        <f t="shared" si="3"/>
        <v>0.98245614035087714</v>
      </c>
      <c r="L87" s="6">
        <f>IFERROR(VLOOKUP(A87,'[1]Consumo SEMANA ENEA'!$F:$ES,144,0),0)</f>
        <v>4071.4285714285716</v>
      </c>
    </row>
    <row r="88" spans="1:12" x14ac:dyDescent="0.3">
      <c r="A88" s="2">
        <v>405787</v>
      </c>
      <c r="B88" s="2" t="s">
        <v>83</v>
      </c>
      <c r="C88" s="2" t="s">
        <v>1</v>
      </c>
      <c r="D88" s="2" t="s">
        <v>2</v>
      </c>
      <c r="E88" s="5">
        <v>6000</v>
      </c>
      <c r="F88" s="17">
        <v>22.7</v>
      </c>
      <c r="G88" s="17">
        <v>136200</v>
      </c>
      <c r="H88" s="1">
        <f t="shared" ca="1" si="2"/>
        <v>46207</v>
      </c>
      <c r="I88" s="5">
        <f>IFERROR(VLOOKUP(A88,'[1]Consumo SEMANA ENEA'!$F:$EM,138,0),0)</f>
        <v>1000</v>
      </c>
      <c r="J88" s="2" t="str">
        <f>IFERROR(VLOOKUP(A88,Hoja4!A:C,3,0),"")</f>
        <v>Etiquetas</v>
      </c>
      <c r="K88" s="9">
        <f t="shared" si="3"/>
        <v>6</v>
      </c>
      <c r="L88" s="6">
        <f>IFERROR(VLOOKUP(A88,'[1]Consumo SEMANA ENEA'!$F:$ES,144,0),0)</f>
        <v>1000</v>
      </c>
    </row>
    <row r="89" spans="1:12" x14ac:dyDescent="0.3">
      <c r="A89" s="2">
        <v>405688</v>
      </c>
      <c r="B89" s="2" t="s">
        <v>84</v>
      </c>
      <c r="C89" s="2" t="s">
        <v>1</v>
      </c>
      <c r="D89" s="2" t="s">
        <v>2</v>
      </c>
      <c r="E89" s="5">
        <v>6000</v>
      </c>
      <c r="F89" s="17">
        <v>45</v>
      </c>
      <c r="G89" s="17">
        <v>270000</v>
      </c>
      <c r="H89" s="1">
        <f t="shared" ca="1" si="2"/>
        <v>46207</v>
      </c>
      <c r="I89" s="5">
        <f>IFERROR(VLOOKUP(A89,'[1]Consumo SEMANA ENEA'!$F:$EM,138,0),0)</f>
        <v>1090.909090909091</v>
      </c>
      <c r="J89" s="2" t="str">
        <f>IFERROR(VLOOKUP(A89,Hoja4!A:C,3,0),"")</f>
        <v>Etiquetas</v>
      </c>
      <c r="K89" s="9">
        <f t="shared" si="3"/>
        <v>5.5</v>
      </c>
      <c r="L89" s="6">
        <f>IFERROR(VLOOKUP(A89,'[1]Consumo SEMANA ENEA'!$F:$ES,144,0),0)</f>
        <v>1090.909090909091</v>
      </c>
    </row>
    <row r="90" spans="1:12" x14ac:dyDescent="0.3">
      <c r="A90" s="2">
        <v>405698</v>
      </c>
      <c r="B90" s="2" t="s">
        <v>85</v>
      </c>
      <c r="C90" s="2" t="s">
        <v>1</v>
      </c>
      <c r="D90" s="2" t="s">
        <v>2</v>
      </c>
      <c r="E90" s="5">
        <v>3000</v>
      </c>
      <c r="F90" s="17">
        <v>26</v>
      </c>
      <c r="G90" s="17">
        <v>78000</v>
      </c>
      <c r="H90" s="1">
        <f t="shared" ca="1" si="2"/>
        <v>46207</v>
      </c>
      <c r="I90" s="5">
        <f>IFERROR(VLOOKUP(A90,'[1]Consumo SEMANA ENEA'!$F:$EM,138,0),0)</f>
        <v>1285.7142857142858</v>
      </c>
      <c r="J90" s="2" t="str">
        <f>IFERROR(VLOOKUP(A90,Hoja4!A:C,3,0),"")</f>
        <v>Etiquetas</v>
      </c>
      <c r="K90" s="9">
        <f t="shared" si="3"/>
        <v>2.333333333333333</v>
      </c>
      <c r="L90" s="6">
        <f>IFERROR(VLOOKUP(A90,'[1]Consumo SEMANA ENEA'!$F:$ES,144,0),0)</f>
        <v>1285.7142857142858</v>
      </c>
    </row>
    <row r="91" spans="1:12" x14ac:dyDescent="0.3">
      <c r="A91" s="2">
        <v>405449</v>
      </c>
      <c r="B91" s="2" t="s">
        <v>86</v>
      </c>
      <c r="C91" s="2" t="s">
        <v>1</v>
      </c>
      <c r="D91" s="2" t="s">
        <v>2</v>
      </c>
      <c r="E91" s="5">
        <v>15000</v>
      </c>
      <c r="F91" s="17">
        <v>22.7</v>
      </c>
      <c r="G91" s="17">
        <v>340500</v>
      </c>
      <c r="H91" s="1">
        <f t="shared" ca="1" si="2"/>
        <v>46207</v>
      </c>
      <c r="I91" s="5">
        <f>IFERROR(VLOOKUP(A91,'[1]Consumo SEMANA ENEA'!$F:$EM,138,0),0)</f>
        <v>1200</v>
      </c>
      <c r="J91" s="2" t="str">
        <f>IFERROR(VLOOKUP(A91,Hoja4!A:C,3,0),"")</f>
        <v>Etiquetas</v>
      </c>
      <c r="K91" s="9">
        <f t="shared" si="3"/>
        <v>12.5</v>
      </c>
      <c r="L91" s="6">
        <f>IFERROR(VLOOKUP(A91,'[1]Consumo SEMANA ENEA'!$F:$ES,144,0),0)</f>
        <v>1200</v>
      </c>
    </row>
    <row r="92" spans="1:12" x14ac:dyDescent="0.3">
      <c r="A92" s="2">
        <v>405448</v>
      </c>
      <c r="B92" s="2" t="s">
        <v>87</v>
      </c>
      <c r="C92" s="2" t="s">
        <v>1</v>
      </c>
      <c r="D92" s="2" t="s">
        <v>2</v>
      </c>
      <c r="E92" s="5">
        <v>5000</v>
      </c>
      <c r="F92" s="17">
        <v>21.95</v>
      </c>
      <c r="G92" s="17">
        <v>109750</v>
      </c>
      <c r="H92" s="1">
        <f t="shared" ca="1" si="2"/>
        <v>46207</v>
      </c>
      <c r="I92" s="5">
        <f>IFERROR(VLOOKUP(A92,'[1]Consumo SEMANA ENEA'!$F:$EM,138,0),0)</f>
        <v>1000</v>
      </c>
      <c r="J92" s="2" t="str">
        <f>IFERROR(VLOOKUP(A92,Hoja4!A:C,3,0),"")</f>
        <v>Etiquetas</v>
      </c>
      <c r="K92" s="9">
        <f t="shared" si="3"/>
        <v>5</v>
      </c>
      <c r="L92" s="6">
        <f>IFERROR(VLOOKUP(A92,'[1]Consumo SEMANA ENEA'!$F:$ES,144,0),0)</f>
        <v>1000</v>
      </c>
    </row>
    <row r="93" spans="1:12" x14ac:dyDescent="0.3">
      <c r="A93" s="2">
        <v>405753</v>
      </c>
      <c r="B93" s="2" t="s">
        <v>88</v>
      </c>
      <c r="C93" s="2" t="s">
        <v>1</v>
      </c>
      <c r="D93" s="2" t="s">
        <v>2</v>
      </c>
      <c r="E93" s="5">
        <v>5000</v>
      </c>
      <c r="F93" s="17">
        <v>22.7</v>
      </c>
      <c r="G93" s="17">
        <v>113500</v>
      </c>
      <c r="H93" s="1">
        <f t="shared" ca="1" si="2"/>
        <v>46207</v>
      </c>
      <c r="I93" s="5">
        <f>IFERROR(VLOOKUP(A93,'[1]Consumo SEMANA ENEA'!$F:$EM,138,0),0)</f>
        <v>0</v>
      </c>
      <c r="J93" s="2" t="str">
        <f>IFERROR(VLOOKUP(A93,Hoja4!A:C,3,0),"")</f>
        <v>Etiquetas</v>
      </c>
      <c r="K93" s="9">
        <f t="shared" si="3"/>
        <v>0</v>
      </c>
      <c r="L93" s="6">
        <f>IFERROR(VLOOKUP(A93,'[1]Consumo SEMANA ENEA'!$F:$ES,144,0),0)</f>
        <v>0</v>
      </c>
    </row>
    <row r="94" spans="1:12" x14ac:dyDescent="0.3">
      <c r="A94" s="2">
        <v>405686</v>
      </c>
      <c r="B94" s="2" t="s">
        <v>89</v>
      </c>
      <c r="C94" s="2" t="s">
        <v>1</v>
      </c>
      <c r="D94" s="2" t="s">
        <v>2</v>
      </c>
      <c r="E94" s="5">
        <v>6000</v>
      </c>
      <c r="F94" s="17">
        <v>45</v>
      </c>
      <c r="G94" s="17">
        <v>270000</v>
      </c>
      <c r="H94" s="1">
        <f t="shared" ca="1" si="2"/>
        <v>46207</v>
      </c>
      <c r="I94" s="5">
        <f>IFERROR(VLOOKUP(A94,'[1]Consumo SEMANA ENEA'!$F:$EM,138,0),0)</f>
        <v>1083.3333333333333</v>
      </c>
      <c r="J94" s="2" t="str">
        <f>IFERROR(VLOOKUP(A94,Hoja4!A:C,3,0),"")</f>
        <v>Etiquetas</v>
      </c>
      <c r="K94" s="9">
        <f t="shared" si="3"/>
        <v>5.5384615384615392</v>
      </c>
      <c r="L94" s="6">
        <f>IFERROR(VLOOKUP(A94,'[1]Consumo SEMANA ENEA'!$F:$ES,144,0),0)</f>
        <v>1083.3333333333333</v>
      </c>
    </row>
    <row r="95" spans="1:12" x14ac:dyDescent="0.3">
      <c r="A95" s="2">
        <v>405301</v>
      </c>
      <c r="B95" s="2" t="s">
        <v>90</v>
      </c>
      <c r="C95" s="2" t="s">
        <v>1</v>
      </c>
      <c r="D95" s="2" t="s">
        <v>2</v>
      </c>
      <c r="E95" s="5">
        <v>8000</v>
      </c>
      <c r="F95" s="17">
        <v>17.170000000000002</v>
      </c>
      <c r="G95" s="17">
        <v>137360</v>
      </c>
      <c r="H95" s="1">
        <f t="shared" ca="1" si="2"/>
        <v>46207</v>
      </c>
      <c r="I95" s="5">
        <f>IFERROR(VLOOKUP(A95,'[1]Consumo SEMANA ENEA'!$F:$EM,138,0),0)</f>
        <v>1117.6470588235295</v>
      </c>
      <c r="J95" s="2" t="str">
        <f>IFERROR(VLOOKUP(A95,Hoja4!A:C,3,0),"")</f>
        <v>Etiquetas</v>
      </c>
      <c r="K95" s="9">
        <f t="shared" si="3"/>
        <v>7.1578947368421044</v>
      </c>
      <c r="L95" s="6">
        <f>IFERROR(VLOOKUP(A95,'[1]Consumo SEMANA ENEA'!$F:$ES,144,0),0)</f>
        <v>1117.6470588235295</v>
      </c>
    </row>
    <row r="96" spans="1:12" x14ac:dyDescent="0.3">
      <c r="A96" s="2">
        <v>405300</v>
      </c>
      <c r="B96" s="2" t="s">
        <v>91</v>
      </c>
      <c r="C96" s="2" t="s">
        <v>1</v>
      </c>
      <c r="D96" s="2" t="s">
        <v>2</v>
      </c>
      <c r="E96" s="5">
        <v>7000</v>
      </c>
      <c r="F96" s="17">
        <v>17.170000000000002</v>
      </c>
      <c r="G96" s="17">
        <v>120190</v>
      </c>
      <c r="H96" s="1">
        <f t="shared" ca="1" si="2"/>
        <v>46207</v>
      </c>
      <c r="I96" s="5">
        <f>IFERROR(VLOOKUP(A96,'[1]Consumo SEMANA ENEA'!$F:$EM,138,0),0)</f>
        <v>2550</v>
      </c>
      <c r="J96" s="2" t="str">
        <f>IFERROR(VLOOKUP(A96,Hoja4!A:C,3,0),"")</f>
        <v>Etiquetas</v>
      </c>
      <c r="K96" s="9">
        <f t="shared" si="3"/>
        <v>2.7450980392156863</v>
      </c>
      <c r="L96" s="6">
        <f>IFERROR(VLOOKUP(A96,'[1]Consumo SEMANA ENEA'!$F:$ES,144,0),0)</f>
        <v>2550</v>
      </c>
    </row>
    <row r="97" spans="1:12" x14ac:dyDescent="0.3">
      <c r="A97" s="2">
        <v>405302</v>
      </c>
      <c r="B97" s="2" t="s">
        <v>92</v>
      </c>
      <c r="C97" s="2" t="s">
        <v>1</v>
      </c>
      <c r="D97" s="2" t="s">
        <v>2</v>
      </c>
      <c r="E97" s="5">
        <v>5000</v>
      </c>
      <c r="F97" s="17">
        <v>17.170000000000002</v>
      </c>
      <c r="G97" s="17">
        <v>85850</v>
      </c>
      <c r="H97" s="1">
        <f t="shared" ca="1" si="2"/>
        <v>46207</v>
      </c>
      <c r="I97" s="5">
        <f>IFERROR(VLOOKUP(A97,'[1]Consumo SEMANA ENEA'!$F:$EM,138,0),0)</f>
        <v>1176.4705882352941</v>
      </c>
      <c r="J97" s="2" t="str">
        <f>IFERROR(VLOOKUP(A97,Hoja4!A:C,3,0),"")</f>
        <v>Etiquetas</v>
      </c>
      <c r="K97" s="9">
        <f t="shared" si="3"/>
        <v>4.25</v>
      </c>
      <c r="L97" s="6">
        <f>IFERROR(VLOOKUP(A97,'[1]Consumo SEMANA ENEA'!$F:$ES,144,0),0)</f>
        <v>1176.4705882352941</v>
      </c>
    </row>
    <row r="98" spans="1:12" x14ac:dyDescent="0.3">
      <c r="A98" s="2">
        <v>405535</v>
      </c>
      <c r="B98" s="2" t="s">
        <v>93</v>
      </c>
      <c r="C98" s="2" t="s">
        <v>1</v>
      </c>
      <c r="D98" s="2" t="s">
        <v>2</v>
      </c>
      <c r="E98" s="5">
        <v>12000</v>
      </c>
      <c r="F98" s="17">
        <v>26</v>
      </c>
      <c r="G98" s="17">
        <v>312000</v>
      </c>
      <c r="H98" s="1">
        <f t="shared" ca="1" si="2"/>
        <v>46207</v>
      </c>
      <c r="I98" s="5">
        <f>IFERROR(VLOOKUP(A98,'[1]Consumo SEMANA ENEA'!$F:$EM,138,0),0)</f>
        <v>0</v>
      </c>
      <c r="J98" s="2" t="str">
        <f>IFERROR(VLOOKUP(A98,Hoja4!A:C,3,0),"")</f>
        <v>Etiquetas</v>
      </c>
      <c r="K98" s="9">
        <f t="shared" si="3"/>
        <v>0</v>
      </c>
      <c r="L98" s="6">
        <f>IFERROR(VLOOKUP(A98,'[1]Consumo SEMANA ENEA'!$F:$ES,144,0),0)</f>
        <v>0</v>
      </c>
    </row>
    <row r="99" spans="1:12" x14ac:dyDescent="0.3">
      <c r="A99" s="2">
        <v>405129</v>
      </c>
      <c r="B99" s="2" t="s">
        <v>94</v>
      </c>
      <c r="C99" s="2" t="s">
        <v>1</v>
      </c>
      <c r="D99" s="2" t="s">
        <v>2</v>
      </c>
      <c r="E99" s="5">
        <v>15000</v>
      </c>
      <c r="F99" s="17">
        <v>20.7</v>
      </c>
      <c r="G99" s="17">
        <v>310500</v>
      </c>
      <c r="H99" s="1">
        <f t="shared" ca="1" si="2"/>
        <v>46207</v>
      </c>
      <c r="I99" s="5">
        <f>IFERROR(VLOOKUP(A99,'[1]Consumo SEMANA ENEA'!$F:$EM,138,0),0)</f>
        <v>6000</v>
      </c>
      <c r="J99" s="2" t="str">
        <f>IFERROR(VLOOKUP(A99,Hoja4!A:C,3,0),"")</f>
        <v>Etiquetas</v>
      </c>
      <c r="K99" s="9">
        <f t="shared" si="3"/>
        <v>2.5</v>
      </c>
      <c r="L99" s="6">
        <f>IFERROR(VLOOKUP(A99,'[1]Consumo SEMANA ENEA'!$F:$ES,144,0),0)</f>
        <v>6000</v>
      </c>
    </row>
    <row r="100" spans="1:12" x14ac:dyDescent="0.3">
      <c r="A100" s="2">
        <v>405754</v>
      </c>
      <c r="B100" s="2" t="s">
        <v>95</v>
      </c>
      <c r="C100" s="2" t="s">
        <v>1</v>
      </c>
      <c r="D100" s="2" t="s">
        <v>2</v>
      </c>
      <c r="E100" s="5">
        <v>5000</v>
      </c>
      <c r="F100" s="17">
        <v>45</v>
      </c>
      <c r="G100" s="17">
        <v>225000</v>
      </c>
      <c r="H100" s="1">
        <f t="shared" ca="1" si="2"/>
        <v>46207</v>
      </c>
      <c r="I100" s="5">
        <f>IFERROR(VLOOKUP(A100,'[1]Consumo SEMANA ENEA'!$F:$EM,138,0),0)</f>
        <v>1000</v>
      </c>
      <c r="J100" s="2" t="str">
        <f>IFERROR(VLOOKUP(A100,Hoja4!A:C,3,0),"")</f>
        <v>Etiquetas</v>
      </c>
      <c r="K100" s="9">
        <f t="shared" si="3"/>
        <v>5</v>
      </c>
      <c r="L100" s="6">
        <f>IFERROR(VLOOKUP(A100,'[1]Consumo SEMANA ENEA'!$F:$ES,144,0),0)</f>
        <v>1000</v>
      </c>
    </row>
    <row r="101" spans="1:12" x14ac:dyDescent="0.3">
      <c r="A101" s="2">
        <v>405207</v>
      </c>
      <c r="B101" s="2" t="s">
        <v>96</v>
      </c>
      <c r="C101" s="2" t="s">
        <v>1</v>
      </c>
      <c r="D101" s="2" t="s">
        <v>2</v>
      </c>
      <c r="E101" s="5">
        <v>15000</v>
      </c>
      <c r="F101" s="17">
        <v>29.4</v>
      </c>
      <c r="G101" s="17">
        <v>441000</v>
      </c>
      <c r="H101" s="1">
        <f t="shared" ca="1" si="2"/>
        <v>46207</v>
      </c>
      <c r="I101" s="5">
        <f>IFERROR(VLOOKUP(A101,'[1]Consumo SEMANA ENEA'!$F:$EM,138,0),0)</f>
        <v>1200</v>
      </c>
      <c r="J101" s="2" t="str">
        <f>IFERROR(VLOOKUP(A101,Hoja4!A:C,3,0),"")</f>
        <v>Etiquetas</v>
      </c>
      <c r="K101" s="9">
        <f t="shared" si="3"/>
        <v>12.5</v>
      </c>
      <c r="L101" s="6">
        <f>IFERROR(VLOOKUP(A101,'[1]Consumo SEMANA ENEA'!$F:$ES,144,0),0)</f>
        <v>1200</v>
      </c>
    </row>
    <row r="102" spans="1:12" x14ac:dyDescent="0.3">
      <c r="A102" s="2">
        <v>405206</v>
      </c>
      <c r="B102" s="2" t="s">
        <v>97</v>
      </c>
      <c r="C102" s="2" t="s">
        <v>1</v>
      </c>
      <c r="D102" s="2" t="s">
        <v>2</v>
      </c>
      <c r="E102" s="5">
        <v>15000</v>
      </c>
      <c r="F102" s="17">
        <v>29.4</v>
      </c>
      <c r="G102" s="17">
        <v>441000</v>
      </c>
      <c r="H102" s="1">
        <f t="shared" ca="1" si="2"/>
        <v>46207</v>
      </c>
      <c r="I102" s="5">
        <f>IFERROR(VLOOKUP(A102,'[1]Consumo SEMANA ENEA'!$F:$EM,138,0),0)</f>
        <v>2619.0476190476193</v>
      </c>
      <c r="J102" s="2" t="str">
        <f>IFERROR(VLOOKUP(A102,Hoja4!A:C,3,0),"")</f>
        <v>Etiquetas</v>
      </c>
      <c r="K102" s="9">
        <f t="shared" si="3"/>
        <v>5.7272727272727266</v>
      </c>
      <c r="L102" s="6">
        <f>IFERROR(VLOOKUP(A102,'[1]Consumo SEMANA ENEA'!$F:$ES,144,0),0)</f>
        <v>2619.0476190476193</v>
      </c>
    </row>
    <row r="103" spans="1:12" x14ac:dyDescent="0.3">
      <c r="A103" s="2">
        <v>405205</v>
      </c>
      <c r="B103" s="2" t="s">
        <v>98</v>
      </c>
      <c r="C103" s="2" t="s">
        <v>1</v>
      </c>
      <c r="D103" s="2" t="s">
        <v>2</v>
      </c>
      <c r="E103" s="5">
        <v>10000</v>
      </c>
      <c r="F103" s="17">
        <v>29.4</v>
      </c>
      <c r="G103" s="17">
        <v>294000</v>
      </c>
      <c r="H103" s="1">
        <f t="shared" ca="1" si="2"/>
        <v>46207</v>
      </c>
      <c r="I103" s="5">
        <f>IFERROR(VLOOKUP(A103,'[1]Consumo SEMANA ENEA'!$F:$EM,138,0),0)</f>
        <v>7476.1904761904761</v>
      </c>
      <c r="J103" s="2" t="str">
        <f>IFERROR(VLOOKUP(A103,Hoja4!A:C,3,0),"")</f>
        <v>Etiquetas</v>
      </c>
      <c r="K103" s="9">
        <f t="shared" si="3"/>
        <v>1.3375796178343948</v>
      </c>
      <c r="L103" s="6">
        <f>IFERROR(VLOOKUP(A103,'[1]Consumo SEMANA ENEA'!$F:$ES,144,0),0)</f>
        <v>7476.1904761904761</v>
      </c>
    </row>
    <row r="104" spans="1:12" x14ac:dyDescent="0.3">
      <c r="A104" s="2">
        <v>405127</v>
      </c>
      <c r="B104" s="2" t="s">
        <v>99</v>
      </c>
      <c r="C104" s="2" t="s">
        <v>1</v>
      </c>
      <c r="D104" s="2" t="s">
        <v>2</v>
      </c>
      <c r="E104" s="5">
        <v>10000</v>
      </c>
      <c r="F104" s="17">
        <v>22.7</v>
      </c>
      <c r="G104" s="17">
        <v>227000</v>
      </c>
      <c r="H104" s="1">
        <f t="shared" ca="1" si="2"/>
        <v>46207</v>
      </c>
      <c r="I104" s="5">
        <f>IFERROR(VLOOKUP(A104,'[1]Consumo SEMANA ENEA'!$F:$EM,138,0),0)</f>
        <v>4047.6190476190477</v>
      </c>
      <c r="J104" s="2" t="str">
        <f>IFERROR(VLOOKUP(A104,Hoja4!A:C,3,0),"")</f>
        <v>Etiquetas</v>
      </c>
      <c r="K104" s="9">
        <f t="shared" si="3"/>
        <v>2.4705882352941178</v>
      </c>
      <c r="L104" s="6">
        <f>IFERROR(VLOOKUP(A104,'[1]Consumo SEMANA ENEA'!$F:$ES,144,0),0)</f>
        <v>4047.6190476190477</v>
      </c>
    </row>
    <row r="105" spans="1:12" x14ac:dyDescent="0.3">
      <c r="A105" s="2">
        <v>405160</v>
      </c>
      <c r="B105" s="2" t="s">
        <v>100</v>
      </c>
      <c r="C105" s="2" t="s">
        <v>1</v>
      </c>
      <c r="D105" s="2" t="s">
        <v>2</v>
      </c>
      <c r="E105" s="5">
        <v>10000</v>
      </c>
      <c r="F105" s="17">
        <v>16.16</v>
      </c>
      <c r="G105" s="17">
        <v>161600</v>
      </c>
      <c r="H105" s="1">
        <f t="shared" ca="1" si="2"/>
        <v>46207</v>
      </c>
      <c r="I105" s="5">
        <f>IFERROR(VLOOKUP(A105,'[1]Consumo SEMANA ENEA'!$F:$EM,138,0),0)</f>
        <v>6666.666666666667</v>
      </c>
      <c r="J105" s="2" t="str">
        <f>IFERROR(VLOOKUP(A105,Hoja4!A:C,3,0),"")</f>
        <v>Etiquetas</v>
      </c>
      <c r="K105" s="9">
        <f t="shared" si="3"/>
        <v>1.5</v>
      </c>
      <c r="L105" s="6">
        <f>IFERROR(VLOOKUP(A105,'[1]Consumo SEMANA ENEA'!$F:$ES,144,0),0)</f>
        <v>6666.6666666666661</v>
      </c>
    </row>
    <row r="106" spans="1:12" x14ac:dyDescent="0.3">
      <c r="A106" s="2">
        <v>404719</v>
      </c>
      <c r="B106" s="2" t="s">
        <v>102</v>
      </c>
      <c r="C106" s="2" t="s">
        <v>1</v>
      </c>
      <c r="D106" s="2" t="s">
        <v>2</v>
      </c>
      <c r="E106" s="5">
        <v>18000</v>
      </c>
      <c r="F106" s="17">
        <v>15.86</v>
      </c>
      <c r="G106" s="17">
        <v>285480</v>
      </c>
      <c r="H106" s="1">
        <f t="shared" ca="1" si="2"/>
        <v>46207</v>
      </c>
      <c r="I106" s="5">
        <f>IFERROR(VLOOKUP(A106,'[1]Consumo SEMANA ENEA'!$F:$EM,138,0),0)</f>
        <v>0</v>
      </c>
      <c r="J106" s="2" t="str">
        <f>IFERROR(VLOOKUP(A106,Hoja4!A:C,3,0),"")</f>
        <v>Etiquetas</v>
      </c>
      <c r="K106" s="9">
        <f t="shared" si="3"/>
        <v>0</v>
      </c>
      <c r="L106" s="6">
        <f>IFERROR(VLOOKUP(A106,'[1]Consumo SEMANA ENEA'!$F:$ES,144,0),0)</f>
        <v>0</v>
      </c>
    </row>
    <row r="107" spans="1:12" x14ac:dyDescent="0.3">
      <c r="A107" s="2">
        <v>404718</v>
      </c>
      <c r="B107" s="2" t="s">
        <v>103</v>
      </c>
      <c r="C107" s="2" t="s">
        <v>1</v>
      </c>
      <c r="D107" s="2" t="s">
        <v>2</v>
      </c>
      <c r="E107" s="5">
        <v>5000</v>
      </c>
      <c r="F107" s="17">
        <v>7.9</v>
      </c>
      <c r="G107" s="17">
        <v>39500</v>
      </c>
      <c r="H107" s="1">
        <f t="shared" ca="1" si="2"/>
        <v>46207</v>
      </c>
      <c r="I107" s="5">
        <f>IFERROR(VLOOKUP(A107,'[1]Consumo SEMANA ENEA'!$F:$EM,138,0),0)</f>
        <v>3125</v>
      </c>
      <c r="J107" s="2" t="str">
        <f>IFERROR(VLOOKUP(A107,Hoja4!A:C,3,0),"")</f>
        <v>Etiquetas</v>
      </c>
      <c r="K107" s="9">
        <f t="shared" si="3"/>
        <v>1.6</v>
      </c>
      <c r="L107" s="6">
        <f>IFERROR(VLOOKUP(A107,'[1]Consumo SEMANA ENEA'!$F:$ES,144,0),0)</f>
        <v>3125</v>
      </c>
    </row>
    <row r="108" spans="1:12" x14ac:dyDescent="0.3">
      <c r="A108" s="2">
        <v>405159</v>
      </c>
      <c r="B108" s="2" t="s">
        <v>104</v>
      </c>
      <c r="C108" s="2" t="s">
        <v>1</v>
      </c>
      <c r="D108" s="2" t="s">
        <v>2</v>
      </c>
      <c r="E108" s="5">
        <v>4000</v>
      </c>
      <c r="F108" s="17">
        <v>14.78</v>
      </c>
      <c r="G108" s="17">
        <v>59120</v>
      </c>
      <c r="H108" s="1">
        <f t="shared" ca="1" si="2"/>
        <v>46207</v>
      </c>
      <c r="I108" s="5">
        <f>IFERROR(VLOOKUP(A108,'[1]Consumo SEMANA ENEA'!$F:$EM,138,0),0)</f>
        <v>3500</v>
      </c>
      <c r="J108" s="2" t="str">
        <f>IFERROR(VLOOKUP(A108,Hoja4!A:C,3,0),"")</f>
        <v>Etiquetas</v>
      </c>
      <c r="K108" s="9">
        <f t="shared" si="3"/>
        <v>1.1428571428571428</v>
      </c>
      <c r="L108" s="6">
        <f>IFERROR(VLOOKUP(A108,'[1]Consumo SEMANA ENEA'!$F:$ES,144,0),0)</f>
        <v>3500</v>
      </c>
    </row>
    <row r="109" spans="1:12" x14ac:dyDescent="0.3">
      <c r="A109" s="2">
        <v>405103</v>
      </c>
      <c r="B109" s="2" t="s">
        <v>105</v>
      </c>
      <c r="C109" s="2" t="s">
        <v>1</v>
      </c>
      <c r="D109" s="2" t="s">
        <v>2</v>
      </c>
      <c r="E109" s="5">
        <v>105000</v>
      </c>
      <c r="F109" s="17">
        <v>15.7</v>
      </c>
      <c r="G109" s="17">
        <v>1648500</v>
      </c>
      <c r="H109" s="1">
        <f t="shared" ca="1" si="2"/>
        <v>46207</v>
      </c>
      <c r="I109" s="5">
        <f>IFERROR(VLOOKUP(A109,'[1]Consumo SEMANA ENEA'!$F:$EM,138,0),0)</f>
        <v>93458.333333333328</v>
      </c>
      <c r="J109" s="2" t="str">
        <f>IFERROR(VLOOKUP(A109,Hoja4!A:C,3,0),"")</f>
        <v>Etiquetas</v>
      </c>
      <c r="K109" s="9">
        <f t="shared" si="3"/>
        <v>1.1234953187695051</v>
      </c>
      <c r="L109" s="6">
        <f>IFERROR(VLOOKUP(A109,'[1]Consumo SEMANA ENEA'!$F:$ES,144,0),0)</f>
        <v>93458.333333333328</v>
      </c>
    </row>
    <row r="110" spans="1:12" x14ac:dyDescent="0.3">
      <c r="A110" s="2">
        <v>404722</v>
      </c>
      <c r="B110" s="2" t="s">
        <v>106</v>
      </c>
      <c r="C110" s="2" t="s">
        <v>1</v>
      </c>
      <c r="D110" s="2" t="s">
        <v>2</v>
      </c>
      <c r="E110" s="5">
        <v>220000</v>
      </c>
      <c r="F110" s="17">
        <v>2.72</v>
      </c>
      <c r="G110" s="17">
        <v>598400</v>
      </c>
      <c r="H110" s="1">
        <f t="shared" ca="1" si="2"/>
        <v>46207</v>
      </c>
      <c r="I110" s="5">
        <f>IFERROR(VLOOKUP(A110,'[1]Consumo SEMANA ENEA'!$F:$EM,138,0),0)</f>
        <v>125000</v>
      </c>
      <c r="J110" s="2" t="str">
        <f>IFERROR(VLOOKUP(A110,Hoja4!A:C,3,0),"")</f>
        <v>Etiquetas</v>
      </c>
      <c r="K110" s="9">
        <f t="shared" si="3"/>
        <v>1.76</v>
      </c>
      <c r="L110" s="6">
        <f>IFERROR(VLOOKUP(A110,'[1]Consumo SEMANA ENEA'!$F:$ES,144,0),0)</f>
        <v>125000</v>
      </c>
    </row>
    <row r="111" spans="1:12" x14ac:dyDescent="0.3">
      <c r="A111" s="2">
        <v>404748</v>
      </c>
      <c r="B111" s="2" t="s">
        <v>107</v>
      </c>
      <c r="C111" s="2" t="s">
        <v>1</v>
      </c>
      <c r="D111" s="2" t="s">
        <v>2</v>
      </c>
      <c r="E111" s="5">
        <v>32000</v>
      </c>
      <c r="F111" s="17">
        <v>13.69</v>
      </c>
      <c r="G111" s="17">
        <v>438080</v>
      </c>
      <c r="H111" s="1">
        <f t="shared" ca="1" si="2"/>
        <v>46207</v>
      </c>
      <c r="I111" s="5">
        <f>IFERROR(VLOOKUP(A111,'[1]Consumo SEMANA ENEA'!$F:$EM,138,0),0)</f>
        <v>3368.4210526315787</v>
      </c>
      <c r="J111" s="2" t="str">
        <f>IFERROR(VLOOKUP(A111,Hoja4!A:C,3,0),"")</f>
        <v>Etiquetas</v>
      </c>
      <c r="K111" s="9">
        <f t="shared" si="3"/>
        <v>9.5</v>
      </c>
      <c r="L111" s="6">
        <f>IFERROR(VLOOKUP(A111,'[1]Consumo SEMANA ENEA'!$F:$ES,144,0),0)</f>
        <v>3368.4210526315783</v>
      </c>
    </row>
    <row r="112" spans="1:12" x14ac:dyDescent="0.3">
      <c r="A112" s="2">
        <v>405461</v>
      </c>
      <c r="B112" s="2" t="s">
        <v>108</v>
      </c>
      <c r="C112" s="2" t="s">
        <v>1</v>
      </c>
      <c r="D112" s="2" t="s">
        <v>2</v>
      </c>
      <c r="E112" s="5">
        <v>15000</v>
      </c>
      <c r="F112" s="17">
        <v>5</v>
      </c>
      <c r="G112" s="17">
        <v>75000</v>
      </c>
      <c r="H112" s="1">
        <f t="shared" ca="1" si="2"/>
        <v>46207</v>
      </c>
      <c r="I112" s="5">
        <f>IFERROR(VLOOKUP(A112,'[1]Consumo SEMANA ENEA'!$F:$EM,138,0),0)</f>
        <v>3333.3333333333335</v>
      </c>
      <c r="J112" s="2" t="str">
        <f>IFERROR(VLOOKUP(A112,Hoja4!A:C,3,0),"")</f>
        <v>Etiquetas</v>
      </c>
      <c r="K112" s="9">
        <f t="shared" si="3"/>
        <v>4.5</v>
      </c>
      <c r="L112" s="6">
        <f>IFERROR(VLOOKUP(A112,'[1]Consumo SEMANA ENEA'!$F:$ES,144,0),0)</f>
        <v>3333.333333333333</v>
      </c>
    </row>
    <row r="113" spans="1:12" x14ac:dyDescent="0.3">
      <c r="A113" s="2">
        <v>404736</v>
      </c>
      <c r="B113" s="2" t="s">
        <v>109</v>
      </c>
      <c r="C113" s="2" t="s">
        <v>1</v>
      </c>
      <c r="D113" s="2" t="s">
        <v>2</v>
      </c>
      <c r="E113" s="5">
        <v>6000</v>
      </c>
      <c r="F113" s="17">
        <v>17.170000000000002</v>
      </c>
      <c r="G113" s="17">
        <v>103020</v>
      </c>
      <c r="H113" s="1">
        <f t="shared" ca="1" si="2"/>
        <v>46207</v>
      </c>
      <c r="I113" s="5">
        <f>IFERROR(VLOOKUP(A113,'[1]Consumo SEMANA ENEA'!$F:$EM,138,0),0)</f>
        <v>1304.3478260869565</v>
      </c>
      <c r="J113" s="2" t="str">
        <f>IFERROR(VLOOKUP(A113,Hoja4!A:C,3,0),"")</f>
        <v>Etiquetas</v>
      </c>
      <c r="K113" s="9">
        <f t="shared" si="3"/>
        <v>4.5999999999999996</v>
      </c>
      <c r="L113" s="6">
        <f>IFERROR(VLOOKUP(A113,'[1]Consumo SEMANA ENEA'!$F:$ES,144,0),0)</f>
        <v>1304.3478260869565</v>
      </c>
    </row>
    <row r="114" spans="1:12" x14ac:dyDescent="0.3">
      <c r="A114" s="2">
        <v>404735</v>
      </c>
      <c r="B114" s="2" t="s">
        <v>110</v>
      </c>
      <c r="C114" s="2" t="s">
        <v>1</v>
      </c>
      <c r="D114" s="2" t="s">
        <v>2</v>
      </c>
      <c r="E114" s="5">
        <v>8000</v>
      </c>
      <c r="F114" s="17">
        <v>17.170000000000002</v>
      </c>
      <c r="G114" s="17">
        <v>137360</v>
      </c>
      <c r="H114" s="1">
        <f t="shared" ca="1" si="2"/>
        <v>46207</v>
      </c>
      <c r="I114" s="5">
        <f>IFERROR(VLOOKUP(A114,'[1]Consumo SEMANA ENEA'!$F:$EM,138,0),0)</f>
        <v>2350</v>
      </c>
      <c r="J114" s="2" t="str">
        <f>IFERROR(VLOOKUP(A114,Hoja4!A:C,3,0),"")</f>
        <v>Etiquetas</v>
      </c>
      <c r="K114" s="9">
        <f t="shared" si="3"/>
        <v>3.4042553191489362</v>
      </c>
      <c r="L114" s="6">
        <f>IFERROR(VLOOKUP(A114,'[1]Consumo SEMANA ENEA'!$F:$ES,144,0),0)</f>
        <v>2350</v>
      </c>
    </row>
    <row r="115" spans="1:12" x14ac:dyDescent="0.3">
      <c r="A115" s="2">
        <v>107227</v>
      </c>
      <c r="B115" s="2" t="s">
        <v>111</v>
      </c>
      <c r="C115" s="2" t="s">
        <v>1</v>
      </c>
      <c r="D115" s="2" t="s">
        <v>2</v>
      </c>
      <c r="E115" s="5">
        <v>5000</v>
      </c>
      <c r="F115" s="17">
        <v>22.7</v>
      </c>
      <c r="G115" s="17">
        <v>113500</v>
      </c>
      <c r="H115" s="1">
        <f t="shared" ca="1" si="2"/>
        <v>46207</v>
      </c>
      <c r="I115" s="5">
        <f>IFERROR(VLOOKUP(A115,'[1]Consumo SEMANA ENEA'!$F:$EM,138,0),0)</f>
        <v>2176.4705882352941</v>
      </c>
      <c r="J115" s="2" t="str">
        <f>IFERROR(VLOOKUP(A115,Hoja4!A:C,3,0),"")</f>
        <v>Etiquetas</v>
      </c>
      <c r="K115" s="9">
        <f t="shared" si="3"/>
        <v>2.2972972972972974</v>
      </c>
      <c r="L115" s="6">
        <f>IFERROR(VLOOKUP(A115,'[1]Consumo SEMANA ENEA'!$F:$ES,144,0),0)</f>
        <v>2176.4705882352941</v>
      </c>
    </row>
    <row r="116" spans="1:12" x14ac:dyDescent="0.3">
      <c r="A116" s="2">
        <v>107228</v>
      </c>
      <c r="B116" s="2" t="s">
        <v>112</v>
      </c>
      <c r="C116" s="2" t="s">
        <v>1</v>
      </c>
      <c r="D116" s="2" t="s">
        <v>2</v>
      </c>
      <c r="E116" s="5">
        <v>9000</v>
      </c>
      <c r="F116" s="17">
        <v>22.7</v>
      </c>
      <c r="G116" s="17">
        <v>204300</v>
      </c>
      <c r="H116" s="1">
        <f t="shared" ca="1" si="2"/>
        <v>46207</v>
      </c>
      <c r="I116" s="5">
        <f>IFERROR(VLOOKUP(A116,'[1]Consumo SEMANA ENEA'!$F:$EM,138,0),0)</f>
        <v>1692.3076923076924</v>
      </c>
      <c r="J116" s="2" t="str">
        <f>IFERROR(VLOOKUP(A116,Hoja4!A:C,3,0),"")</f>
        <v>Etiquetas</v>
      </c>
      <c r="K116" s="9">
        <f t="shared" si="3"/>
        <v>5.3181818181818183</v>
      </c>
      <c r="L116" s="6">
        <f>IFERROR(VLOOKUP(A116,'[1]Consumo SEMANA ENEA'!$F:$ES,144,0),0)</f>
        <v>1692.3076923076924</v>
      </c>
    </row>
    <row r="117" spans="1:12" x14ac:dyDescent="0.3">
      <c r="A117" s="2">
        <v>405798</v>
      </c>
      <c r="B117" s="2" t="s">
        <v>827</v>
      </c>
      <c r="C117" s="2" t="s">
        <v>1</v>
      </c>
      <c r="D117" s="2" t="s">
        <v>2</v>
      </c>
      <c r="E117" s="5">
        <v>10000</v>
      </c>
      <c r="F117" s="17">
        <v>22.7</v>
      </c>
      <c r="G117" s="17">
        <v>227000</v>
      </c>
      <c r="H117" s="1">
        <f t="shared" ca="1" si="2"/>
        <v>46207</v>
      </c>
      <c r="I117" s="5">
        <f>IFERROR(VLOOKUP(A117,'[1]Consumo SEMANA ENEA'!$F:$EM,138,0),0)</f>
        <v>0</v>
      </c>
      <c r="J117" s="2" t="str">
        <f>IFERROR(VLOOKUP(A117,Hoja4!A:C,3,0),"")</f>
        <v>Etiquetas</v>
      </c>
      <c r="K117" s="9">
        <f t="shared" si="3"/>
        <v>0</v>
      </c>
      <c r="L117" s="6">
        <f>IFERROR(VLOOKUP(A117,'[1]Consumo SEMANA ENEA'!$F:$ES,144,0),0)</f>
        <v>0</v>
      </c>
    </row>
    <row r="118" spans="1:12" x14ac:dyDescent="0.3">
      <c r="A118" s="2">
        <v>404737</v>
      </c>
      <c r="B118" s="2" t="s">
        <v>113</v>
      </c>
      <c r="C118" s="2" t="s">
        <v>1</v>
      </c>
      <c r="D118" s="2" t="s">
        <v>2</v>
      </c>
      <c r="E118" s="5">
        <v>7000</v>
      </c>
      <c r="F118" s="17">
        <v>22.7</v>
      </c>
      <c r="G118" s="17">
        <v>158900</v>
      </c>
      <c r="H118" s="1">
        <f t="shared" ca="1" si="2"/>
        <v>46207</v>
      </c>
      <c r="I118" s="5">
        <f>IFERROR(VLOOKUP(A118,'[1]Consumo SEMANA ENEA'!$F:$EM,138,0),0)</f>
        <v>5466.666666666667</v>
      </c>
      <c r="J118" s="2" t="str">
        <f>IFERROR(VLOOKUP(A118,Hoja4!A:C,3,0),"")</f>
        <v>Etiquetas</v>
      </c>
      <c r="K118" s="9">
        <f t="shared" si="3"/>
        <v>1.2804878048780488</v>
      </c>
      <c r="L118" s="6">
        <f>IFERROR(VLOOKUP(A118,'[1]Consumo SEMANA ENEA'!$F:$ES,144,0),0)</f>
        <v>5466.666666666667</v>
      </c>
    </row>
    <row r="119" spans="1:12" x14ac:dyDescent="0.3">
      <c r="A119" s="2">
        <v>404739</v>
      </c>
      <c r="B119" s="2" t="s">
        <v>114</v>
      </c>
      <c r="C119" s="2" t="s">
        <v>1</v>
      </c>
      <c r="D119" s="2" t="s">
        <v>2</v>
      </c>
      <c r="E119" s="5">
        <v>11000</v>
      </c>
      <c r="F119" s="17">
        <v>22.68</v>
      </c>
      <c r="G119" s="17">
        <v>249480</v>
      </c>
      <c r="H119" s="1">
        <f t="shared" ca="1" si="2"/>
        <v>46207</v>
      </c>
      <c r="I119" s="5">
        <f>IFERROR(VLOOKUP(A119,'[1]Consumo SEMANA ENEA'!$F:$EM,138,0),0)</f>
        <v>6333.333333333333</v>
      </c>
      <c r="J119" s="2" t="str">
        <f>IFERROR(VLOOKUP(A119,Hoja4!A:C,3,0),"")</f>
        <v>Etiquetas</v>
      </c>
      <c r="K119" s="9">
        <f t="shared" si="3"/>
        <v>1.736842105263158</v>
      </c>
      <c r="L119" s="6">
        <f>IFERROR(VLOOKUP(A119,'[1]Consumo SEMANA ENEA'!$F:$ES,144,0),0)</f>
        <v>6333.3333333333321</v>
      </c>
    </row>
    <row r="120" spans="1:12" x14ac:dyDescent="0.3">
      <c r="A120" s="2">
        <v>404745</v>
      </c>
      <c r="B120" s="2" t="s">
        <v>117</v>
      </c>
      <c r="C120" s="2" t="s">
        <v>1</v>
      </c>
      <c r="D120" s="2" t="s">
        <v>2</v>
      </c>
      <c r="E120" s="5">
        <v>12000</v>
      </c>
      <c r="F120" s="17">
        <v>17.170000000000002</v>
      </c>
      <c r="G120" s="17">
        <v>206040</v>
      </c>
      <c r="H120" s="1">
        <f t="shared" ca="1" si="2"/>
        <v>46207</v>
      </c>
      <c r="I120" s="5">
        <f>IFERROR(VLOOKUP(A120,'[1]Consumo SEMANA ENEA'!$F:$EM,138,0),0)</f>
        <v>2608.695652173913</v>
      </c>
      <c r="J120" s="2" t="str">
        <f>IFERROR(VLOOKUP(A120,Hoja4!A:C,3,0),"")</f>
        <v>Etiquetas</v>
      </c>
      <c r="K120" s="9">
        <f t="shared" si="3"/>
        <v>4.5999999999999996</v>
      </c>
      <c r="L120" s="6">
        <f>IFERROR(VLOOKUP(A120,'[1]Consumo SEMANA ENEA'!$F:$ES,144,0),0)</f>
        <v>2608.695652173913</v>
      </c>
    </row>
    <row r="121" spans="1:12" x14ac:dyDescent="0.3">
      <c r="A121" s="2">
        <v>393422</v>
      </c>
      <c r="B121" s="2" t="s">
        <v>118</v>
      </c>
      <c r="C121" s="2" t="s">
        <v>1</v>
      </c>
      <c r="D121" s="2" t="s">
        <v>2</v>
      </c>
      <c r="E121" s="5">
        <v>9000</v>
      </c>
      <c r="F121" s="17">
        <v>22.43</v>
      </c>
      <c r="G121" s="17">
        <v>201870</v>
      </c>
      <c r="H121" s="1">
        <f t="shared" ca="1" si="2"/>
        <v>46207</v>
      </c>
      <c r="I121" s="5">
        <f>IFERROR(VLOOKUP(A121,'[1]Consumo SEMANA ENEA'!$F:$EM,138,0),0)</f>
        <v>1222.2222222222222</v>
      </c>
      <c r="J121" s="2" t="str">
        <f>IFERROR(VLOOKUP(A121,Hoja4!A:C,3,0),"")</f>
        <v>Etiquetas</v>
      </c>
      <c r="K121" s="9">
        <f t="shared" si="3"/>
        <v>7.3636363636363642</v>
      </c>
      <c r="L121" s="6">
        <f>IFERROR(VLOOKUP(A121,'[1]Consumo SEMANA ENEA'!$F:$ES,144,0),0)</f>
        <v>1222.2222222222222</v>
      </c>
    </row>
    <row r="122" spans="1:12" x14ac:dyDescent="0.3">
      <c r="A122" s="2">
        <v>393421</v>
      </c>
      <c r="B122" s="2" t="s">
        <v>119</v>
      </c>
      <c r="C122" s="2" t="s">
        <v>1</v>
      </c>
      <c r="D122" s="2" t="s">
        <v>2</v>
      </c>
      <c r="E122" s="5">
        <v>5000</v>
      </c>
      <c r="F122" s="17">
        <v>22.62</v>
      </c>
      <c r="G122" s="17">
        <v>113100</v>
      </c>
      <c r="H122" s="1">
        <f t="shared" ca="1" si="2"/>
        <v>46207</v>
      </c>
      <c r="I122" s="5">
        <f>IFERROR(VLOOKUP(A122,'[1]Consumo SEMANA ENEA'!$F:$EM,138,0),0)</f>
        <v>1187.5</v>
      </c>
      <c r="J122" s="2" t="str">
        <f>IFERROR(VLOOKUP(A122,Hoja4!A:C,3,0),"")</f>
        <v>Etiquetas</v>
      </c>
      <c r="K122" s="9">
        <f t="shared" si="3"/>
        <v>4.2105263157894735</v>
      </c>
      <c r="L122" s="6">
        <f>IFERROR(VLOOKUP(A122,'[1]Consumo SEMANA ENEA'!$F:$ES,144,0),0)</f>
        <v>1187.5</v>
      </c>
    </row>
    <row r="123" spans="1:12" x14ac:dyDescent="0.3">
      <c r="A123" s="2">
        <v>405615</v>
      </c>
      <c r="B123" s="2" t="s">
        <v>120</v>
      </c>
      <c r="C123" s="2" t="s">
        <v>1</v>
      </c>
      <c r="D123" s="2" t="s">
        <v>2</v>
      </c>
      <c r="E123" s="5">
        <v>10000</v>
      </c>
      <c r="F123" s="17">
        <v>22.7</v>
      </c>
      <c r="G123" s="17">
        <v>227000</v>
      </c>
      <c r="H123" s="1">
        <f t="shared" ca="1" si="2"/>
        <v>46207</v>
      </c>
      <c r="I123" s="5">
        <f>IFERROR(VLOOKUP(A123,'[1]Consumo SEMANA ENEA'!$F:$EM,138,0),0)</f>
        <v>1200</v>
      </c>
      <c r="J123" s="2" t="str">
        <f>IFERROR(VLOOKUP(A123,Hoja4!A:C,3,0),"")</f>
        <v>Etiquetas</v>
      </c>
      <c r="K123" s="9">
        <f t="shared" si="3"/>
        <v>8.3333333333333339</v>
      </c>
      <c r="L123" s="6">
        <f>IFERROR(VLOOKUP(A123,'[1]Consumo SEMANA ENEA'!$F:$ES,144,0),0)</f>
        <v>1200</v>
      </c>
    </row>
    <row r="124" spans="1:12" x14ac:dyDescent="0.3">
      <c r="A124" s="2">
        <v>405553</v>
      </c>
      <c r="B124" s="2" t="s">
        <v>121</v>
      </c>
      <c r="C124" s="2" t="s">
        <v>1</v>
      </c>
      <c r="D124" s="2" t="s">
        <v>2</v>
      </c>
      <c r="E124" s="5">
        <v>6000</v>
      </c>
      <c r="F124" s="17">
        <v>25.34</v>
      </c>
      <c r="G124" s="17">
        <v>152040</v>
      </c>
      <c r="H124" s="1">
        <f t="shared" ca="1" si="2"/>
        <v>46207</v>
      </c>
      <c r="I124" s="5">
        <f>IFERROR(VLOOKUP(A124,'[1]Consumo SEMANA ENEA'!$F:$EM,138,0),0)</f>
        <v>2833.3333333333335</v>
      </c>
      <c r="J124" s="2" t="str">
        <f>IFERROR(VLOOKUP(A124,Hoja4!A:C,3,0),"")</f>
        <v>Etiquetas</v>
      </c>
      <c r="K124" s="9">
        <f t="shared" si="3"/>
        <v>2.1176470588235294</v>
      </c>
      <c r="L124" s="6">
        <f>IFERROR(VLOOKUP(A124,'[1]Consumo SEMANA ENEA'!$F:$ES,144,0),0)</f>
        <v>2833.3333333333335</v>
      </c>
    </row>
    <row r="125" spans="1:12" x14ac:dyDescent="0.3">
      <c r="A125" s="2">
        <v>393426</v>
      </c>
      <c r="B125" s="2" t="s">
        <v>122</v>
      </c>
      <c r="C125" s="2" t="s">
        <v>1</v>
      </c>
      <c r="D125" s="2" t="s">
        <v>2</v>
      </c>
      <c r="E125" s="5">
        <v>2000</v>
      </c>
      <c r="F125" s="17">
        <v>17.170000000000002</v>
      </c>
      <c r="G125" s="17">
        <v>34340</v>
      </c>
      <c r="H125" s="1">
        <f t="shared" ca="1" si="2"/>
        <v>46207</v>
      </c>
      <c r="I125" s="5">
        <f>IFERROR(VLOOKUP(A125,'[1]Consumo SEMANA ENEA'!$F:$EM,138,0),0)</f>
        <v>2294.1176470588234</v>
      </c>
      <c r="J125" s="2" t="str">
        <f>IFERROR(VLOOKUP(A125,Hoja4!A:C,3,0),"")</f>
        <v>Etiquetas</v>
      </c>
      <c r="K125" s="9">
        <f t="shared" si="3"/>
        <v>0.87179487179487181</v>
      </c>
      <c r="L125" s="6">
        <f>IFERROR(VLOOKUP(A125,'[1]Consumo SEMANA ENEA'!$F:$ES,144,0),0)</f>
        <v>2294.1176470588234</v>
      </c>
    </row>
    <row r="126" spans="1:12" x14ac:dyDescent="0.3">
      <c r="A126" s="2">
        <v>405552</v>
      </c>
      <c r="B126" s="2" t="s">
        <v>123</v>
      </c>
      <c r="C126" s="2" t="s">
        <v>1</v>
      </c>
      <c r="D126" s="2" t="s">
        <v>2</v>
      </c>
      <c r="E126" s="5">
        <v>8000</v>
      </c>
      <c r="F126" s="17">
        <v>22.7</v>
      </c>
      <c r="G126" s="17">
        <v>181600</v>
      </c>
      <c r="H126" s="1">
        <f t="shared" ca="1" si="2"/>
        <v>46207</v>
      </c>
      <c r="I126" s="5">
        <f>IFERROR(VLOOKUP(A126,'[1]Consumo SEMANA ENEA'!$F:$EM,138,0),0)</f>
        <v>0</v>
      </c>
      <c r="J126" s="2" t="str">
        <f>IFERROR(VLOOKUP(A126,Hoja4!A:C,3,0),"")</f>
        <v>Etiquetas</v>
      </c>
      <c r="K126" s="9">
        <f t="shared" si="3"/>
        <v>0</v>
      </c>
      <c r="L126" s="6">
        <f>IFERROR(VLOOKUP(A126,'[1]Consumo SEMANA ENEA'!$F:$ES,144,0),0)</f>
        <v>0</v>
      </c>
    </row>
    <row r="127" spans="1:12" x14ac:dyDescent="0.3">
      <c r="A127" s="2">
        <v>405378</v>
      </c>
      <c r="B127" s="2" t="s">
        <v>124</v>
      </c>
      <c r="C127" s="2" t="s">
        <v>1</v>
      </c>
      <c r="D127" s="2" t="s">
        <v>2</v>
      </c>
      <c r="E127" s="5">
        <v>9000</v>
      </c>
      <c r="F127" s="17">
        <v>22.7</v>
      </c>
      <c r="G127" s="17">
        <v>204300</v>
      </c>
      <c r="H127" s="1">
        <f t="shared" ca="1" si="2"/>
        <v>46207</v>
      </c>
      <c r="I127" s="5">
        <f>IFERROR(VLOOKUP(A127,'[1]Consumo SEMANA ENEA'!$F:$EM,138,0),0)</f>
        <v>0</v>
      </c>
      <c r="J127" s="2" t="str">
        <f>IFERROR(VLOOKUP(A127,Hoja4!A:C,3,0),"")</f>
        <v>Etiquetas</v>
      </c>
      <c r="K127" s="9">
        <f t="shared" si="3"/>
        <v>0</v>
      </c>
      <c r="L127" s="6">
        <f>IFERROR(VLOOKUP(A127,'[1]Consumo SEMANA ENEA'!$F:$ES,144,0),0)</f>
        <v>0</v>
      </c>
    </row>
    <row r="128" spans="1:12" x14ac:dyDescent="0.3">
      <c r="A128" s="2">
        <v>405128</v>
      </c>
      <c r="B128" s="2" t="s">
        <v>125</v>
      </c>
      <c r="C128" s="2" t="s">
        <v>1</v>
      </c>
      <c r="D128" s="2" t="s">
        <v>2</v>
      </c>
      <c r="E128" s="5">
        <v>10000</v>
      </c>
      <c r="F128" s="17">
        <v>20.7</v>
      </c>
      <c r="G128" s="17">
        <v>207000</v>
      </c>
      <c r="H128" s="1">
        <f t="shared" ca="1" si="2"/>
        <v>46207</v>
      </c>
      <c r="I128" s="5">
        <f>IFERROR(VLOOKUP(A128,'[1]Consumo SEMANA ENEA'!$F:$EM,138,0),0)</f>
        <v>6800</v>
      </c>
      <c r="J128" s="2" t="str">
        <f>IFERROR(VLOOKUP(A128,Hoja4!A:C,3,0),"")</f>
        <v>Etiquetas</v>
      </c>
      <c r="K128" s="9">
        <f t="shared" si="3"/>
        <v>1.4705882352941178</v>
      </c>
      <c r="L128" s="6">
        <f>IFERROR(VLOOKUP(A128,'[1]Consumo SEMANA ENEA'!$F:$ES,144,0),0)</f>
        <v>6800</v>
      </c>
    </row>
    <row r="129" spans="1:12" x14ac:dyDescent="0.3">
      <c r="A129" s="2">
        <v>405377</v>
      </c>
      <c r="B129" s="2" t="s">
        <v>126</v>
      </c>
      <c r="C129" s="2" t="s">
        <v>1</v>
      </c>
      <c r="D129" s="2" t="s">
        <v>2</v>
      </c>
      <c r="E129" s="5">
        <v>11000</v>
      </c>
      <c r="F129" s="17">
        <v>22.7</v>
      </c>
      <c r="G129" s="17">
        <v>249700</v>
      </c>
      <c r="H129" s="1">
        <f t="shared" ca="1" si="2"/>
        <v>46207</v>
      </c>
      <c r="I129" s="5">
        <f>IFERROR(VLOOKUP(A129,'[1]Consumo SEMANA ENEA'!$F:$EM,138,0),0)</f>
        <v>5111.1111111111113</v>
      </c>
      <c r="J129" s="2" t="str">
        <f>IFERROR(VLOOKUP(A129,Hoja4!A:C,3,0),"")</f>
        <v>Etiquetas</v>
      </c>
      <c r="K129" s="9">
        <f t="shared" si="3"/>
        <v>2.152173913043478</v>
      </c>
      <c r="L129" s="6">
        <f>IFERROR(VLOOKUP(A129,'[1]Consumo SEMANA ENEA'!$F:$ES,144,0),0)</f>
        <v>5111.1111111111113</v>
      </c>
    </row>
    <row r="130" spans="1:12" x14ac:dyDescent="0.3">
      <c r="A130" s="2">
        <v>393423</v>
      </c>
      <c r="B130" s="2" t="s">
        <v>127</v>
      </c>
      <c r="C130" s="2" t="s">
        <v>1</v>
      </c>
      <c r="D130" s="2" t="s">
        <v>2</v>
      </c>
      <c r="E130" s="5">
        <v>8000</v>
      </c>
      <c r="F130" s="17">
        <v>22.7</v>
      </c>
      <c r="G130" s="17">
        <v>181600</v>
      </c>
      <c r="H130" s="1">
        <f t="shared" ca="1" si="2"/>
        <v>46207</v>
      </c>
      <c r="I130" s="5">
        <f>IFERROR(VLOOKUP(A130,'[1]Consumo SEMANA ENEA'!$F:$EM,138,0),0)</f>
        <v>1733.3333333333333</v>
      </c>
      <c r="J130" s="2" t="str">
        <f>IFERROR(VLOOKUP(A130,Hoja4!A:C,3,0),"")</f>
        <v>Etiquetas</v>
      </c>
      <c r="K130" s="9">
        <f t="shared" si="3"/>
        <v>4.6153846153846159</v>
      </c>
      <c r="L130" s="6">
        <f>IFERROR(VLOOKUP(A130,'[1]Consumo SEMANA ENEA'!$F:$ES,144,0),0)</f>
        <v>1733.333333333333</v>
      </c>
    </row>
    <row r="131" spans="1:12" x14ac:dyDescent="0.3">
      <c r="A131" s="2">
        <v>405554</v>
      </c>
      <c r="B131" s="2" t="s">
        <v>128</v>
      </c>
      <c r="C131" s="2" t="s">
        <v>1</v>
      </c>
      <c r="D131" s="2" t="s">
        <v>2</v>
      </c>
      <c r="E131" s="5">
        <v>10000</v>
      </c>
      <c r="F131" s="17">
        <v>26</v>
      </c>
      <c r="G131" s="17">
        <v>260000</v>
      </c>
      <c r="H131" s="1">
        <f t="shared" ref="H131:H194" ca="1" si="4">TODAY()</f>
        <v>46207</v>
      </c>
      <c r="I131" s="5">
        <f>IFERROR(VLOOKUP(A131,'[1]Consumo SEMANA ENEA'!$F:$EM,138,0),0)</f>
        <v>1000</v>
      </c>
      <c r="J131" s="2" t="str">
        <f>IFERROR(VLOOKUP(A131,Hoja4!A:C,3,0),"")</f>
        <v>Etiquetas</v>
      </c>
      <c r="K131" s="9">
        <f t="shared" ref="K131:K194" si="5">IFERROR(+E131/I131,0)</f>
        <v>10</v>
      </c>
      <c r="L131" s="6">
        <f>IFERROR(VLOOKUP(A131,'[1]Consumo SEMANA ENEA'!$F:$ES,144,0),0)</f>
        <v>1000</v>
      </c>
    </row>
    <row r="132" spans="1:12" x14ac:dyDescent="0.3">
      <c r="A132" s="2">
        <v>405376</v>
      </c>
      <c r="B132" s="2" t="s">
        <v>129</v>
      </c>
      <c r="C132" s="2" t="s">
        <v>1</v>
      </c>
      <c r="D132" s="2" t="s">
        <v>2</v>
      </c>
      <c r="E132" s="5">
        <v>10000</v>
      </c>
      <c r="F132" s="17">
        <v>22.7</v>
      </c>
      <c r="G132" s="17">
        <v>227000</v>
      </c>
      <c r="H132" s="1">
        <f t="shared" ca="1" si="4"/>
        <v>46207</v>
      </c>
      <c r="I132" s="5">
        <f>IFERROR(VLOOKUP(A132,'[1]Consumo SEMANA ENEA'!$F:$EM,138,0),0)</f>
        <v>4583.333333333333</v>
      </c>
      <c r="J132" s="2" t="str">
        <f>IFERROR(VLOOKUP(A132,Hoja4!A:C,3,0),"")</f>
        <v>Etiquetas</v>
      </c>
      <c r="K132" s="9">
        <f t="shared" si="5"/>
        <v>2.1818181818181821</v>
      </c>
      <c r="L132" s="6">
        <f>IFERROR(VLOOKUP(A132,'[1]Consumo SEMANA ENEA'!$F:$ES,144,0),0)</f>
        <v>4583.333333333333</v>
      </c>
    </row>
    <row r="133" spans="1:12" x14ac:dyDescent="0.3">
      <c r="A133" s="2">
        <v>393425</v>
      </c>
      <c r="B133" s="2" t="s">
        <v>130</v>
      </c>
      <c r="C133" s="2" t="s">
        <v>1</v>
      </c>
      <c r="D133" s="2" t="s">
        <v>2</v>
      </c>
      <c r="E133" s="5">
        <v>2000</v>
      </c>
      <c r="F133" s="17">
        <v>22.27</v>
      </c>
      <c r="G133" s="17">
        <v>44540</v>
      </c>
      <c r="H133" s="1">
        <f t="shared" ca="1" si="4"/>
        <v>46207</v>
      </c>
      <c r="I133" s="5">
        <f>IFERROR(VLOOKUP(A133,'[1]Consumo SEMANA ENEA'!$F:$EM,138,0),0)</f>
        <v>1272.7272727272727</v>
      </c>
      <c r="J133" s="2" t="s">
        <v>361</v>
      </c>
      <c r="K133" s="9">
        <f t="shared" si="5"/>
        <v>1.5714285714285714</v>
      </c>
      <c r="L133" s="6">
        <f>IFERROR(VLOOKUP(A133,'[1]Consumo SEMANA ENEA'!$F:$ES,144,0),0)</f>
        <v>1272.7272727272727</v>
      </c>
    </row>
    <row r="134" spans="1:12" x14ac:dyDescent="0.3">
      <c r="A134" s="2">
        <v>405614</v>
      </c>
      <c r="B134" s="2" t="s">
        <v>731</v>
      </c>
      <c r="C134" s="2" t="s">
        <v>1</v>
      </c>
      <c r="D134" s="2" t="s">
        <v>2</v>
      </c>
      <c r="E134" s="5">
        <v>2000</v>
      </c>
      <c r="F134" s="17">
        <v>22.7</v>
      </c>
      <c r="G134" s="17">
        <v>45400</v>
      </c>
      <c r="H134" s="1">
        <f t="shared" ca="1" si="4"/>
        <v>46207</v>
      </c>
      <c r="I134" s="5">
        <f>IFERROR(VLOOKUP(A134,'[1]Consumo SEMANA ENEA'!$F:$EM,138,0),0)</f>
        <v>1777.7777777777778</v>
      </c>
      <c r="J134" s="2" t="s">
        <v>361</v>
      </c>
      <c r="K134" s="9">
        <f t="shared" si="5"/>
        <v>1.125</v>
      </c>
      <c r="L134" s="6">
        <f>IFERROR(VLOOKUP(A134,'[1]Consumo SEMANA ENEA'!$F:$ES,144,0),0)</f>
        <v>1777.7777777777778</v>
      </c>
    </row>
    <row r="135" spans="1:12" x14ac:dyDescent="0.3">
      <c r="A135" s="2">
        <v>107266</v>
      </c>
      <c r="B135" s="2" t="s">
        <v>131</v>
      </c>
      <c r="C135" s="2" t="s">
        <v>1</v>
      </c>
      <c r="D135" s="2" t="s">
        <v>2</v>
      </c>
      <c r="E135" s="5">
        <v>6000</v>
      </c>
      <c r="F135" s="17">
        <v>13.65</v>
      </c>
      <c r="G135" s="17">
        <v>81900</v>
      </c>
      <c r="H135" s="1">
        <f t="shared" ca="1" si="4"/>
        <v>46207</v>
      </c>
      <c r="I135" s="5">
        <f>IFERROR(VLOOKUP(A135,'[1]Consumo SEMANA ENEA'!$F:$EM,138,0),0)</f>
        <v>3000</v>
      </c>
      <c r="J135" s="2" t="s">
        <v>361</v>
      </c>
      <c r="K135" s="9">
        <f t="shared" si="5"/>
        <v>2</v>
      </c>
      <c r="L135" s="6">
        <f>IFERROR(VLOOKUP(A135,'[1]Consumo SEMANA ENEA'!$F:$ES,144,0),0)</f>
        <v>3000</v>
      </c>
    </row>
    <row r="136" spans="1:12" x14ac:dyDescent="0.3">
      <c r="A136" s="2">
        <v>405111</v>
      </c>
      <c r="B136" s="2" t="s">
        <v>509</v>
      </c>
      <c r="C136" s="2" t="s">
        <v>1</v>
      </c>
      <c r="D136" s="2" t="s">
        <v>2</v>
      </c>
      <c r="E136" s="5">
        <v>5000</v>
      </c>
      <c r="F136" s="17">
        <v>17.170000000000002</v>
      </c>
      <c r="G136" s="17">
        <v>85850</v>
      </c>
      <c r="H136" s="1">
        <f t="shared" ca="1" si="4"/>
        <v>46207</v>
      </c>
      <c r="I136" s="5">
        <f>IFERROR(VLOOKUP(A136,'[1]Consumo SEMANA ENEA'!$F:$EM,138,0),0)</f>
        <v>3571.4285714285716</v>
      </c>
      <c r="J136" s="2" t="str">
        <f>IFERROR(VLOOKUP(A136,Hoja4!A:C,3,0),"")</f>
        <v>Etiquetas</v>
      </c>
      <c r="K136" s="9">
        <f t="shared" si="5"/>
        <v>1.4</v>
      </c>
      <c r="L136" s="6">
        <f>IFERROR(VLOOKUP(A136,'[1]Consumo SEMANA ENEA'!$F:$ES,144,0),0)</f>
        <v>3571.4285714285716</v>
      </c>
    </row>
    <row r="137" spans="1:12" x14ac:dyDescent="0.3">
      <c r="A137" s="2">
        <v>405809</v>
      </c>
      <c r="B137" s="2" t="s">
        <v>833</v>
      </c>
      <c r="C137" s="2" t="s">
        <v>1</v>
      </c>
      <c r="D137" s="2" t="s">
        <v>2</v>
      </c>
      <c r="E137" s="5">
        <v>4000</v>
      </c>
      <c r="F137" s="17">
        <v>17.16</v>
      </c>
      <c r="G137" s="17">
        <v>68640</v>
      </c>
      <c r="H137" s="1">
        <f t="shared" ca="1" si="4"/>
        <v>46207</v>
      </c>
      <c r="I137" s="5">
        <f>IFERROR(VLOOKUP(A137,'[1]Consumo SEMANA ENEA'!$F:$EM,138,0),0)</f>
        <v>0</v>
      </c>
      <c r="J137" s="2" t="str">
        <f>IFERROR(VLOOKUP(A137,Hoja4!A:C,3,0),"")</f>
        <v/>
      </c>
      <c r="K137" s="9">
        <f t="shared" si="5"/>
        <v>0</v>
      </c>
      <c r="L137" s="6">
        <f>IFERROR(VLOOKUP(A137,'[1]Consumo SEMANA ENEA'!$F:$ES,144,0),0)</f>
        <v>0</v>
      </c>
    </row>
    <row r="138" spans="1:12" x14ac:dyDescent="0.3">
      <c r="A138" s="2">
        <v>405810</v>
      </c>
      <c r="B138" s="2" t="s">
        <v>834</v>
      </c>
      <c r="C138" s="2" t="s">
        <v>1</v>
      </c>
      <c r="D138" s="2" t="s">
        <v>2</v>
      </c>
      <c r="E138" s="5">
        <v>6000</v>
      </c>
      <c r="F138" s="17">
        <v>17.16</v>
      </c>
      <c r="G138" s="17">
        <v>102960</v>
      </c>
      <c r="H138" s="1">
        <f t="shared" ca="1" si="4"/>
        <v>46207</v>
      </c>
      <c r="I138" s="5">
        <f>IFERROR(VLOOKUP(A138,'[1]Consumo SEMANA ENEA'!$F:$EM,138,0),0)</f>
        <v>0</v>
      </c>
      <c r="J138" s="2" t="str">
        <f>IFERROR(VLOOKUP(A138,Hoja4!A:C,3,0),"")</f>
        <v/>
      </c>
      <c r="K138" s="9">
        <f t="shared" si="5"/>
        <v>0</v>
      </c>
      <c r="L138" s="6">
        <f>IFERROR(VLOOKUP(A138,'[1]Consumo SEMANA ENEA'!$F:$ES,144,0),0)</f>
        <v>0</v>
      </c>
    </row>
    <row r="139" spans="1:12" x14ac:dyDescent="0.3">
      <c r="A139" s="2">
        <v>405808</v>
      </c>
      <c r="B139" s="2" t="s">
        <v>835</v>
      </c>
      <c r="C139" s="2" t="s">
        <v>1</v>
      </c>
      <c r="D139" s="2" t="s">
        <v>2</v>
      </c>
      <c r="E139" s="5">
        <v>6000</v>
      </c>
      <c r="F139" s="17">
        <v>17.16</v>
      </c>
      <c r="G139" s="17">
        <v>102960</v>
      </c>
      <c r="H139" s="1">
        <f t="shared" ca="1" si="4"/>
        <v>46207</v>
      </c>
      <c r="I139" s="5">
        <f>IFERROR(VLOOKUP(A139,'[1]Consumo SEMANA ENEA'!$F:$EM,138,0),0)</f>
        <v>0</v>
      </c>
      <c r="J139" s="2" t="str">
        <f>IFERROR(VLOOKUP(A139,Hoja4!A:C,3,0),"")</f>
        <v/>
      </c>
      <c r="K139" s="9">
        <f t="shared" si="5"/>
        <v>0</v>
      </c>
      <c r="L139" s="6">
        <f>IFERROR(VLOOKUP(A139,'[1]Consumo SEMANA ENEA'!$F:$ES,144,0),0)</f>
        <v>0</v>
      </c>
    </row>
    <row r="140" spans="1:12" x14ac:dyDescent="0.3">
      <c r="A140" s="2">
        <v>405310</v>
      </c>
      <c r="B140" s="2" t="s">
        <v>132</v>
      </c>
      <c r="C140" s="2" t="s">
        <v>1</v>
      </c>
      <c r="D140" s="2" t="s">
        <v>2</v>
      </c>
      <c r="E140" s="5">
        <v>100000</v>
      </c>
      <c r="F140" s="17">
        <v>8</v>
      </c>
      <c r="G140" s="17">
        <v>800000</v>
      </c>
      <c r="H140" s="1">
        <f t="shared" ca="1" si="4"/>
        <v>46207</v>
      </c>
      <c r="I140" s="5">
        <f>IFERROR(VLOOKUP(A140,'[1]Consumo SEMANA ENEA'!$F:$EM,138,0),0)</f>
        <v>2428.5714285714284</v>
      </c>
      <c r="J140" s="2" t="str">
        <f>IFERROR(VLOOKUP(A140,Hoja4!A:C,3,0),"")</f>
        <v>Etiquetas</v>
      </c>
      <c r="K140" s="9">
        <f t="shared" si="5"/>
        <v>41.176470588235297</v>
      </c>
      <c r="L140" s="6">
        <f>IFERROR(VLOOKUP(A140,'[1]Consumo SEMANA ENEA'!$F:$ES,144,0),0)</f>
        <v>2428.5714285714284</v>
      </c>
    </row>
    <row r="141" spans="1:12" x14ac:dyDescent="0.3">
      <c r="A141" s="2">
        <v>405108</v>
      </c>
      <c r="B141" s="2" t="s">
        <v>133</v>
      </c>
      <c r="C141" s="2" t="s">
        <v>1</v>
      </c>
      <c r="D141" s="2" t="s">
        <v>2</v>
      </c>
      <c r="E141" s="5">
        <v>7000</v>
      </c>
      <c r="F141" s="17">
        <v>22.7</v>
      </c>
      <c r="G141" s="17">
        <v>158900</v>
      </c>
      <c r="H141" s="1">
        <f t="shared" ca="1" si="4"/>
        <v>46207</v>
      </c>
      <c r="I141" s="5">
        <f>IFERROR(VLOOKUP(A141,'[1]Consumo SEMANA ENEA'!$F:$EM,138,0),0)</f>
        <v>4000</v>
      </c>
      <c r="J141" s="2" t="str">
        <f>IFERROR(VLOOKUP(A141,Hoja4!A:C,3,0),"")</f>
        <v>Etiquetas</v>
      </c>
      <c r="K141" s="9">
        <f t="shared" si="5"/>
        <v>1.75</v>
      </c>
      <c r="L141" s="6">
        <f>IFERROR(VLOOKUP(A141,'[1]Consumo SEMANA ENEA'!$F:$ES,144,0),0)</f>
        <v>4000</v>
      </c>
    </row>
    <row r="142" spans="1:12" x14ac:dyDescent="0.3">
      <c r="A142" s="2">
        <v>405644</v>
      </c>
      <c r="B142" s="2" t="s">
        <v>134</v>
      </c>
      <c r="C142" s="2" t="s">
        <v>1</v>
      </c>
      <c r="D142" s="2" t="s">
        <v>2</v>
      </c>
      <c r="E142" s="5">
        <v>4000</v>
      </c>
      <c r="F142" s="17">
        <v>22.7</v>
      </c>
      <c r="G142" s="17">
        <v>90800</v>
      </c>
      <c r="H142" s="1">
        <f t="shared" ca="1" si="4"/>
        <v>46207</v>
      </c>
      <c r="I142" s="5">
        <f>IFERROR(VLOOKUP(A142,'[1]Consumo SEMANA ENEA'!$F:$EM,138,0),0)</f>
        <v>1285.7142857142858</v>
      </c>
      <c r="J142" s="2" t="str">
        <f>IFERROR(VLOOKUP(A142,Hoja4!A:C,3,0),"")</f>
        <v>Etiquetas</v>
      </c>
      <c r="K142" s="9">
        <f t="shared" si="5"/>
        <v>3.1111111111111112</v>
      </c>
      <c r="L142" s="6">
        <f>IFERROR(VLOOKUP(A142,'[1]Consumo SEMANA ENEA'!$F:$ES,144,0),0)</f>
        <v>1285.7142857142858</v>
      </c>
    </row>
    <row r="143" spans="1:12" x14ac:dyDescent="0.3">
      <c r="A143" s="2">
        <v>405089</v>
      </c>
      <c r="B143" s="2" t="s">
        <v>135</v>
      </c>
      <c r="C143" s="2" t="s">
        <v>1</v>
      </c>
      <c r="D143" s="2" t="s">
        <v>2</v>
      </c>
      <c r="E143" s="5">
        <v>9000</v>
      </c>
      <c r="F143" s="17">
        <v>22.7</v>
      </c>
      <c r="G143" s="17">
        <v>204300</v>
      </c>
      <c r="H143" s="1">
        <f t="shared" ca="1" si="4"/>
        <v>46207</v>
      </c>
      <c r="I143" s="5">
        <f>IFERROR(VLOOKUP(A143,'[1]Consumo SEMANA ENEA'!$F:$EM,138,0),0)</f>
        <v>1750</v>
      </c>
      <c r="J143" s="2" t="str">
        <f>IFERROR(VLOOKUP(A143,Hoja4!A:C,3,0),"")</f>
        <v>Etiquetas</v>
      </c>
      <c r="K143" s="9">
        <f t="shared" si="5"/>
        <v>5.1428571428571432</v>
      </c>
      <c r="L143" s="6">
        <f>IFERROR(VLOOKUP(A143,'[1]Consumo SEMANA ENEA'!$F:$ES,144,0),0)</f>
        <v>1750</v>
      </c>
    </row>
    <row r="144" spans="1:12" x14ac:dyDescent="0.3">
      <c r="A144" s="2">
        <v>405643</v>
      </c>
      <c r="B144" s="2" t="s">
        <v>136</v>
      </c>
      <c r="C144" s="2" t="s">
        <v>1</v>
      </c>
      <c r="D144" s="2" t="s">
        <v>2</v>
      </c>
      <c r="E144" s="5">
        <v>4000</v>
      </c>
      <c r="F144" s="17">
        <v>22.7</v>
      </c>
      <c r="G144" s="17">
        <v>90800</v>
      </c>
      <c r="H144" s="1">
        <f t="shared" ca="1" si="4"/>
        <v>46207</v>
      </c>
      <c r="I144" s="5">
        <f>IFERROR(VLOOKUP(A144,'[1]Consumo SEMANA ENEA'!$F:$EM,138,0),0)</f>
        <v>1250</v>
      </c>
      <c r="J144" s="2" t="str">
        <f>IFERROR(VLOOKUP(A144,Hoja4!A:C,3,0),"")</f>
        <v>Etiquetas</v>
      </c>
      <c r="K144" s="9">
        <f t="shared" si="5"/>
        <v>3.2</v>
      </c>
      <c r="L144" s="6">
        <f>IFERROR(VLOOKUP(A144,'[1]Consumo SEMANA ENEA'!$F:$ES,144,0),0)</f>
        <v>1250</v>
      </c>
    </row>
    <row r="145" spans="1:12" x14ac:dyDescent="0.3">
      <c r="A145" s="2">
        <v>405090</v>
      </c>
      <c r="B145" s="2" t="s">
        <v>137</v>
      </c>
      <c r="C145" s="2" t="s">
        <v>1</v>
      </c>
      <c r="D145" s="2" t="s">
        <v>2</v>
      </c>
      <c r="E145" s="5">
        <v>12000</v>
      </c>
      <c r="F145" s="17">
        <v>22.7</v>
      </c>
      <c r="G145" s="17">
        <v>272400</v>
      </c>
      <c r="H145" s="1">
        <f t="shared" ca="1" si="4"/>
        <v>46207</v>
      </c>
      <c r="I145" s="5">
        <f>IFERROR(VLOOKUP(A145,'[1]Consumo SEMANA ENEA'!$F:$EM,138,0),0)</f>
        <v>1750</v>
      </c>
      <c r="J145" s="2" t="str">
        <f>IFERROR(VLOOKUP(A145,Hoja4!A:C,3,0),"")</f>
        <v>Etiquetas</v>
      </c>
      <c r="K145" s="9">
        <f t="shared" si="5"/>
        <v>6.8571428571428568</v>
      </c>
      <c r="L145" s="6">
        <f>IFERROR(VLOOKUP(A145,'[1]Consumo SEMANA ENEA'!$F:$ES,144,0),0)</f>
        <v>1750</v>
      </c>
    </row>
    <row r="146" spans="1:12" x14ac:dyDescent="0.3">
      <c r="A146" s="2">
        <v>405120</v>
      </c>
      <c r="B146" s="2" t="s">
        <v>138</v>
      </c>
      <c r="C146" s="2" t="s">
        <v>1</v>
      </c>
      <c r="D146" s="2" t="s">
        <v>2</v>
      </c>
      <c r="E146" s="5">
        <v>10000</v>
      </c>
      <c r="F146" s="17">
        <v>22.7</v>
      </c>
      <c r="G146" s="17">
        <v>227000</v>
      </c>
      <c r="H146" s="1">
        <f t="shared" ca="1" si="4"/>
        <v>46207</v>
      </c>
      <c r="I146" s="5">
        <f>IFERROR(VLOOKUP(A146,'[1]Consumo SEMANA ENEA'!$F:$EM,138,0),0)</f>
        <v>3809.5238095238096</v>
      </c>
      <c r="J146" s="2" t="str">
        <f>IFERROR(VLOOKUP(A146,Hoja4!A:C,3,0),"")</f>
        <v>Etiquetas</v>
      </c>
      <c r="K146" s="9">
        <f t="shared" si="5"/>
        <v>2.625</v>
      </c>
      <c r="L146" s="6">
        <f>IFERROR(VLOOKUP(A146,'[1]Consumo SEMANA ENEA'!$F:$ES,144,0),0)</f>
        <v>3809.5238095238096</v>
      </c>
    </row>
    <row r="147" spans="1:12" x14ac:dyDescent="0.3">
      <c r="A147" s="2">
        <v>405036</v>
      </c>
      <c r="B147" s="2" t="s">
        <v>139</v>
      </c>
      <c r="C147" s="2" t="s">
        <v>1</v>
      </c>
      <c r="D147" s="2" t="s">
        <v>2</v>
      </c>
      <c r="E147" s="5">
        <v>12000</v>
      </c>
      <c r="F147" s="17">
        <v>22.7</v>
      </c>
      <c r="G147" s="17">
        <v>272400</v>
      </c>
      <c r="H147" s="1">
        <f t="shared" ca="1" si="4"/>
        <v>46207</v>
      </c>
      <c r="I147" s="5">
        <f>IFERROR(VLOOKUP(A147,'[1]Consumo SEMANA ENEA'!$F:$EM,138,0),0)</f>
        <v>4166.666666666667</v>
      </c>
      <c r="J147" s="2" t="str">
        <f>IFERROR(VLOOKUP(A147,Hoja4!A:C,3,0),"")</f>
        <v>Etiquetas</v>
      </c>
      <c r="K147" s="9">
        <f t="shared" si="5"/>
        <v>2.88</v>
      </c>
      <c r="L147" s="6">
        <f>IFERROR(VLOOKUP(A147,'[1]Consumo SEMANA ENEA'!$F:$ES,144,0),0)</f>
        <v>4166.666666666667</v>
      </c>
    </row>
    <row r="148" spans="1:12" x14ac:dyDescent="0.3">
      <c r="A148" s="2">
        <v>405131</v>
      </c>
      <c r="B148" s="2" t="s">
        <v>140</v>
      </c>
      <c r="C148" s="2" t="s">
        <v>1</v>
      </c>
      <c r="D148" s="2" t="s">
        <v>2</v>
      </c>
      <c r="E148" s="5">
        <v>8000</v>
      </c>
      <c r="F148" s="17">
        <v>17.170000000000002</v>
      </c>
      <c r="G148" s="17">
        <v>137360</v>
      </c>
      <c r="H148" s="1">
        <f t="shared" ca="1" si="4"/>
        <v>46207</v>
      </c>
      <c r="I148" s="5">
        <f>IFERROR(VLOOKUP(A148,'[1]Consumo SEMANA ENEA'!$F:$EM,138,0),0)</f>
        <v>2238.0952380952381</v>
      </c>
      <c r="J148" s="2" t="str">
        <f>IFERROR(VLOOKUP(A148,Hoja4!A:C,3,0),"")</f>
        <v>Etiquetas</v>
      </c>
      <c r="K148" s="9">
        <f t="shared" si="5"/>
        <v>3.5744680851063828</v>
      </c>
      <c r="L148" s="6">
        <f>IFERROR(VLOOKUP(A148,'[1]Consumo SEMANA ENEA'!$F:$ES,144,0),0)</f>
        <v>2238.0952380952381</v>
      </c>
    </row>
    <row r="149" spans="1:12" x14ac:dyDescent="0.3">
      <c r="A149" s="2">
        <v>405124</v>
      </c>
      <c r="B149" s="2" t="s">
        <v>141</v>
      </c>
      <c r="C149" s="2" t="s">
        <v>1</v>
      </c>
      <c r="D149" s="2" t="s">
        <v>2</v>
      </c>
      <c r="E149" s="5">
        <v>7000</v>
      </c>
      <c r="F149" s="17">
        <v>17.170000000000002</v>
      </c>
      <c r="G149" s="17">
        <v>120190</v>
      </c>
      <c r="H149" s="1">
        <f t="shared" ca="1" si="4"/>
        <v>46207</v>
      </c>
      <c r="I149" s="5">
        <f>IFERROR(VLOOKUP(A149,'[1]Consumo SEMANA ENEA'!$F:$EM,138,0),0)</f>
        <v>3909.090909090909</v>
      </c>
      <c r="J149" s="2" t="str">
        <f>IFERROR(VLOOKUP(A149,Hoja4!A:C,3,0),"")</f>
        <v>Etiquetas</v>
      </c>
      <c r="K149" s="9">
        <f t="shared" si="5"/>
        <v>1.7906976744186047</v>
      </c>
      <c r="L149" s="6">
        <f>IFERROR(VLOOKUP(A149,'[1]Consumo SEMANA ENEA'!$F:$ES,144,0),0)</f>
        <v>3909.090909090909</v>
      </c>
    </row>
    <row r="150" spans="1:12" x14ac:dyDescent="0.3">
      <c r="A150" s="2">
        <v>405126</v>
      </c>
      <c r="B150" s="2" t="s">
        <v>142</v>
      </c>
      <c r="C150" s="2" t="s">
        <v>1</v>
      </c>
      <c r="D150" s="2" t="s">
        <v>2</v>
      </c>
      <c r="E150" s="5">
        <v>8000</v>
      </c>
      <c r="F150" s="17">
        <v>22.1</v>
      </c>
      <c r="G150" s="17">
        <v>176800</v>
      </c>
      <c r="H150" s="1">
        <f t="shared" ca="1" si="4"/>
        <v>46207</v>
      </c>
      <c r="I150" s="5">
        <f>IFERROR(VLOOKUP(A150,'[1]Consumo SEMANA ENEA'!$F:$EM,138,0),0)</f>
        <v>1642.8571428571429</v>
      </c>
      <c r="J150" s="2" t="str">
        <f>IFERROR(VLOOKUP(A150,Hoja4!A:C,3,0),"")</f>
        <v>Etiquetas</v>
      </c>
      <c r="K150" s="9">
        <f t="shared" si="5"/>
        <v>4.8695652173913047</v>
      </c>
      <c r="L150" s="6">
        <f>IFERROR(VLOOKUP(A150,'[1]Consumo SEMANA ENEA'!$F:$ES,144,0),0)</f>
        <v>1642.8571428571427</v>
      </c>
    </row>
    <row r="151" spans="1:12" x14ac:dyDescent="0.3">
      <c r="A151" s="2">
        <v>405784</v>
      </c>
      <c r="B151" s="2" t="s">
        <v>143</v>
      </c>
      <c r="C151" s="2" t="s">
        <v>1</v>
      </c>
      <c r="D151" s="2" t="s">
        <v>2</v>
      </c>
      <c r="E151" s="5">
        <v>5000</v>
      </c>
      <c r="F151" s="17">
        <v>22.7</v>
      </c>
      <c r="G151" s="17">
        <v>113500</v>
      </c>
      <c r="H151" s="1">
        <f t="shared" ca="1" si="4"/>
        <v>46207</v>
      </c>
      <c r="I151" s="5">
        <f>IFERROR(VLOOKUP(A151,'[1]Consumo SEMANA ENEA'!$F:$EM,138,0),0)</f>
        <v>3500</v>
      </c>
      <c r="J151" s="2" t="str">
        <f>IFERROR(VLOOKUP(A151,Hoja4!A:C,3,0),"")</f>
        <v>Etiquetas</v>
      </c>
      <c r="K151" s="9">
        <f t="shared" si="5"/>
        <v>1.4285714285714286</v>
      </c>
      <c r="L151" s="6">
        <f>IFERROR(VLOOKUP(A151,'[1]Consumo SEMANA ENEA'!$F:$ES,144,0),0)</f>
        <v>3500</v>
      </c>
    </row>
    <row r="152" spans="1:12" x14ac:dyDescent="0.3">
      <c r="A152" s="2">
        <v>405034</v>
      </c>
      <c r="B152" s="2" t="s">
        <v>144</v>
      </c>
      <c r="C152" s="2" t="s">
        <v>1</v>
      </c>
      <c r="D152" s="2" t="s">
        <v>2</v>
      </c>
      <c r="E152" s="5">
        <v>12000</v>
      </c>
      <c r="F152" s="17">
        <v>17.170000000000002</v>
      </c>
      <c r="G152" s="17">
        <v>206040</v>
      </c>
      <c r="H152" s="1">
        <f t="shared" ca="1" si="4"/>
        <v>46207</v>
      </c>
      <c r="I152" s="5">
        <f>IFERROR(VLOOKUP(A152,'[1]Consumo SEMANA ENEA'!$F:$EM,138,0),0)</f>
        <v>5916.666666666667</v>
      </c>
      <c r="J152" s="2" t="str">
        <f>IFERROR(VLOOKUP(A152,Hoja4!A:C,3,0),"")</f>
        <v>Etiquetas</v>
      </c>
      <c r="K152" s="9">
        <f t="shared" si="5"/>
        <v>2.028169014084507</v>
      </c>
      <c r="L152" s="6">
        <f>IFERROR(VLOOKUP(A152,'[1]Consumo SEMANA ENEA'!$F:$ES,144,0),0)</f>
        <v>5916.666666666667</v>
      </c>
    </row>
    <row r="153" spans="1:12" x14ac:dyDescent="0.3">
      <c r="A153" s="2">
        <v>405783</v>
      </c>
      <c r="B153" s="2" t="s">
        <v>145</v>
      </c>
      <c r="C153" s="2" t="s">
        <v>1</v>
      </c>
      <c r="D153" s="2" t="s">
        <v>2</v>
      </c>
      <c r="E153" s="5">
        <v>2000</v>
      </c>
      <c r="F153" s="17">
        <v>22.7</v>
      </c>
      <c r="G153" s="17">
        <v>45400</v>
      </c>
      <c r="H153" s="1">
        <f t="shared" ca="1" si="4"/>
        <v>46207</v>
      </c>
      <c r="I153" s="5">
        <f>IFERROR(VLOOKUP(A153,'[1]Consumo SEMANA ENEA'!$F:$EM,138,0),0)</f>
        <v>3000</v>
      </c>
      <c r="J153" s="2" t="str">
        <f>IFERROR(VLOOKUP(A153,Hoja4!A:C,3,0),"")</f>
        <v>Etiquetas</v>
      </c>
      <c r="K153" s="9">
        <f t="shared" si="5"/>
        <v>0.66666666666666663</v>
      </c>
      <c r="L153" s="6">
        <f>IFERROR(VLOOKUP(A153,'[1]Consumo SEMANA ENEA'!$F:$ES,144,0),0)</f>
        <v>3000</v>
      </c>
    </row>
    <row r="154" spans="1:12" x14ac:dyDescent="0.3">
      <c r="A154" s="2">
        <v>405122</v>
      </c>
      <c r="B154" s="2" t="s">
        <v>511</v>
      </c>
      <c r="C154" s="2" t="s">
        <v>1</v>
      </c>
      <c r="D154" s="2" t="s">
        <v>2</v>
      </c>
      <c r="E154" s="5">
        <v>11000</v>
      </c>
      <c r="F154" s="17">
        <v>22.7</v>
      </c>
      <c r="G154" s="17">
        <v>249700</v>
      </c>
      <c r="H154" s="1">
        <f t="shared" ca="1" si="4"/>
        <v>46207</v>
      </c>
      <c r="I154" s="5">
        <f>IFERROR(VLOOKUP(A154,'[1]Consumo SEMANA ENEA'!$F:$EM,138,0),0)</f>
        <v>2666.6666666666665</v>
      </c>
      <c r="J154" s="2" t="str">
        <f>IFERROR(VLOOKUP(A154,Hoja4!A:C,3,0),"")</f>
        <v>Etiquetas</v>
      </c>
      <c r="K154" s="9">
        <f t="shared" si="5"/>
        <v>4.125</v>
      </c>
      <c r="L154" s="6">
        <f>IFERROR(VLOOKUP(A154,'[1]Consumo SEMANA ENEA'!$F:$ES,144,0),0)</f>
        <v>2666.6666666666665</v>
      </c>
    </row>
    <row r="155" spans="1:12" x14ac:dyDescent="0.3">
      <c r="A155" s="2">
        <v>405119</v>
      </c>
      <c r="B155" s="2" t="s">
        <v>146</v>
      </c>
      <c r="C155" s="2" t="s">
        <v>1</v>
      </c>
      <c r="D155" s="2" t="s">
        <v>2</v>
      </c>
      <c r="E155" s="5">
        <v>4000</v>
      </c>
      <c r="F155" s="17">
        <v>17.170000000000002</v>
      </c>
      <c r="G155" s="17">
        <v>68680</v>
      </c>
      <c r="H155" s="1">
        <f t="shared" ca="1" si="4"/>
        <v>46207</v>
      </c>
      <c r="I155" s="5">
        <f>IFERROR(VLOOKUP(A155,'[1]Consumo SEMANA ENEA'!$F:$EM,138,0),0)</f>
        <v>2590.909090909091</v>
      </c>
      <c r="J155" s="2" t="str">
        <f>IFERROR(VLOOKUP(A155,Hoja4!A:C,3,0),"")</f>
        <v>Etiquetas</v>
      </c>
      <c r="K155" s="9">
        <f t="shared" si="5"/>
        <v>1.5438596491228069</v>
      </c>
      <c r="L155" s="6">
        <f>IFERROR(VLOOKUP(A155,'[1]Consumo SEMANA ENEA'!$F:$ES,144,0),0)</f>
        <v>2590.909090909091</v>
      </c>
    </row>
    <row r="156" spans="1:12" x14ac:dyDescent="0.3">
      <c r="A156" s="2">
        <v>405463</v>
      </c>
      <c r="B156" s="2" t="s">
        <v>147</v>
      </c>
      <c r="C156" s="2" t="s">
        <v>1</v>
      </c>
      <c r="D156" s="2" t="s">
        <v>2</v>
      </c>
      <c r="E156" s="2">
        <v>1000</v>
      </c>
      <c r="F156" s="17">
        <v>20.239999999999998</v>
      </c>
      <c r="G156" s="17">
        <v>20240</v>
      </c>
      <c r="H156" s="1">
        <f t="shared" ca="1" si="4"/>
        <v>46207</v>
      </c>
      <c r="I156" s="5">
        <f>IFERROR(VLOOKUP(A156,'[1]Consumo SEMANA ENEA'!$F:$EM,138,0),0)</f>
        <v>2000</v>
      </c>
      <c r="J156" s="2" t="str">
        <f>IFERROR(VLOOKUP(A156,Hoja4!A:C,3,0),"")</f>
        <v>Etiquetas</v>
      </c>
      <c r="K156" s="9">
        <f t="shared" si="5"/>
        <v>0.5</v>
      </c>
      <c r="L156" s="6">
        <f>IFERROR(VLOOKUP(A156,'[1]Consumo SEMANA ENEA'!$F:$ES,144,0),0)</f>
        <v>2000</v>
      </c>
    </row>
    <row r="157" spans="1:12" x14ac:dyDescent="0.3">
      <c r="A157" s="2">
        <v>405130</v>
      </c>
      <c r="B157" s="2" t="s">
        <v>148</v>
      </c>
      <c r="C157" s="2" t="s">
        <v>1</v>
      </c>
      <c r="D157" s="2" t="s">
        <v>2</v>
      </c>
      <c r="E157" s="2">
        <v>8000</v>
      </c>
      <c r="F157" s="17">
        <v>22.62</v>
      </c>
      <c r="G157" s="17">
        <v>180960</v>
      </c>
      <c r="H157" s="1">
        <f t="shared" ca="1" si="4"/>
        <v>46207</v>
      </c>
      <c r="I157" s="5">
        <f>IFERROR(VLOOKUP(A157,'[1]Consumo SEMANA ENEA'!$F:$EM,138,0),0)</f>
        <v>1500</v>
      </c>
      <c r="J157" s="2" t="str">
        <f>IFERROR(VLOOKUP(A157,Hoja4!A:C,3,0),"")</f>
        <v>Etiquetas</v>
      </c>
      <c r="K157" s="9">
        <f t="shared" si="5"/>
        <v>5.333333333333333</v>
      </c>
      <c r="L157" s="6">
        <f>IFERROR(VLOOKUP(A157,'[1]Consumo SEMANA ENEA'!$F:$ES,144,0),0)</f>
        <v>1500</v>
      </c>
    </row>
    <row r="158" spans="1:12" x14ac:dyDescent="0.3">
      <c r="A158" s="2">
        <v>405123</v>
      </c>
      <c r="B158" s="2" t="s">
        <v>149</v>
      </c>
      <c r="C158" s="2" t="s">
        <v>1</v>
      </c>
      <c r="D158" s="2" t="s">
        <v>2</v>
      </c>
      <c r="E158" s="5">
        <v>5000</v>
      </c>
      <c r="F158" s="17">
        <v>17.170000000000002</v>
      </c>
      <c r="G158" s="17">
        <v>85850</v>
      </c>
      <c r="H158" s="1">
        <f t="shared" ca="1" si="4"/>
        <v>46207</v>
      </c>
      <c r="I158" s="5">
        <f>IFERROR(VLOOKUP(A158,'[1]Consumo SEMANA ENEA'!$F:$EM,138,0),0)</f>
        <v>2478.2608695652175</v>
      </c>
      <c r="J158" s="2" t="str">
        <f>IFERROR(VLOOKUP(A158,Hoja4!A:C,3,0),"")</f>
        <v>Etiquetas</v>
      </c>
      <c r="K158" s="9">
        <f t="shared" si="5"/>
        <v>2.0175438596491229</v>
      </c>
      <c r="L158" s="6">
        <f>IFERROR(VLOOKUP(A158,'[1]Consumo SEMANA ENEA'!$F:$ES,144,0),0)</f>
        <v>2478.2608695652175</v>
      </c>
    </row>
    <row r="159" spans="1:12" x14ac:dyDescent="0.3">
      <c r="A159" s="2">
        <v>405031</v>
      </c>
      <c r="B159" s="2" t="s">
        <v>150</v>
      </c>
      <c r="C159" s="2" t="s">
        <v>1</v>
      </c>
      <c r="D159" s="2" t="s">
        <v>2</v>
      </c>
      <c r="E159" s="2">
        <v>2000</v>
      </c>
      <c r="F159" s="17">
        <v>17.170000000000002</v>
      </c>
      <c r="G159" s="17">
        <v>34340</v>
      </c>
      <c r="H159" s="1">
        <f t="shared" ca="1" si="4"/>
        <v>46207</v>
      </c>
      <c r="I159" s="5">
        <f>IFERROR(VLOOKUP(A159,'[1]Consumo SEMANA ENEA'!$F:$EM,138,0),0)</f>
        <v>2904.7619047619046</v>
      </c>
      <c r="J159" s="2" t="str">
        <f>IFERROR(VLOOKUP(A159,Hoja4!A:C,3,0),"")</f>
        <v>Etiquetas</v>
      </c>
      <c r="K159" s="9">
        <f t="shared" si="5"/>
        <v>0.68852459016393441</v>
      </c>
      <c r="L159" s="6">
        <f>IFERROR(VLOOKUP(A159,'[1]Consumo SEMANA ENEA'!$F:$ES,144,0),0)</f>
        <v>2904.7619047619046</v>
      </c>
    </row>
    <row r="160" spans="1:12" x14ac:dyDescent="0.3">
      <c r="A160" s="2">
        <v>405121</v>
      </c>
      <c r="B160" s="2" t="s">
        <v>151</v>
      </c>
      <c r="C160" s="2" t="s">
        <v>1</v>
      </c>
      <c r="D160" s="2" t="s">
        <v>2</v>
      </c>
      <c r="E160" s="2">
        <v>8000</v>
      </c>
      <c r="F160" s="17">
        <v>17.170000000000002</v>
      </c>
      <c r="G160" s="17">
        <v>137360</v>
      </c>
      <c r="H160" s="1">
        <f t="shared" ca="1" si="4"/>
        <v>46207</v>
      </c>
      <c r="I160" s="5">
        <f>IFERROR(VLOOKUP(A160,'[1]Consumo SEMANA ENEA'!$F:$EM,138,0),0)</f>
        <v>2363.6363636363635</v>
      </c>
      <c r="J160" s="2" t="str">
        <f>IFERROR(VLOOKUP(A160,Hoja4!A:C,3,0),"")</f>
        <v>Etiquetas</v>
      </c>
      <c r="K160" s="9">
        <f t="shared" si="5"/>
        <v>3.3846153846153846</v>
      </c>
      <c r="L160" s="6">
        <f>IFERROR(VLOOKUP(A160,'[1]Consumo SEMANA ENEA'!$F:$ES,144,0),0)</f>
        <v>2363.6363636363635</v>
      </c>
    </row>
    <row r="161" spans="1:12" x14ac:dyDescent="0.3">
      <c r="A161" s="2">
        <v>101108</v>
      </c>
      <c r="B161" s="2" t="s">
        <v>152</v>
      </c>
      <c r="C161" s="2" t="s">
        <v>1</v>
      </c>
      <c r="D161" s="2" t="s">
        <v>2</v>
      </c>
      <c r="E161" s="2">
        <v>10</v>
      </c>
      <c r="F161" s="17">
        <v>4060</v>
      </c>
      <c r="G161" s="17">
        <v>40600</v>
      </c>
      <c r="H161" s="1">
        <f t="shared" ca="1" si="4"/>
        <v>46207</v>
      </c>
      <c r="I161" s="5">
        <f>IFERROR(VLOOKUP(A161,'[1]Consumo SEMANA ENEA'!$F:$EM,138,0),0)</f>
        <v>10</v>
      </c>
      <c r="J161" s="2" t="str">
        <f>IFERROR(VLOOKUP(A161,Hoja4!A:C,3,0),"")</f>
        <v>Chocolate</v>
      </c>
      <c r="K161" s="9">
        <f t="shared" si="5"/>
        <v>1</v>
      </c>
      <c r="L161" s="6">
        <f>IFERROR(VLOOKUP(A161,'[1]Consumo SEMANA ENEA'!$F:$ES,144,0),0)</f>
        <v>5</v>
      </c>
    </row>
    <row r="162" spans="1:12" x14ac:dyDescent="0.3">
      <c r="A162" s="2">
        <v>107415</v>
      </c>
      <c r="B162" s="2" t="s">
        <v>153</v>
      </c>
      <c r="C162" s="2" t="s">
        <v>1</v>
      </c>
      <c r="D162" s="2" t="s">
        <v>2</v>
      </c>
      <c r="E162" s="2">
        <v>220.5</v>
      </c>
      <c r="F162" s="17">
        <v>5289.39</v>
      </c>
      <c r="G162" s="17">
        <v>1166310.4950000001</v>
      </c>
      <c r="H162" s="1">
        <f t="shared" ca="1" si="4"/>
        <v>46207</v>
      </c>
      <c r="I162" s="5">
        <f>IFERROR(VLOOKUP(A162,'[1]Consumo SEMANA ENEA'!$F:$EM,138,0),0)</f>
        <v>69.48</v>
      </c>
      <c r="J162" s="2" t="str">
        <f>IFERROR(VLOOKUP(A162,Hoja4!A:C,3,0),"")</f>
        <v>Fruta conserva</v>
      </c>
      <c r="K162" s="9">
        <f t="shared" si="5"/>
        <v>3.1735751295336785</v>
      </c>
      <c r="L162" s="6">
        <f>IFERROR(VLOOKUP(A162,'[1]Consumo SEMANA ENEA'!$F:$ES,144,0),0)</f>
        <v>23.16</v>
      </c>
    </row>
    <row r="163" spans="1:12" x14ac:dyDescent="0.3">
      <c r="A163" s="2">
        <v>107319</v>
      </c>
      <c r="B163" s="2" t="s">
        <v>154</v>
      </c>
      <c r="C163" s="2" t="s">
        <v>1</v>
      </c>
      <c r="D163" s="2" t="s">
        <v>2</v>
      </c>
      <c r="E163" s="5">
        <v>1264.5</v>
      </c>
      <c r="F163" s="17">
        <v>4359.78</v>
      </c>
      <c r="G163" s="17">
        <v>5512941.8099999996</v>
      </c>
      <c r="H163" s="1">
        <f t="shared" ca="1" si="4"/>
        <v>46207</v>
      </c>
      <c r="I163" s="5">
        <f>IFERROR(VLOOKUP(A163,'[1]Consumo SEMANA ENEA'!$F:$EM,138,0),0)</f>
        <v>556.45833333333337</v>
      </c>
      <c r="J163" s="2" t="str">
        <f>IFERROR(VLOOKUP(A163,Hoja4!A:C,3,0),"")</f>
        <v>fruta Conserva</v>
      </c>
      <c r="K163" s="9">
        <f t="shared" si="5"/>
        <v>2.2724073380756269</v>
      </c>
      <c r="L163" s="6">
        <f>IFERROR(VLOOKUP(A163,'[1]Consumo SEMANA ENEA'!$F:$ES,144,0),0)</f>
        <v>185.48611111111111</v>
      </c>
    </row>
    <row r="164" spans="1:12" x14ac:dyDescent="0.3">
      <c r="A164" s="2">
        <v>402111</v>
      </c>
      <c r="B164" s="2" t="s">
        <v>155</v>
      </c>
      <c r="C164" s="2" t="s">
        <v>1</v>
      </c>
      <c r="D164" s="2" t="s">
        <v>2</v>
      </c>
      <c r="E164" s="2">
        <v>285</v>
      </c>
      <c r="F164" s="17">
        <v>3251.09</v>
      </c>
      <c r="G164" s="17">
        <v>926560.65</v>
      </c>
      <c r="H164" s="1">
        <f t="shared" ca="1" si="4"/>
        <v>46207</v>
      </c>
      <c r="I164" s="5">
        <f>IFERROR(VLOOKUP(A164,'[1]Consumo SEMANA ENEA'!$F:$EM,138,0),0)</f>
        <v>0</v>
      </c>
      <c r="J164" s="2" t="str">
        <f>IFERROR(VLOOKUP(A164,Hoja4!A:C,3,0),"")</f>
        <v>Film</v>
      </c>
      <c r="K164" s="9">
        <f t="shared" si="5"/>
        <v>0</v>
      </c>
      <c r="L164" s="6">
        <f>IFERROR(VLOOKUP(A164,'[1]Consumo SEMANA ENEA'!$F:$ES,144,0),0)</f>
        <v>0</v>
      </c>
    </row>
    <row r="165" spans="1:12" x14ac:dyDescent="0.3">
      <c r="A165" s="2">
        <v>402132</v>
      </c>
      <c r="B165" s="2" t="s">
        <v>156</v>
      </c>
      <c r="C165" s="2" t="s">
        <v>1</v>
      </c>
      <c r="D165" s="2" t="s">
        <v>2</v>
      </c>
      <c r="E165" s="2">
        <v>661</v>
      </c>
      <c r="F165" s="17">
        <v>5870</v>
      </c>
      <c r="G165" s="17">
        <v>3880070</v>
      </c>
      <c r="H165" s="1">
        <f t="shared" ca="1" si="4"/>
        <v>46207</v>
      </c>
      <c r="I165" s="5">
        <f>IFERROR(VLOOKUP(A165,'[1]Consumo SEMANA ENEA'!$F:$EM,138,0),0)</f>
        <v>558.88636363636363</v>
      </c>
      <c r="J165" s="2" t="str">
        <f>IFERROR(VLOOKUP(A165,Hoja4!A:C,3,0),"")</f>
        <v>Fruta Congelada</v>
      </c>
      <c r="K165" s="9">
        <f t="shared" si="5"/>
        <v>1.1827091212232117</v>
      </c>
      <c r="L165" s="6">
        <f>IFERROR(VLOOKUP(A165,'[1]Consumo SEMANA ENEA'!$F:$ES,144,0),0)</f>
        <v>279.44318181818181</v>
      </c>
    </row>
    <row r="166" spans="1:12" x14ac:dyDescent="0.3">
      <c r="A166" s="2">
        <v>405506</v>
      </c>
      <c r="B166" s="2" t="s">
        <v>157</v>
      </c>
      <c r="C166" s="2" t="s">
        <v>1</v>
      </c>
      <c r="D166" s="2" t="s">
        <v>2</v>
      </c>
      <c r="E166" s="2">
        <v>344.38</v>
      </c>
      <c r="F166" s="17">
        <v>5242.3</v>
      </c>
      <c r="G166" s="17">
        <v>1805343.274</v>
      </c>
      <c r="H166" s="1">
        <f t="shared" ca="1" si="4"/>
        <v>46207</v>
      </c>
      <c r="I166" s="5">
        <f>IFERROR(VLOOKUP(A166,'[1]Consumo SEMANA ENEA'!$F:$EM,138,0),0)</f>
        <v>71.318210526315781</v>
      </c>
      <c r="J166" s="2" t="str">
        <f>IFERROR(VLOOKUP(A166,Hoja4!A:C,3,0),"")</f>
        <v>Galleta</v>
      </c>
      <c r="K166" s="9">
        <f t="shared" si="5"/>
        <v>4.8287807203593092</v>
      </c>
      <c r="L166" s="6">
        <f>IFERROR(VLOOKUP(A166,'[1]Consumo SEMANA ENEA'!$F:$ES,144,0),0)</f>
        <v>35.65910526315789</v>
      </c>
    </row>
    <row r="167" spans="1:12" x14ac:dyDescent="0.3">
      <c r="A167" s="2">
        <v>405750</v>
      </c>
      <c r="B167" s="2" t="s">
        <v>822</v>
      </c>
      <c r="C167" s="2" t="s">
        <v>1</v>
      </c>
      <c r="D167" s="2" t="s">
        <v>2</v>
      </c>
      <c r="E167" s="2">
        <v>472</v>
      </c>
      <c r="F167" s="17">
        <v>5769.25</v>
      </c>
      <c r="G167" s="17">
        <v>2723086</v>
      </c>
      <c r="H167" s="1">
        <f t="shared" ca="1" si="4"/>
        <v>46207</v>
      </c>
      <c r="I167" s="5">
        <f>IFERROR(VLOOKUP(A167,'[1]Consumo SEMANA ENEA'!$F:$EM,138,0),0)</f>
        <v>0</v>
      </c>
      <c r="J167" s="2" t="str">
        <f>IFERROR(VLOOKUP(A167,Hoja4!A:C,3,0),"")</f>
        <v>Chocolate</v>
      </c>
      <c r="K167" s="9">
        <f t="shared" si="5"/>
        <v>0</v>
      </c>
      <c r="L167" s="6">
        <f>IFERROR(VLOOKUP(A167,'[1]Consumo SEMANA ENEA'!$F:$ES,144,0),0)</f>
        <v>0</v>
      </c>
    </row>
    <row r="168" spans="1:12" x14ac:dyDescent="0.3">
      <c r="A168" s="2">
        <v>107133</v>
      </c>
      <c r="B168" s="2" t="s">
        <v>158</v>
      </c>
      <c r="C168" s="2" t="s">
        <v>1</v>
      </c>
      <c r="D168" s="2" t="s">
        <v>2</v>
      </c>
      <c r="E168" s="2">
        <v>1456</v>
      </c>
      <c r="F168" s="17">
        <v>4229.8599999999997</v>
      </c>
      <c r="G168" s="17">
        <v>6158676.1600000001</v>
      </c>
      <c r="H168" s="1">
        <f t="shared" ca="1" si="4"/>
        <v>46207</v>
      </c>
      <c r="I168" s="5">
        <f>IFERROR(VLOOKUP(A168,'[1]Consumo SEMANA ENEA'!$F:$EM,138,0),0)</f>
        <v>487.73913043478262</v>
      </c>
      <c r="J168" s="2" t="str">
        <f>IFERROR(VLOOKUP(A168,Hoja4!A:C,3,0),"")</f>
        <v>Chocolate</v>
      </c>
      <c r="K168" s="9">
        <f t="shared" si="5"/>
        <v>2.9852023533606702</v>
      </c>
      <c r="L168" s="6">
        <f>IFERROR(VLOOKUP(A168,'[1]Consumo SEMANA ENEA'!$F:$ES,144,0),0)</f>
        <v>243.86956521739131</v>
      </c>
    </row>
    <row r="169" spans="1:12" x14ac:dyDescent="0.3">
      <c r="A169" s="2">
        <v>107160</v>
      </c>
      <c r="B169" s="2" t="s">
        <v>159</v>
      </c>
      <c r="C169" s="2" t="s">
        <v>1</v>
      </c>
      <c r="D169" s="2" t="s">
        <v>2</v>
      </c>
      <c r="E169" s="2">
        <v>104</v>
      </c>
      <c r="F169" s="17">
        <v>5350.01</v>
      </c>
      <c r="G169" s="17">
        <v>556401.04</v>
      </c>
      <c r="H169" s="1">
        <f t="shared" ca="1" si="4"/>
        <v>46207</v>
      </c>
      <c r="I169" s="5">
        <f>IFERROR(VLOOKUP(A169,'[1]Consumo SEMANA ENEA'!$F:$EM,138,0),0)</f>
        <v>59.16</v>
      </c>
      <c r="J169" s="2" t="str">
        <f>IFERROR(VLOOKUP(A169,Hoja4!A:C,3,0),"")</f>
        <v>Gelatina</v>
      </c>
      <c r="K169" s="9">
        <f t="shared" si="5"/>
        <v>1.7579445571331982</v>
      </c>
      <c r="L169" s="6">
        <f>IFERROR(VLOOKUP(A169,'[1]Consumo SEMANA ENEA'!$F:$ES,144,0),0)</f>
        <v>19.72</v>
      </c>
    </row>
    <row r="170" spans="1:12" x14ac:dyDescent="0.3">
      <c r="A170" s="2">
        <v>104013</v>
      </c>
      <c r="B170" s="2" t="s">
        <v>160</v>
      </c>
      <c r="C170" s="2" t="s">
        <v>1</v>
      </c>
      <c r="D170" s="2" t="s">
        <v>2</v>
      </c>
      <c r="E170" s="2">
        <v>25</v>
      </c>
      <c r="F170" s="17">
        <v>7600</v>
      </c>
      <c r="G170" s="17">
        <v>190000</v>
      </c>
      <c r="H170" s="1">
        <f t="shared" ca="1" si="4"/>
        <v>46207</v>
      </c>
      <c r="I170" s="5">
        <f>IFERROR(VLOOKUP(A170,'[1]Consumo SEMANA ENEA'!$F:$EM,138,0),0)</f>
        <v>53.428571428571431</v>
      </c>
      <c r="J170" s="2" t="str">
        <f>IFERROR(VLOOKUP(A170,Hoja4!A:C,3,0),"")</f>
        <v>Gelatina</v>
      </c>
      <c r="K170" s="9">
        <f t="shared" si="5"/>
        <v>0.46791443850267378</v>
      </c>
      <c r="L170" s="6">
        <f>IFERROR(VLOOKUP(A170,'[1]Consumo SEMANA ENEA'!$F:$ES,144,0),0)</f>
        <v>17.80952380952381</v>
      </c>
    </row>
    <row r="171" spans="1:12" x14ac:dyDescent="0.3">
      <c r="A171" s="2">
        <v>107159</v>
      </c>
      <c r="B171" s="2" t="s">
        <v>161</v>
      </c>
      <c r="C171" s="2" t="s">
        <v>1</v>
      </c>
      <c r="D171" s="2" t="s">
        <v>2</v>
      </c>
      <c r="E171" s="5">
        <v>158</v>
      </c>
      <c r="F171" s="17">
        <v>9800</v>
      </c>
      <c r="G171" s="17">
        <v>1548400</v>
      </c>
      <c r="H171" s="1">
        <f t="shared" ca="1" si="4"/>
        <v>46207</v>
      </c>
      <c r="I171" s="5">
        <f>IFERROR(VLOOKUP(A171,'[1]Consumo SEMANA ENEA'!$F:$EM,138,0),0)</f>
        <v>64.200376769230758</v>
      </c>
      <c r="J171" s="2" t="str">
        <f>IFERROR(VLOOKUP(A171,Hoja4!A:C,3,0),"")</f>
        <v>Gelatina</v>
      </c>
      <c r="K171" s="9">
        <f t="shared" si="5"/>
        <v>2.4610447469480348</v>
      </c>
      <c r="L171" s="6">
        <f>IFERROR(VLOOKUP(A171,'[1]Consumo SEMANA ENEA'!$F:$ES,144,0),0)</f>
        <v>21.400125589743585</v>
      </c>
    </row>
    <row r="172" spans="1:12" x14ac:dyDescent="0.3">
      <c r="A172" s="2">
        <v>300004</v>
      </c>
      <c r="B172" s="2" t="s">
        <v>162</v>
      </c>
      <c r="C172" s="2" t="s">
        <v>1</v>
      </c>
      <c r="D172" s="2" t="s">
        <v>2</v>
      </c>
      <c r="E172" s="5">
        <v>110</v>
      </c>
      <c r="F172" s="17">
        <v>1.03</v>
      </c>
      <c r="G172" s="17">
        <v>113.3</v>
      </c>
      <c r="H172" s="1">
        <f t="shared" ca="1" si="4"/>
        <v>46207</v>
      </c>
      <c r="I172" s="5">
        <f>IFERROR(VLOOKUP(A172,'[1]Consumo SEMANA ENEA'!$F:$EM,138,0),0)</f>
        <v>225.32299999999998</v>
      </c>
      <c r="J172" s="2" t="str">
        <f>IFERROR(VLOOKUP(A172,Hoja4!A:C,3,0),"")</f>
        <v>Insumo</v>
      </c>
      <c r="K172" s="9">
        <f t="shared" si="5"/>
        <v>0.48818806779600843</v>
      </c>
      <c r="L172" s="6">
        <f>IFERROR(VLOOKUP(A172,'[1]Consumo SEMANA ENEA'!$F:$ES,144,0),0)</f>
        <v>75.10766666666666</v>
      </c>
    </row>
    <row r="173" spans="1:12" x14ac:dyDescent="0.3">
      <c r="A173" s="2">
        <v>300003</v>
      </c>
      <c r="B173" s="2" t="s">
        <v>163</v>
      </c>
      <c r="C173" s="2" t="s">
        <v>1</v>
      </c>
      <c r="D173" s="2" t="s">
        <v>2</v>
      </c>
      <c r="E173" s="5">
        <v>208.55</v>
      </c>
      <c r="F173" s="17">
        <v>1.03</v>
      </c>
      <c r="G173" s="17">
        <v>214.8065</v>
      </c>
      <c r="H173" s="1">
        <f t="shared" ca="1" si="4"/>
        <v>46207</v>
      </c>
      <c r="I173" s="5">
        <f>IFERROR(VLOOKUP(A173,'[1]Consumo SEMANA ENEA'!$F:$EM,138,0),0)</f>
        <v>199.96200000000002</v>
      </c>
      <c r="J173" s="2" t="s">
        <v>378</v>
      </c>
      <c r="K173" s="9">
        <f t="shared" si="5"/>
        <v>1.0429481601504285</v>
      </c>
      <c r="L173" s="6">
        <f>IFERROR(VLOOKUP(A173,'[1]Consumo SEMANA ENEA'!$F:$ES,144,0),0)</f>
        <v>66.654000000000011</v>
      </c>
    </row>
    <row r="174" spans="1:12" x14ac:dyDescent="0.3">
      <c r="A174" s="2">
        <v>107170</v>
      </c>
      <c r="B174" s="2" t="s">
        <v>165</v>
      </c>
      <c r="C174" s="2" t="s">
        <v>1</v>
      </c>
      <c r="D174" s="2" t="s">
        <v>2</v>
      </c>
      <c r="E174" s="5">
        <v>350</v>
      </c>
      <c r="F174" s="17">
        <v>2662</v>
      </c>
      <c r="G174" s="17">
        <v>931700</v>
      </c>
      <c r="H174" s="1">
        <f t="shared" ca="1" si="4"/>
        <v>46207</v>
      </c>
      <c r="I174" s="5">
        <f>IFERROR(VLOOKUP(A174,'[1]Consumo SEMANA ENEA'!$F:$EM,138,0),0)</f>
        <v>166.625</v>
      </c>
      <c r="J174" s="2" t="str">
        <f>IFERROR(VLOOKUP(A174,Hoja4!A:C,3,0),"")</f>
        <v>Chocolate</v>
      </c>
      <c r="K174" s="9">
        <f t="shared" si="5"/>
        <v>2.1005251312828208</v>
      </c>
      <c r="L174" s="6">
        <f>IFERROR(VLOOKUP(A174,'[1]Consumo SEMANA ENEA'!$F:$ES,144,0),0)</f>
        <v>111.08333333333333</v>
      </c>
    </row>
    <row r="175" spans="1:12" x14ac:dyDescent="0.3">
      <c r="A175" s="2">
        <v>107330</v>
      </c>
      <c r="B175" s="2" t="s">
        <v>166</v>
      </c>
      <c r="C175" s="2" t="s">
        <v>1</v>
      </c>
      <c r="D175" s="2" t="s">
        <v>2</v>
      </c>
      <c r="E175" s="5">
        <v>120</v>
      </c>
      <c r="F175" s="17">
        <v>2000</v>
      </c>
      <c r="G175" s="17">
        <v>240000</v>
      </c>
      <c r="H175" s="1">
        <f t="shared" ca="1" si="4"/>
        <v>46207</v>
      </c>
      <c r="I175" s="5">
        <f>IFERROR(VLOOKUP(A175,'[1]Consumo SEMANA ENEA'!$F:$EM,138,0),0)</f>
        <v>28</v>
      </c>
      <c r="J175" s="2" t="str">
        <f>IFERROR(VLOOKUP(A175,Hoja4!A:C,3,0),"")</f>
        <v>Mix</v>
      </c>
      <c r="K175" s="9">
        <f t="shared" si="5"/>
        <v>4.2857142857142856</v>
      </c>
      <c r="L175" s="6">
        <f>IFERROR(VLOOKUP(A175,'[1]Consumo SEMANA ENEA'!$F:$ES,144,0),0)</f>
        <v>14</v>
      </c>
    </row>
    <row r="176" spans="1:12" x14ac:dyDescent="0.3">
      <c r="A176" s="2">
        <v>403368</v>
      </c>
      <c r="B176" s="2" t="s">
        <v>320</v>
      </c>
      <c r="C176" s="2" t="s">
        <v>1</v>
      </c>
      <c r="D176" s="2" t="s">
        <v>2</v>
      </c>
      <c r="E176" s="5">
        <v>1540</v>
      </c>
      <c r="F176" s="17">
        <v>165</v>
      </c>
      <c r="G176" s="17">
        <v>254100</v>
      </c>
      <c r="H176" s="1">
        <f t="shared" ca="1" si="4"/>
        <v>46207</v>
      </c>
      <c r="I176" s="5">
        <f>IFERROR(VLOOKUP(A176,'[1]Consumo SEMANA ENEA'!$F:$EM,138,0),0)</f>
        <v>1899</v>
      </c>
      <c r="J176" s="2" t="str">
        <f>IFERROR(VLOOKUP(A176,Hoja4!A:C,3,0),"")</f>
        <v>Carton</v>
      </c>
      <c r="K176" s="9">
        <f t="shared" si="5"/>
        <v>0.81095313322801477</v>
      </c>
      <c r="L176" s="6">
        <f>IFERROR(VLOOKUP(A176,'[1]Consumo SEMANA ENEA'!$F:$ES,144,0),0)</f>
        <v>4747.5</v>
      </c>
    </row>
    <row r="177" spans="1:12" x14ac:dyDescent="0.3">
      <c r="A177" s="2">
        <v>403373</v>
      </c>
      <c r="B177" s="2" t="s">
        <v>167</v>
      </c>
      <c r="C177" s="2" t="s">
        <v>1</v>
      </c>
      <c r="D177" s="2" t="s">
        <v>2</v>
      </c>
      <c r="E177" s="5">
        <v>22000</v>
      </c>
      <c r="F177" s="17">
        <v>205</v>
      </c>
      <c r="G177" s="17">
        <v>4510000</v>
      </c>
      <c r="H177" s="1">
        <f t="shared" ca="1" si="4"/>
        <v>46207</v>
      </c>
      <c r="I177" s="5">
        <f>IFERROR(VLOOKUP(A177,'[1]Consumo SEMANA ENEA'!$F:$EM,138,0),0)</f>
        <v>4000</v>
      </c>
      <c r="J177" s="2" t="str">
        <f>IFERROR(VLOOKUP(A177,Hoja4!A:C,3,0),"")</f>
        <v>Carton</v>
      </c>
      <c r="K177" s="9">
        <f t="shared" si="5"/>
        <v>5.5</v>
      </c>
      <c r="L177" s="6">
        <f>IFERROR(VLOOKUP(A177,'[1]Consumo SEMANA ENEA'!$F:$ES,144,0),0)</f>
        <v>10000</v>
      </c>
    </row>
    <row r="178" spans="1:12" x14ac:dyDescent="0.3">
      <c r="A178" s="2">
        <v>405804</v>
      </c>
      <c r="B178" s="2" t="s">
        <v>836</v>
      </c>
      <c r="C178" s="2" t="s">
        <v>1</v>
      </c>
      <c r="D178" s="2" t="s">
        <v>2</v>
      </c>
      <c r="E178" s="5">
        <v>5000</v>
      </c>
      <c r="F178" s="17">
        <v>293</v>
      </c>
      <c r="G178" s="17">
        <v>1465000</v>
      </c>
      <c r="H178" s="1">
        <f t="shared" ca="1" si="4"/>
        <v>46207</v>
      </c>
      <c r="I178" s="5">
        <f>IFERROR(VLOOKUP(A178,'[1]Consumo SEMANA ENEA'!$F:$EM,138,0),0)</f>
        <v>0</v>
      </c>
      <c r="J178" s="2" t="str">
        <f>IFERROR(VLOOKUP(A178,Hoja4!A:C,3,0),"")</f>
        <v/>
      </c>
      <c r="K178" s="9">
        <f t="shared" si="5"/>
        <v>0</v>
      </c>
      <c r="L178" s="6">
        <f>IFERROR(VLOOKUP(A178,'[1]Consumo SEMANA ENEA'!$F:$ES,144,0),0)</f>
        <v>0</v>
      </c>
    </row>
    <row r="179" spans="1:12" x14ac:dyDescent="0.3">
      <c r="A179" s="2">
        <v>393322</v>
      </c>
      <c r="B179" s="2" t="s">
        <v>168</v>
      </c>
      <c r="C179" s="2" t="s">
        <v>1</v>
      </c>
      <c r="D179" s="2" t="s">
        <v>2</v>
      </c>
      <c r="E179" s="5">
        <v>13000</v>
      </c>
      <c r="F179" s="17">
        <v>150.81</v>
      </c>
      <c r="G179" s="17">
        <v>1960530</v>
      </c>
      <c r="H179" s="1">
        <f t="shared" ca="1" si="4"/>
        <v>46207</v>
      </c>
      <c r="I179" s="5">
        <f>IFERROR(VLOOKUP(A179,'[1]Consumo SEMANA ENEA'!$F:$EM,138,0),0)</f>
        <v>3000</v>
      </c>
      <c r="J179" s="2" t="str">
        <f>IFERROR(VLOOKUP(A179,Hoja4!A:C,3,0),"")</f>
        <v>Carton</v>
      </c>
      <c r="K179" s="9">
        <f t="shared" si="5"/>
        <v>4.333333333333333</v>
      </c>
      <c r="L179" s="6">
        <f>IFERROR(VLOOKUP(A179,'[1]Consumo SEMANA ENEA'!$F:$ES,144,0),0)</f>
        <v>7500</v>
      </c>
    </row>
    <row r="180" spans="1:12" x14ac:dyDescent="0.3">
      <c r="A180" s="2">
        <v>405789</v>
      </c>
      <c r="B180" s="2" t="s">
        <v>814</v>
      </c>
      <c r="C180" s="2" t="s">
        <v>1</v>
      </c>
      <c r="D180" s="2" t="s">
        <v>2</v>
      </c>
      <c r="E180" s="5">
        <v>1284</v>
      </c>
      <c r="F180" s="17">
        <v>145</v>
      </c>
      <c r="G180" s="17">
        <v>186180</v>
      </c>
      <c r="H180" s="1">
        <f t="shared" ca="1" si="4"/>
        <v>46207</v>
      </c>
      <c r="I180" s="5">
        <f>IFERROR(VLOOKUP(A180,'[1]Consumo SEMANA ENEA'!$F:$EM,138,0),0)</f>
        <v>4472</v>
      </c>
      <c r="J180" s="2" t="str">
        <f>IFERROR(VLOOKUP(A180,Hoja4!A:C,3,0),"")</f>
        <v>Carton</v>
      </c>
      <c r="K180" s="9">
        <f t="shared" si="5"/>
        <v>0.28711985688729874</v>
      </c>
      <c r="L180" s="6">
        <f>IFERROR(VLOOKUP(A180,'[1]Consumo SEMANA ENEA'!$F:$ES,144,0),0)</f>
        <v>11180</v>
      </c>
    </row>
    <row r="181" spans="1:12" x14ac:dyDescent="0.3">
      <c r="A181" s="2">
        <v>393320</v>
      </c>
      <c r="B181" s="2" t="s">
        <v>169</v>
      </c>
      <c r="C181" s="2" t="s">
        <v>1</v>
      </c>
      <c r="D181" s="2" t="s">
        <v>2</v>
      </c>
      <c r="E181" s="2">
        <v>13716</v>
      </c>
      <c r="F181" s="17">
        <v>151</v>
      </c>
      <c r="G181" s="17">
        <v>2071116</v>
      </c>
      <c r="H181" s="1">
        <f t="shared" ca="1" si="4"/>
        <v>46207</v>
      </c>
      <c r="I181" s="5">
        <f>IFERROR(VLOOKUP(A181,'[1]Consumo SEMANA ENEA'!$F:$EM,138,0),0)</f>
        <v>15235.021739130434</v>
      </c>
      <c r="J181" s="2" t="str">
        <f>IFERROR(VLOOKUP(A181,Hoja4!A:C,3,0),"")</f>
        <v>Carton</v>
      </c>
      <c r="K181" s="9">
        <f t="shared" si="5"/>
        <v>0.90029408784964848</v>
      </c>
      <c r="L181" s="6">
        <f>IFERROR(VLOOKUP(A181,'[1]Consumo SEMANA ENEA'!$F:$ES,144,0),0)</f>
        <v>38087.554347826088</v>
      </c>
    </row>
    <row r="182" spans="1:12" x14ac:dyDescent="0.3">
      <c r="A182" s="2">
        <v>393321</v>
      </c>
      <c r="B182" s="2" t="s">
        <v>170</v>
      </c>
      <c r="C182" s="2" t="s">
        <v>1</v>
      </c>
      <c r="D182" s="2" t="s">
        <v>2</v>
      </c>
      <c r="E182" s="5">
        <v>4800</v>
      </c>
      <c r="F182" s="17">
        <v>151</v>
      </c>
      <c r="G182" s="17">
        <v>724800</v>
      </c>
      <c r="H182" s="1">
        <f t="shared" ca="1" si="4"/>
        <v>46207</v>
      </c>
      <c r="I182" s="5">
        <f>IFERROR(VLOOKUP(A182,'[1]Consumo SEMANA ENEA'!$F:$EM,138,0),0)</f>
        <v>4854.545454545455</v>
      </c>
      <c r="J182" s="2" t="str">
        <f>IFERROR(VLOOKUP(A182,Hoja4!A:C,3,0),"")</f>
        <v>Carton</v>
      </c>
      <c r="K182" s="9">
        <f t="shared" si="5"/>
        <v>0.98876404494382009</v>
      </c>
      <c r="L182" s="6">
        <f>IFERROR(VLOOKUP(A182,'[1]Consumo SEMANA ENEA'!$F:$ES,144,0),0)</f>
        <v>12136.363636363636</v>
      </c>
    </row>
    <row r="183" spans="1:12" x14ac:dyDescent="0.3">
      <c r="A183" s="2">
        <v>362105</v>
      </c>
      <c r="B183" s="2" t="s">
        <v>171</v>
      </c>
      <c r="C183" s="2" t="s">
        <v>1</v>
      </c>
      <c r="D183" s="2" t="s">
        <v>2</v>
      </c>
      <c r="E183" s="2">
        <v>68364</v>
      </c>
      <c r="F183" s="17">
        <v>178.44</v>
      </c>
      <c r="G183" s="17">
        <v>12198872.16</v>
      </c>
      <c r="H183" s="1">
        <f t="shared" ca="1" si="4"/>
        <v>46207</v>
      </c>
      <c r="I183" s="5">
        <f>IFERROR(VLOOKUP(A183,'[1]Consumo SEMANA ENEA'!$F:$EM,138,0),0)</f>
        <v>107492.8</v>
      </c>
      <c r="J183" s="2" t="str">
        <f>IFERROR(VLOOKUP(A183,Hoja4!A:C,3,0),"")</f>
        <v>Insumo</v>
      </c>
      <c r="K183" s="9">
        <f t="shared" si="5"/>
        <v>0.63598678237054018</v>
      </c>
      <c r="L183" s="6">
        <f>IFERROR(VLOOKUP(A183,'[1]Consumo SEMANA ENEA'!$F:$ES,144,0),0)</f>
        <v>53746.400000000001</v>
      </c>
    </row>
    <row r="184" spans="1:12" x14ac:dyDescent="0.3">
      <c r="A184" s="2">
        <v>403268</v>
      </c>
      <c r="B184" s="2" t="s">
        <v>172</v>
      </c>
      <c r="C184" s="2" t="s">
        <v>1</v>
      </c>
      <c r="D184" s="2" t="s">
        <v>2</v>
      </c>
      <c r="E184" s="2">
        <v>18288</v>
      </c>
      <c r="F184" s="17">
        <v>184.79</v>
      </c>
      <c r="G184" s="17">
        <v>3379439.52</v>
      </c>
      <c r="H184" s="1">
        <f t="shared" ca="1" si="4"/>
        <v>46207</v>
      </c>
      <c r="I184" s="5">
        <f>IFERROR(VLOOKUP(A184,'[1]Consumo SEMANA ENEA'!$F:$EM,138,0),0)</f>
        <v>7007.4444444444443</v>
      </c>
      <c r="J184" s="2" t="str">
        <f>IFERROR(VLOOKUP(A184,Hoja4!A:C,3,0),"")</f>
        <v>Insumo</v>
      </c>
      <c r="K184" s="9">
        <f t="shared" si="5"/>
        <v>2.6097959313111452</v>
      </c>
      <c r="L184" s="6">
        <f>IFERROR(VLOOKUP(A184,'[1]Consumo SEMANA ENEA'!$F:$ES,144,0),0)</f>
        <v>2335.8148148148148</v>
      </c>
    </row>
    <row r="185" spans="1:12" x14ac:dyDescent="0.3">
      <c r="A185" s="2">
        <v>393216</v>
      </c>
      <c r="B185" s="2" t="s">
        <v>173</v>
      </c>
      <c r="C185" s="2" t="s">
        <v>1</v>
      </c>
      <c r="D185" s="2" t="s">
        <v>2</v>
      </c>
      <c r="E185" s="5">
        <v>3675</v>
      </c>
      <c r="F185" s="17">
        <v>697.06</v>
      </c>
      <c r="G185" s="17">
        <v>2561695.5</v>
      </c>
      <c r="H185" s="1">
        <f t="shared" ca="1" si="4"/>
        <v>46207</v>
      </c>
      <c r="I185" s="5">
        <f>IFERROR(VLOOKUP(A185,'[1]Consumo SEMANA ENEA'!$F:$EM,138,0),0)</f>
        <v>5116.045454545455</v>
      </c>
      <c r="J185" s="2" t="str">
        <f>IFERROR(VLOOKUP(A185,Hoja4!A:C,3,0),"")</f>
        <v>Insumo</v>
      </c>
      <c r="K185" s="9">
        <f t="shared" si="5"/>
        <v>0.71832825424466695</v>
      </c>
      <c r="L185" s="6">
        <f>IFERROR(VLOOKUP(A185,'[1]Consumo SEMANA ENEA'!$F:$ES,144,0),0)</f>
        <v>1705.348484848485</v>
      </c>
    </row>
    <row r="186" spans="1:12" x14ac:dyDescent="0.3">
      <c r="A186" s="2">
        <v>405702</v>
      </c>
      <c r="B186" s="2" t="s">
        <v>174</v>
      </c>
      <c r="C186" s="2" t="s">
        <v>1</v>
      </c>
      <c r="D186" s="2" t="s">
        <v>2</v>
      </c>
      <c r="E186" s="5">
        <v>36</v>
      </c>
      <c r="F186" s="17">
        <v>2067.92</v>
      </c>
      <c r="G186" s="17">
        <v>74445.119999999995</v>
      </c>
      <c r="H186" s="1">
        <f t="shared" ca="1" si="4"/>
        <v>46207</v>
      </c>
      <c r="I186" s="5">
        <f>IFERROR(VLOOKUP(A186,'[1]Consumo SEMANA ENEA'!$F:$EM,138,0),0)</f>
        <v>152.58183333333332</v>
      </c>
      <c r="J186" s="2" t="str">
        <f>IFERROR(VLOOKUP(A186,Hoja4!A:C,3,0),"")</f>
        <v>Insumo</v>
      </c>
      <c r="K186" s="9">
        <f t="shared" si="5"/>
        <v>0.23593896608486595</v>
      </c>
      <c r="L186" s="6">
        <f>IFERROR(VLOOKUP(A186,'[1]Consumo SEMANA ENEA'!$F:$ES,144,0),0)</f>
        <v>50.860611111111105</v>
      </c>
    </row>
    <row r="187" spans="1:12" x14ac:dyDescent="0.3">
      <c r="A187" s="2">
        <v>405577</v>
      </c>
      <c r="B187" s="2" t="s">
        <v>175</v>
      </c>
      <c r="C187" s="2" t="s">
        <v>1</v>
      </c>
      <c r="D187" s="2" t="s">
        <v>2</v>
      </c>
      <c r="E187" s="5">
        <v>817</v>
      </c>
      <c r="F187" s="17">
        <v>1113.48</v>
      </c>
      <c r="G187" s="17">
        <v>909713.16</v>
      </c>
      <c r="H187" s="1">
        <f t="shared" ca="1" si="4"/>
        <v>46207</v>
      </c>
      <c r="I187" s="5">
        <f>IFERROR(VLOOKUP(A187,'[1]Consumo SEMANA ENEA'!$F:$EM,138,0),0)</f>
        <v>1184.76</v>
      </c>
      <c r="J187" s="2" t="str">
        <f>IFERROR(VLOOKUP(A187,Hoja4!A:C,3,0),"")</f>
        <v>Insumo</v>
      </c>
      <c r="K187" s="9">
        <f t="shared" si="5"/>
        <v>0.68959114082176987</v>
      </c>
      <c r="L187" s="6">
        <f>IFERROR(VLOOKUP(A187,'[1]Consumo SEMANA ENEA'!$F:$ES,144,0),0)</f>
        <v>394.92</v>
      </c>
    </row>
    <row r="188" spans="1:12" x14ac:dyDescent="0.3">
      <c r="A188" s="2">
        <v>393419</v>
      </c>
      <c r="B188" s="2" t="s">
        <v>176</v>
      </c>
      <c r="C188" s="2" t="s">
        <v>1</v>
      </c>
      <c r="D188" s="2" t="s">
        <v>2</v>
      </c>
      <c r="E188" s="5">
        <v>631</v>
      </c>
      <c r="F188" s="17">
        <v>1694.87</v>
      </c>
      <c r="G188" s="17">
        <v>1069462.97</v>
      </c>
      <c r="H188" s="1">
        <f t="shared" ca="1" si="4"/>
        <v>46207</v>
      </c>
      <c r="I188" s="5">
        <f>IFERROR(VLOOKUP(A188,'[1]Consumo SEMANA ENEA'!$F:$EM,138,0),0)</f>
        <v>565.73913043478262</v>
      </c>
      <c r="J188" s="2" t="str">
        <f>IFERROR(VLOOKUP(A188,Hoja4!A:C,3,0),"")</f>
        <v>Insumo</v>
      </c>
      <c r="K188" s="9">
        <f t="shared" si="5"/>
        <v>1.115355056870581</v>
      </c>
      <c r="L188" s="6">
        <f>IFERROR(VLOOKUP(A188,'[1]Consumo SEMANA ENEA'!$F:$ES,144,0),0)</f>
        <v>188.57971014492753</v>
      </c>
    </row>
    <row r="189" spans="1:12" x14ac:dyDescent="0.3">
      <c r="A189" s="2">
        <v>393415</v>
      </c>
      <c r="B189" s="2" t="s">
        <v>488</v>
      </c>
      <c r="C189" s="2" t="s">
        <v>1</v>
      </c>
      <c r="D189" s="2" t="s">
        <v>2</v>
      </c>
      <c r="E189" s="5">
        <v>31</v>
      </c>
      <c r="F189" s="17">
        <v>4290.97</v>
      </c>
      <c r="G189" s="17">
        <v>133020.07</v>
      </c>
      <c r="H189" s="1">
        <f t="shared" ca="1" si="4"/>
        <v>46207</v>
      </c>
      <c r="I189" s="5">
        <f>IFERROR(VLOOKUP(A189,'[1]Consumo SEMANA ENEA'!$F:$EM,138,0),0)</f>
        <v>54</v>
      </c>
      <c r="J189" s="2" t="str">
        <f>IFERROR(VLOOKUP(A189,Hoja4!A:C,3,0),"")</f>
        <v>Insumo</v>
      </c>
      <c r="K189" s="9">
        <f t="shared" si="5"/>
        <v>0.57407407407407407</v>
      </c>
      <c r="L189" s="6">
        <f>IFERROR(VLOOKUP(A189,'[1]Consumo SEMANA ENEA'!$F:$ES,144,0),0)</f>
        <v>18</v>
      </c>
    </row>
    <row r="190" spans="1:12" x14ac:dyDescent="0.3">
      <c r="A190" s="2">
        <v>405340</v>
      </c>
      <c r="B190" s="2" t="s">
        <v>177</v>
      </c>
      <c r="C190" s="2" t="s">
        <v>1</v>
      </c>
      <c r="D190" s="2" t="s">
        <v>2</v>
      </c>
      <c r="E190" s="2">
        <v>11.55</v>
      </c>
      <c r="F190" s="17">
        <v>5313.33</v>
      </c>
      <c r="G190" s="17">
        <v>61368.961499999998</v>
      </c>
      <c r="H190" s="1">
        <f t="shared" ca="1" si="4"/>
        <v>46207</v>
      </c>
      <c r="I190" s="5">
        <f>IFERROR(VLOOKUP(A190,'[1]Consumo SEMANA ENEA'!$F:$EM,138,0),0)</f>
        <v>49.368421052631582</v>
      </c>
      <c r="J190" s="2" t="str">
        <f>IFERROR(VLOOKUP(A190,Hoja4!A:C,3,0),"")</f>
        <v>Insumo</v>
      </c>
      <c r="K190" s="9">
        <f t="shared" si="5"/>
        <v>0.233955223880597</v>
      </c>
      <c r="L190" s="6">
        <f>IFERROR(VLOOKUP(A190,'[1]Consumo SEMANA ENEA'!$F:$ES,144,0),0)</f>
        <v>16.456140350877195</v>
      </c>
    </row>
    <row r="191" spans="1:12" x14ac:dyDescent="0.3">
      <c r="A191" s="2">
        <v>353002</v>
      </c>
      <c r="B191" s="2" t="s">
        <v>178</v>
      </c>
      <c r="C191" s="2" t="s">
        <v>1</v>
      </c>
      <c r="D191" s="2" t="s">
        <v>2</v>
      </c>
      <c r="E191" s="5">
        <v>5018</v>
      </c>
      <c r="F191" s="17">
        <v>891.52</v>
      </c>
      <c r="G191" s="17">
        <v>4473647.3600000003</v>
      </c>
      <c r="H191" s="1">
        <f t="shared" ca="1" si="4"/>
        <v>46207</v>
      </c>
      <c r="I191" s="5">
        <f>IFERROR(VLOOKUP(A191,'[1]Consumo SEMANA ENEA'!$F:$EM,138,0),0)</f>
        <v>11674.2</v>
      </c>
      <c r="J191" s="2" t="str">
        <f>IFERROR(VLOOKUP(A191,Hoja4!A:C,3,0),"")</f>
        <v>Insumo</v>
      </c>
      <c r="K191" s="9">
        <f t="shared" si="5"/>
        <v>0.42983673399462058</v>
      </c>
      <c r="L191" s="6">
        <f>IFERROR(VLOOKUP(A191,'[1]Consumo SEMANA ENEA'!$F:$ES,144,0),0)</f>
        <v>3891.4</v>
      </c>
    </row>
    <row r="192" spans="1:12" x14ac:dyDescent="0.3">
      <c r="A192" s="2">
        <v>353001</v>
      </c>
      <c r="B192" s="2" t="s">
        <v>179</v>
      </c>
      <c r="C192" s="2" t="s">
        <v>1</v>
      </c>
      <c r="D192" s="2" t="s">
        <v>2</v>
      </c>
      <c r="E192" s="2">
        <v>4878</v>
      </c>
      <c r="F192" s="17">
        <v>841.2</v>
      </c>
      <c r="G192" s="17">
        <v>4103373.6</v>
      </c>
      <c r="H192" s="1">
        <f t="shared" ca="1" si="4"/>
        <v>46207</v>
      </c>
      <c r="I192" s="5">
        <f>IFERROR(VLOOKUP(A192,'[1]Consumo SEMANA ENEA'!$F:$EM,138,0),0)</f>
        <v>11987.44</v>
      </c>
      <c r="J192" s="2" t="str">
        <f>IFERROR(VLOOKUP(A192,Hoja4!A:C,3,0),"")</f>
        <v>Insumo</v>
      </c>
      <c r="K192" s="9">
        <f t="shared" si="5"/>
        <v>0.40692591579186216</v>
      </c>
      <c r="L192" s="6">
        <f>IFERROR(VLOOKUP(A192,'[1]Consumo SEMANA ENEA'!$F:$ES,144,0),0)</f>
        <v>3995.8133333333335</v>
      </c>
    </row>
    <row r="193" spans="1:12" x14ac:dyDescent="0.3">
      <c r="A193" s="2">
        <v>107259</v>
      </c>
      <c r="B193" s="2" t="s">
        <v>180</v>
      </c>
      <c r="C193" s="2" t="s">
        <v>1</v>
      </c>
      <c r="D193" s="2" t="s">
        <v>2</v>
      </c>
      <c r="E193" s="2">
        <v>680</v>
      </c>
      <c r="F193" s="17">
        <v>2190</v>
      </c>
      <c r="G193" s="17">
        <v>1489200</v>
      </c>
      <c r="H193" s="1">
        <f t="shared" ca="1" si="4"/>
        <v>46207</v>
      </c>
      <c r="I193" s="5">
        <f>IFERROR(VLOOKUP(A193,'[1]Consumo SEMANA ENEA'!$F:$EM,138,0),0)</f>
        <v>1124.4612</v>
      </c>
      <c r="J193" s="2" t="str">
        <f>IFERROR(VLOOKUP(A193,Hoja4!A:C,3,0),"")</f>
        <v>Remojo</v>
      </c>
      <c r="K193" s="9">
        <f t="shared" si="5"/>
        <v>0.60473407174920757</v>
      </c>
      <c r="L193" s="6">
        <f>IFERROR(VLOOKUP(A193,'[1]Consumo SEMANA ENEA'!$F:$ES,144,0),0)</f>
        <v>562.23059999999998</v>
      </c>
    </row>
    <row r="194" spans="1:12" x14ac:dyDescent="0.3">
      <c r="A194" s="2">
        <v>107260</v>
      </c>
      <c r="B194" s="2" t="s">
        <v>181</v>
      </c>
      <c r="C194" s="2" t="s">
        <v>1</v>
      </c>
      <c r="D194" s="2" t="s">
        <v>2</v>
      </c>
      <c r="E194" s="2">
        <v>3900</v>
      </c>
      <c r="F194" s="17">
        <v>727.65</v>
      </c>
      <c r="G194" s="17">
        <v>2837835</v>
      </c>
      <c r="H194" s="1">
        <f t="shared" ca="1" si="4"/>
        <v>46207</v>
      </c>
      <c r="I194" s="5">
        <f>IFERROR(VLOOKUP(A194,'[1]Consumo SEMANA ENEA'!$F:$EM,138,0),0)</f>
        <v>5968</v>
      </c>
      <c r="J194" s="2" t="str">
        <f>IFERROR(VLOOKUP(A194,Hoja4!A:C,3,0),"")</f>
        <v>Remojo</v>
      </c>
      <c r="K194" s="9">
        <f t="shared" si="5"/>
        <v>0.65348525469168905</v>
      </c>
      <c r="L194" s="6">
        <f>IFERROR(VLOOKUP(A194,'[1]Consumo SEMANA ENEA'!$F:$ES,144,0),0)</f>
        <v>2984</v>
      </c>
    </row>
    <row r="195" spans="1:12" x14ac:dyDescent="0.3">
      <c r="A195" s="2">
        <v>107278</v>
      </c>
      <c r="B195" s="2" t="s">
        <v>182</v>
      </c>
      <c r="C195" s="2" t="s">
        <v>1</v>
      </c>
      <c r="D195" s="2" t="s">
        <v>2</v>
      </c>
      <c r="E195" s="5">
        <v>1790</v>
      </c>
      <c r="F195" s="17">
        <v>720.8</v>
      </c>
      <c r="G195" s="17">
        <v>1290232</v>
      </c>
      <c r="H195" s="1">
        <f t="shared" ref="H195:H258" ca="1" si="6">TODAY()</f>
        <v>46207</v>
      </c>
      <c r="I195" s="5">
        <f>IFERROR(VLOOKUP(A195,'[1]Consumo SEMANA ENEA'!$F:$EM,138,0),0)</f>
        <v>912.54166666666663</v>
      </c>
      <c r="J195" s="2" t="str">
        <f>IFERROR(VLOOKUP(A195,Hoja4!A:C,3,0),"")</f>
        <v>Remojo</v>
      </c>
      <c r="K195" s="9">
        <f t="shared" ref="K195:K256" si="7">IFERROR(+E195/I195,0)</f>
        <v>1.9615542669284509</v>
      </c>
      <c r="L195" s="6">
        <f>IFERROR(VLOOKUP(A195,'[1]Consumo SEMANA ENEA'!$F:$ES,144,0),0)</f>
        <v>304.18055555555554</v>
      </c>
    </row>
    <row r="196" spans="1:12" x14ac:dyDescent="0.3">
      <c r="A196" s="2">
        <v>107355</v>
      </c>
      <c r="B196" s="2" t="s">
        <v>183</v>
      </c>
      <c r="C196" s="2" t="s">
        <v>1</v>
      </c>
      <c r="D196" s="2" t="s">
        <v>2</v>
      </c>
      <c r="E196" s="2">
        <v>591</v>
      </c>
      <c r="F196" s="17">
        <v>2818</v>
      </c>
      <c r="G196" s="17">
        <v>1665438</v>
      </c>
      <c r="H196" s="1">
        <f t="shared" ca="1" si="6"/>
        <v>46207</v>
      </c>
      <c r="I196" s="5">
        <f>IFERROR(VLOOKUP(A196,'[1]Consumo SEMANA ENEA'!$F:$EM,138,0),0)</f>
        <v>170.94736842105263</v>
      </c>
      <c r="J196" s="2" t="str">
        <f>IFERROR(VLOOKUP(A196,Hoja4!A:C,3,0),"")</f>
        <v>Jugo</v>
      </c>
      <c r="K196" s="9">
        <f t="shared" si="7"/>
        <v>3.4572044334975369</v>
      </c>
      <c r="L196" s="6">
        <f>IFERROR(VLOOKUP(A196,'[1]Consumo SEMANA ENEA'!$F:$ES,144,0),0)</f>
        <v>85.473684210526315</v>
      </c>
    </row>
    <row r="197" spans="1:12" x14ac:dyDescent="0.3">
      <c r="A197" s="2">
        <v>405319</v>
      </c>
      <c r="B197" s="2" t="s">
        <v>184</v>
      </c>
      <c r="C197" s="2" t="s">
        <v>1</v>
      </c>
      <c r="D197" s="2" t="s">
        <v>2</v>
      </c>
      <c r="E197" s="2">
        <v>3500</v>
      </c>
      <c r="F197" s="17">
        <v>256</v>
      </c>
      <c r="G197" s="17">
        <v>896000</v>
      </c>
      <c r="H197" s="1">
        <f t="shared" ca="1" si="6"/>
        <v>46207</v>
      </c>
      <c r="I197" s="5">
        <f>IFERROR(VLOOKUP(A197,'[1]Consumo SEMANA ENEA'!$F:$EM,138,0),0)</f>
        <v>241.66666666666666</v>
      </c>
      <c r="J197" s="2" t="str">
        <f>IFERROR(VLOOKUP(A197,Hoja4!A:C,3,0),"")</f>
        <v>Carton</v>
      </c>
      <c r="K197" s="9">
        <f t="shared" si="7"/>
        <v>14.482758620689657</v>
      </c>
      <c r="L197" s="6">
        <f>IFERROR(VLOOKUP(A197,'[1]Consumo SEMANA ENEA'!$F:$ES,144,0),0)</f>
        <v>241.66666666666669</v>
      </c>
    </row>
    <row r="198" spans="1:12" x14ac:dyDescent="0.3">
      <c r="A198" s="2">
        <v>107333</v>
      </c>
      <c r="B198" s="2" t="s">
        <v>186</v>
      </c>
      <c r="C198" s="2" t="s">
        <v>1</v>
      </c>
      <c r="D198" s="2" t="s">
        <v>2</v>
      </c>
      <c r="E198" s="2">
        <v>54.81</v>
      </c>
      <c r="F198" s="17">
        <v>4424.5</v>
      </c>
      <c r="G198" s="17">
        <v>242506.845</v>
      </c>
      <c r="H198" s="1">
        <f t="shared" ca="1" si="6"/>
        <v>46207</v>
      </c>
      <c r="I198" s="5">
        <f>IFERROR(VLOOKUP(A198,'[1]Consumo SEMANA ENEA'!$F:$EM,138,0),0)</f>
        <v>45.531818181818181</v>
      </c>
      <c r="J198" s="2" t="str">
        <f>IFERROR(VLOOKUP(A198,Hoja4!A:C,3,0),"")</f>
        <v>Leche condensada</v>
      </c>
      <c r="K198" s="9">
        <f t="shared" si="7"/>
        <v>1.2037735849056603</v>
      </c>
      <c r="L198" s="6">
        <f>IFERROR(VLOOKUP(A198,'[1]Consumo SEMANA ENEA'!$F:$ES,144,0),0)</f>
        <v>22.765909090909091</v>
      </c>
    </row>
    <row r="199" spans="1:12" x14ac:dyDescent="0.3">
      <c r="A199" s="2">
        <v>405539</v>
      </c>
      <c r="B199" s="2" t="s">
        <v>187</v>
      </c>
      <c r="C199" s="2" t="s">
        <v>1</v>
      </c>
      <c r="D199" s="2" t="s">
        <v>2</v>
      </c>
      <c r="E199" s="2">
        <v>85</v>
      </c>
      <c r="F199" s="17">
        <v>2950</v>
      </c>
      <c r="G199" s="17">
        <v>250750</v>
      </c>
      <c r="H199" s="1">
        <f t="shared" ca="1" si="6"/>
        <v>46207</v>
      </c>
      <c r="I199" s="5">
        <f>IFERROR(VLOOKUP(A199,'[1]Consumo SEMANA ENEA'!$F:$EM,138,0),0)</f>
        <v>110.74000000000001</v>
      </c>
      <c r="J199" s="2" t="str">
        <f>IFERROR(VLOOKUP(A199,Hoja4!A:C,3,0),"")</f>
        <v>Leche condensada</v>
      </c>
      <c r="K199" s="9">
        <f t="shared" si="7"/>
        <v>0.76756366263319475</v>
      </c>
      <c r="L199" s="6">
        <f>IFERROR(VLOOKUP(A199,'[1]Consumo SEMANA ENEA'!$F:$ES,144,0),0)</f>
        <v>55.370000000000005</v>
      </c>
    </row>
    <row r="200" spans="1:12" x14ac:dyDescent="0.3">
      <c r="A200" s="2">
        <v>107109</v>
      </c>
      <c r="B200" s="2" t="s">
        <v>188</v>
      </c>
      <c r="C200" s="2" t="s">
        <v>1</v>
      </c>
      <c r="D200" s="2" t="s">
        <v>2</v>
      </c>
      <c r="E200" s="2">
        <v>6310</v>
      </c>
      <c r="F200" s="17">
        <v>2323</v>
      </c>
      <c r="G200" s="17">
        <v>14658130</v>
      </c>
      <c r="H200" s="1">
        <f t="shared" ca="1" si="6"/>
        <v>46207</v>
      </c>
      <c r="I200" s="5">
        <f>IFERROR(VLOOKUP(A200,'[1]Consumo SEMANA ENEA'!$F:$EM,138,0),0)</f>
        <v>8738.7999999999993</v>
      </c>
      <c r="J200" s="2" t="str">
        <f>IFERROR(VLOOKUP(A200,Hoja4!A:C,3,0),"")</f>
        <v>Manjar</v>
      </c>
      <c r="K200" s="9">
        <f t="shared" si="7"/>
        <v>0.72206710303474164</v>
      </c>
      <c r="L200" s="6">
        <f>IFERROR(VLOOKUP(A200,'[1]Consumo SEMANA ENEA'!$F:$ES,144,0),0)</f>
        <v>4369.3999999999996</v>
      </c>
    </row>
    <row r="201" spans="1:12" x14ac:dyDescent="0.3">
      <c r="A201" s="2">
        <v>107331</v>
      </c>
      <c r="B201" s="2" t="s">
        <v>189</v>
      </c>
      <c r="C201" s="2" t="s">
        <v>1</v>
      </c>
      <c r="D201" s="2" t="s">
        <v>2</v>
      </c>
      <c r="E201" s="5">
        <v>20</v>
      </c>
      <c r="F201" s="17">
        <v>5799.95</v>
      </c>
      <c r="G201" s="17">
        <v>115999</v>
      </c>
      <c r="H201" s="1">
        <f t="shared" ca="1" si="6"/>
        <v>46207</v>
      </c>
      <c r="I201" s="5">
        <f>IFERROR(VLOOKUP(A201,'[1]Consumo SEMANA ENEA'!$F:$EM,138,0),0)</f>
        <v>64.375</v>
      </c>
      <c r="J201" s="2" t="str">
        <f>IFERROR(VLOOKUP(A201,Hoja4!A:C,3,0),"")</f>
        <v>Margarina</v>
      </c>
      <c r="K201" s="9">
        <f t="shared" si="7"/>
        <v>0.31067961165048541</v>
      </c>
      <c r="L201" s="6">
        <f>IFERROR(VLOOKUP(A201,'[1]Consumo SEMANA ENEA'!$F:$ES,144,0),0)</f>
        <v>32.1875</v>
      </c>
    </row>
    <row r="202" spans="1:12" x14ac:dyDescent="0.3">
      <c r="A202" s="2">
        <v>405700</v>
      </c>
      <c r="B202" s="2" t="s">
        <v>818</v>
      </c>
      <c r="C202" s="2" t="s">
        <v>1</v>
      </c>
      <c r="D202" s="2" t="s">
        <v>2</v>
      </c>
      <c r="E202" s="2">
        <v>615</v>
      </c>
      <c r="F202" s="17">
        <v>1472.97</v>
      </c>
      <c r="G202" s="17">
        <v>905876.55</v>
      </c>
      <c r="H202" s="1">
        <f t="shared" ca="1" si="6"/>
        <v>46207</v>
      </c>
      <c r="I202" s="5">
        <f>IFERROR(VLOOKUP(A202,'[1]Consumo SEMANA ENEA'!$F:$EM,138,0),0)</f>
        <v>1800</v>
      </c>
      <c r="J202" s="2" t="str">
        <f>IFERROR(VLOOKUP(A202,Hoja4!A:C,3,0),"")</f>
        <v>Margarina</v>
      </c>
      <c r="K202" s="9">
        <f t="shared" si="7"/>
        <v>0.34166666666666667</v>
      </c>
      <c r="L202" s="6">
        <f>IFERROR(VLOOKUP(A202,'[1]Consumo SEMANA ENEA'!$F:$ES,144,0),0)</f>
        <v>900</v>
      </c>
    </row>
    <row r="203" spans="1:12" x14ac:dyDescent="0.3">
      <c r="A203" s="2">
        <v>107001</v>
      </c>
      <c r="B203" s="2" t="s">
        <v>191</v>
      </c>
      <c r="C203" s="2" t="s">
        <v>1</v>
      </c>
      <c r="D203" s="2" t="s">
        <v>2</v>
      </c>
      <c r="E203" s="5">
        <v>342.88600000000002</v>
      </c>
      <c r="F203" s="17">
        <v>5603.57</v>
      </c>
      <c r="G203" s="17">
        <v>1921385.703</v>
      </c>
      <c r="H203" s="1">
        <f t="shared" ca="1" si="6"/>
        <v>46207</v>
      </c>
      <c r="I203" s="5">
        <f>IFERROR(VLOOKUP(A203,'[1]Consumo SEMANA ENEA'!$F:$EM,138,0),0)</f>
        <v>166.44049999999996</v>
      </c>
      <c r="J203" s="2" t="str">
        <f>IFERROR(VLOOKUP(A203,Hoja4!A:C,3,0),"")</f>
        <v>Fruta conserva</v>
      </c>
      <c r="K203" s="9">
        <f t="shared" si="7"/>
        <v>2.0601115714023939</v>
      </c>
      <c r="L203" s="6">
        <f>IFERROR(VLOOKUP(A203,'[1]Consumo SEMANA ENEA'!$F:$ES,144,0),0)</f>
        <v>55.480166666666655</v>
      </c>
    </row>
    <row r="204" spans="1:12" x14ac:dyDescent="0.3">
      <c r="A204" s="2">
        <v>107324</v>
      </c>
      <c r="B204" s="2" t="s">
        <v>328</v>
      </c>
      <c r="C204" s="2" t="s">
        <v>1</v>
      </c>
      <c r="D204" s="2" t="s">
        <v>2</v>
      </c>
      <c r="E204" s="2">
        <v>404.11399999999998</v>
      </c>
      <c r="F204" s="17">
        <v>5177.6499999999996</v>
      </c>
      <c r="G204" s="17">
        <v>2092360.8521</v>
      </c>
      <c r="H204" s="1">
        <f t="shared" ca="1" si="6"/>
        <v>46207</v>
      </c>
      <c r="I204" s="5">
        <f>IFERROR(VLOOKUP(A204,'[1]Consumo SEMANA ENEA'!$F:$EM,138,0),0)</f>
        <v>161.75963636363633</v>
      </c>
      <c r="J204" s="2" t="str">
        <f>IFERROR(VLOOKUP(A204,Hoja4!A:C,3,0),"")</f>
        <v>Fruta Conserva</v>
      </c>
      <c r="K204" s="9">
        <f t="shared" si="7"/>
        <v>2.4982375646020247</v>
      </c>
      <c r="L204" s="6">
        <f>IFERROR(VLOOKUP(A204,'[1]Consumo SEMANA ENEA'!$F:$ES,144,0),0)</f>
        <v>134.79969696969695</v>
      </c>
    </row>
    <row r="205" spans="1:12" x14ac:dyDescent="0.3">
      <c r="A205" s="2">
        <v>405408</v>
      </c>
      <c r="B205" s="2" t="s">
        <v>192</v>
      </c>
      <c r="C205" s="2" t="s">
        <v>1</v>
      </c>
      <c r="D205" s="2" t="s">
        <v>2</v>
      </c>
      <c r="E205" s="2">
        <v>396</v>
      </c>
      <c r="F205" s="17">
        <v>116.8</v>
      </c>
      <c r="G205" s="17">
        <v>46252.800000000003</v>
      </c>
      <c r="H205" s="1">
        <f t="shared" ca="1" si="6"/>
        <v>46207</v>
      </c>
      <c r="I205" s="5">
        <f>IFERROR(VLOOKUP(A205,'[1]Consumo SEMANA ENEA'!$F:$EM,138,0),0)</f>
        <v>959.76</v>
      </c>
      <c r="J205" s="2" t="str">
        <f>IFERROR(VLOOKUP(A205,Hoja4!A:C,3,0),"")</f>
        <v>Insumo</v>
      </c>
      <c r="K205" s="9">
        <f t="shared" si="7"/>
        <v>0.41260315078769694</v>
      </c>
      <c r="L205" s="6">
        <f>IFERROR(VLOOKUP(A205,'[1]Consumo SEMANA ENEA'!$F:$ES,144,0),0)</f>
        <v>319.92</v>
      </c>
    </row>
    <row r="206" spans="1:12" x14ac:dyDescent="0.3">
      <c r="A206" s="2">
        <v>405420</v>
      </c>
      <c r="B206" s="2" t="s">
        <v>193</v>
      </c>
      <c r="C206" s="2" t="s">
        <v>1</v>
      </c>
      <c r="D206" s="2" t="s">
        <v>2</v>
      </c>
      <c r="E206" s="5">
        <v>4000</v>
      </c>
      <c r="F206" s="17">
        <v>13</v>
      </c>
      <c r="G206" s="17">
        <v>52000</v>
      </c>
      <c r="H206" s="1">
        <f t="shared" ca="1" si="6"/>
        <v>46207</v>
      </c>
      <c r="I206" s="5">
        <f>IFERROR(VLOOKUP(A206,'[1]Consumo SEMANA ENEA'!$F:$EM,138,0),0)</f>
        <v>2000</v>
      </c>
      <c r="J206" s="2" t="str">
        <f>IFERROR(VLOOKUP(A206,Hoja4!A:C,3,0),"")</f>
        <v>Carton</v>
      </c>
      <c r="K206" s="9">
        <f t="shared" si="7"/>
        <v>2</v>
      </c>
      <c r="L206" s="6">
        <f>IFERROR(VLOOKUP(A206,'[1]Consumo SEMANA ENEA'!$F:$ES,144,0),0)</f>
        <v>2000</v>
      </c>
    </row>
    <row r="207" spans="1:12" x14ac:dyDescent="0.3">
      <c r="A207" s="2">
        <v>107158</v>
      </c>
      <c r="B207" s="2" t="s">
        <v>194</v>
      </c>
      <c r="C207" s="2" t="s">
        <v>1</v>
      </c>
      <c r="D207" s="2" t="s">
        <v>2</v>
      </c>
      <c r="E207" s="2">
        <v>695</v>
      </c>
      <c r="F207" s="17">
        <v>3390.94</v>
      </c>
      <c r="G207" s="17">
        <v>2356703.2999999998</v>
      </c>
      <c r="H207" s="1">
        <f t="shared" ca="1" si="6"/>
        <v>46207</v>
      </c>
      <c r="I207" s="5">
        <f>IFERROR(VLOOKUP(A207,'[1]Consumo SEMANA ENEA'!$F:$EM,138,0),0)</f>
        <v>585.79999999999995</v>
      </c>
      <c r="J207" s="2" t="str">
        <f>IFERROR(VLOOKUP(A207,Hoja4!A:C,3,0),"")</f>
        <v>Mermelada</v>
      </c>
      <c r="K207" s="9">
        <f t="shared" si="7"/>
        <v>1.1864117446227382</v>
      </c>
      <c r="L207" s="6">
        <f>IFERROR(VLOOKUP(A207,'[1]Consumo SEMANA ENEA'!$F:$ES,144,0),0)</f>
        <v>195.26666666666665</v>
      </c>
    </row>
    <row r="208" spans="1:12" x14ac:dyDescent="0.3">
      <c r="A208" s="2">
        <v>107112</v>
      </c>
      <c r="B208" s="2" t="s">
        <v>195</v>
      </c>
      <c r="C208" s="2" t="s">
        <v>1</v>
      </c>
      <c r="D208" s="2" t="s">
        <v>2</v>
      </c>
      <c r="E208" s="2">
        <v>995</v>
      </c>
      <c r="F208" s="17">
        <v>2712.91</v>
      </c>
      <c r="G208" s="17">
        <v>2699345.45</v>
      </c>
      <c r="H208" s="1">
        <f t="shared" ca="1" si="6"/>
        <v>46207</v>
      </c>
      <c r="I208" s="5">
        <f>IFERROR(VLOOKUP(A208,'[1]Consumo SEMANA ENEA'!$F:$EM,138,0),0)</f>
        <v>1016</v>
      </c>
      <c r="J208" s="2" t="str">
        <f>IFERROR(VLOOKUP(A208,Hoja4!A:C,3,0),"")</f>
        <v>Insumo</v>
      </c>
      <c r="K208" s="9">
        <f t="shared" si="7"/>
        <v>0.97933070866141736</v>
      </c>
      <c r="L208" s="6">
        <f>IFERROR(VLOOKUP(A208,'[1]Consumo SEMANA ENEA'!$F:$ES,144,0),0)</f>
        <v>508</v>
      </c>
    </row>
    <row r="209" spans="1:12" x14ac:dyDescent="0.3">
      <c r="A209" s="2">
        <v>107211</v>
      </c>
      <c r="B209" s="2" t="s">
        <v>196</v>
      </c>
      <c r="C209" s="2" t="s">
        <v>1</v>
      </c>
      <c r="D209" s="2" t="s">
        <v>2</v>
      </c>
      <c r="E209" s="5">
        <v>112.5</v>
      </c>
      <c r="F209" s="17">
        <v>13006.37</v>
      </c>
      <c r="G209" s="17">
        <v>1463216.625</v>
      </c>
      <c r="H209" s="1">
        <f t="shared" ca="1" si="6"/>
        <v>46207</v>
      </c>
      <c r="I209" s="5">
        <f>IFERROR(VLOOKUP(A209,'[1]Consumo SEMANA ENEA'!$F:$EM,138,0),0)</f>
        <v>35</v>
      </c>
      <c r="J209" s="2" t="str">
        <f>IFERROR(VLOOKUP(A209,Hoja4!A:C,3,0),"")</f>
        <v>Insumo</v>
      </c>
      <c r="K209" s="9">
        <f t="shared" si="7"/>
        <v>3.2142857142857144</v>
      </c>
      <c r="L209" s="6">
        <f>IFERROR(VLOOKUP(A209,'[1]Consumo SEMANA ENEA'!$F:$ES,144,0),0)</f>
        <v>17.5</v>
      </c>
    </row>
    <row r="210" spans="1:12" x14ac:dyDescent="0.3">
      <c r="A210" s="2">
        <v>170173</v>
      </c>
      <c r="B210" s="2" t="s">
        <v>197</v>
      </c>
      <c r="C210" s="2" t="s">
        <v>1</v>
      </c>
      <c r="D210" s="2" t="s">
        <v>2</v>
      </c>
      <c r="E210" s="5">
        <v>865</v>
      </c>
      <c r="F210" s="17">
        <v>2035.19</v>
      </c>
      <c r="G210" s="17">
        <v>1760439.35</v>
      </c>
      <c r="H210" s="1">
        <f t="shared" ca="1" si="6"/>
        <v>46207</v>
      </c>
      <c r="I210" s="5">
        <f>IFERROR(VLOOKUP(A210,'[1]Consumo SEMANA ENEA'!$F:$EM,138,0),0)</f>
        <v>263.48</v>
      </c>
      <c r="J210" s="2" t="str">
        <f>IFERROR(VLOOKUP(A210,Hoja4!A:C,3,0),"")</f>
        <v>Mermelada</v>
      </c>
      <c r="K210" s="9">
        <f t="shared" si="7"/>
        <v>3.2829816304842869</v>
      </c>
      <c r="L210" s="6">
        <f>IFERROR(VLOOKUP(A210,'[1]Consumo SEMANA ENEA'!$F:$ES,144,0),0)</f>
        <v>87.826666666666668</v>
      </c>
    </row>
    <row r="211" spans="1:12" x14ac:dyDescent="0.3">
      <c r="A211" s="2">
        <v>107157</v>
      </c>
      <c r="B211" s="2" t="s">
        <v>198</v>
      </c>
      <c r="C211" s="2" t="s">
        <v>1</v>
      </c>
      <c r="D211" s="2" t="s">
        <v>2</v>
      </c>
      <c r="E211" s="5">
        <v>1790</v>
      </c>
      <c r="F211" s="17">
        <v>2098.8000000000002</v>
      </c>
      <c r="G211" s="17">
        <v>3756852</v>
      </c>
      <c r="H211" s="1">
        <f t="shared" ca="1" si="6"/>
        <v>46207</v>
      </c>
      <c r="I211" s="5">
        <f>IFERROR(VLOOKUP(A211,'[1]Consumo SEMANA ENEA'!$F:$EM,138,0),0)</f>
        <v>884.77272727272725</v>
      </c>
      <c r="J211" s="2" t="str">
        <f>IFERROR(VLOOKUP(A211,Hoja4!A:C,3,0),"")</f>
        <v>Mermelada</v>
      </c>
      <c r="K211" s="9">
        <f t="shared" si="7"/>
        <v>2.0231184176727459</v>
      </c>
      <c r="L211" s="6">
        <f>IFERROR(VLOOKUP(A211,'[1]Consumo SEMANA ENEA'!$F:$ES,144,0),0)</f>
        <v>294.92424242424244</v>
      </c>
    </row>
    <row r="212" spans="1:12" x14ac:dyDescent="0.3">
      <c r="A212" s="2">
        <v>405447</v>
      </c>
      <c r="B212" s="2" t="s">
        <v>199</v>
      </c>
      <c r="C212" s="2" t="s">
        <v>1</v>
      </c>
      <c r="D212" s="2" t="s">
        <v>2</v>
      </c>
      <c r="E212" s="2">
        <v>504</v>
      </c>
      <c r="F212" s="17">
        <v>2928.13</v>
      </c>
      <c r="G212" s="17">
        <v>1475777.52</v>
      </c>
      <c r="H212" s="1">
        <f t="shared" ca="1" si="6"/>
        <v>46207</v>
      </c>
      <c r="I212" s="5">
        <f>IFERROR(VLOOKUP(A212,'[1]Consumo SEMANA ENEA'!$F:$EM,138,0),0)</f>
        <v>0</v>
      </c>
      <c r="J212" s="2" t="str">
        <f>IFERROR(VLOOKUP(A212,Hoja4!A:C,3,0),"")</f>
        <v>Mermelada</v>
      </c>
      <c r="K212" s="9">
        <f t="shared" si="7"/>
        <v>0</v>
      </c>
      <c r="L212" s="6">
        <f>IFERROR(VLOOKUP(A212,'[1]Consumo SEMANA ENEA'!$F:$ES,144,0),0)</f>
        <v>0</v>
      </c>
    </row>
    <row r="213" spans="1:12" x14ac:dyDescent="0.3">
      <c r="A213" s="2">
        <v>107172</v>
      </c>
      <c r="B213" s="2" t="s">
        <v>200</v>
      </c>
      <c r="C213" s="2" t="s">
        <v>1</v>
      </c>
      <c r="D213" s="2" t="s">
        <v>2</v>
      </c>
      <c r="E213" s="5">
        <v>665</v>
      </c>
      <c r="F213" s="17">
        <v>2018.24</v>
      </c>
      <c r="G213" s="17">
        <v>1342129.6000000001</v>
      </c>
      <c r="H213" s="1">
        <f t="shared" ca="1" si="6"/>
        <v>46207</v>
      </c>
      <c r="I213" s="5">
        <f>IFERROR(VLOOKUP(A213,'[1]Consumo SEMANA ENEA'!$F:$EM,138,0),0)</f>
        <v>643.92857142857144</v>
      </c>
      <c r="J213" s="2" t="str">
        <f>IFERROR(VLOOKUP(A213,Hoja4!A:C,3,0),"")</f>
        <v>Mermelada</v>
      </c>
      <c r="K213" s="9">
        <f t="shared" si="7"/>
        <v>1.0327232390460344</v>
      </c>
      <c r="L213" s="6">
        <f>IFERROR(VLOOKUP(A213,'[1]Consumo SEMANA ENEA'!$F:$ES,144,0),0)</f>
        <v>214.64285714285714</v>
      </c>
    </row>
    <row r="214" spans="1:12" x14ac:dyDescent="0.3">
      <c r="A214" s="2">
        <v>107129</v>
      </c>
      <c r="B214" s="2" t="s">
        <v>201</v>
      </c>
      <c r="C214" s="2" t="s">
        <v>1</v>
      </c>
      <c r="D214" s="2" t="s">
        <v>2</v>
      </c>
      <c r="E214" s="2">
        <v>1010</v>
      </c>
      <c r="F214" s="17">
        <v>4316.32</v>
      </c>
      <c r="G214" s="17">
        <v>4359483.2</v>
      </c>
      <c r="H214" s="1">
        <f t="shared" ca="1" si="6"/>
        <v>46207</v>
      </c>
      <c r="I214" s="5">
        <f>IFERROR(VLOOKUP(A214,'[1]Consumo SEMANA ENEA'!$F:$EM,138,0),0)</f>
        <v>1749.28</v>
      </c>
      <c r="J214" s="2" t="str">
        <f>IFERROR(VLOOKUP(A214,Hoja4!A:C,3,0),"")</f>
        <v>Mermelada</v>
      </c>
      <c r="K214" s="9">
        <f t="shared" si="7"/>
        <v>0.57738040793926648</v>
      </c>
      <c r="L214" s="6">
        <f>IFERROR(VLOOKUP(A214,'[1]Consumo SEMANA ENEA'!$F:$ES,144,0),0)</f>
        <v>583.09333333333336</v>
      </c>
    </row>
    <row r="215" spans="1:12" x14ac:dyDescent="0.3">
      <c r="A215" s="2">
        <v>107113</v>
      </c>
      <c r="B215" s="2" t="s">
        <v>202</v>
      </c>
      <c r="C215" s="2" t="s">
        <v>1</v>
      </c>
      <c r="D215" s="2" t="s">
        <v>2</v>
      </c>
      <c r="E215" s="2">
        <v>1355</v>
      </c>
      <c r="F215" s="17">
        <v>3294.48</v>
      </c>
      <c r="G215" s="17">
        <v>4464020.4000000004</v>
      </c>
      <c r="H215" s="1">
        <f t="shared" ca="1" si="6"/>
        <v>46207</v>
      </c>
      <c r="I215" s="5">
        <f>IFERROR(VLOOKUP(A215,'[1]Consumo SEMANA ENEA'!$F:$EM,138,0),0)</f>
        <v>494.25</v>
      </c>
      <c r="J215" s="2" t="str">
        <f>IFERROR(VLOOKUP(A215,Hoja4!A:C,3,0),"")</f>
        <v>Mermelada</v>
      </c>
      <c r="K215" s="9">
        <f t="shared" si="7"/>
        <v>2.7415275670207384</v>
      </c>
      <c r="L215" s="6">
        <f>IFERROR(VLOOKUP(A215,'[1]Consumo SEMANA ENEA'!$F:$ES,144,0),0)</f>
        <v>164.75</v>
      </c>
    </row>
    <row r="216" spans="1:12" x14ac:dyDescent="0.3">
      <c r="A216" s="2">
        <v>107193</v>
      </c>
      <c r="B216" s="2" t="s">
        <v>203</v>
      </c>
      <c r="C216" s="2" t="s">
        <v>1</v>
      </c>
      <c r="D216" s="2" t="s">
        <v>2</v>
      </c>
      <c r="E216" s="2">
        <v>1800</v>
      </c>
      <c r="F216" s="17">
        <v>3837.2</v>
      </c>
      <c r="G216" s="17">
        <v>6906960</v>
      </c>
      <c r="H216" s="1">
        <f t="shared" ca="1" si="6"/>
        <v>46207</v>
      </c>
      <c r="I216" s="5">
        <f>IFERROR(VLOOKUP(A216,'[1]Consumo SEMANA ENEA'!$F:$EM,138,0),0)</f>
        <v>1001.04</v>
      </c>
      <c r="J216" s="2" t="str">
        <f>IFERROR(VLOOKUP(A216,Hoja4!A:C,3,0),"")</f>
        <v>Mermelada</v>
      </c>
      <c r="K216" s="9">
        <f t="shared" si="7"/>
        <v>1.7981299448573485</v>
      </c>
      <c r="L216" s="6">
        <f>IFERROR(VLOOKUP(A216,'[1]Consumo SEMANA ENEA'!$F:$ES,144,0),0)</f>
        <v>333.68</v>
      </c>
    </row>
    <row r="217" spans="1:12" x14ac:dyDescent="0.3">
      <c r="A217" s="2">
        <v>405723</v>
      </c>
      <c r="B217" s="2" t="s">
        <v>204</v>
      </c>
      <c r="C217" s="2" t="s">
        <v>1</v>
      </c>
      <c r="D217" s="2" t="s">
        <v>2</v>
      </c>
      <c r="E217" s="2">
        <v>73.5</v>
      </c>
      <c r="F217" s="17">
        <v>828.9</v>
      </c>
      <c r="G217" s="17">
        <v>60924.15</v>
      </c>
      <c r="H217" s="1">
        <f t="shared" ca="1" si="6"/>
        <v>46207</v>
      </c>
      <c r="I217" s="5">
        <f>IFERROR(VLOOKUP(A217,'[1]Consumo SEMANA ENEA'!$F:$EM,138,0),0)</f>
        <v>15</v>
      </c>
      <c r="J217" s="2" t="str">
        <f>IFERROR(VLOOKUP(A217,Hoja4!A:C,3,0),"")</f>
        <v>Jugo</v>
      </c>
      <c r="K217" s="9">
        <f t="shared" si="7"/>
        <v>4.9000000000000004</v>
      </c>
      <c r="L217" s="6">
        <f>IFERROR(VLOOKUP(A217,'[1]Consumo SEMANA ENEA'!$F:$ES,144,0),0)</f>
        <v>7.5</v>
      </c>
    </row>
    <row r="218" spans="1:12" x14ac:dyDescent="0.3">
      <c r="A218" s="2">
        <v>107280</v>
      </c>
      <c r="B218" s="2" t="s">
        <v>205</v>
      </c>
      <c r="C218" s="2" t="s">
        <v>1</v>
      </c>
      <c r="D218" s="2" t="s">
        <v>2</v>
      </c>
      <c r="E218" s="5">
        <v>1021.5</v>
      </c>
      <c r="F218" s="17">
        <v>2750</v>
      </c>
      <c r="G218" s="17">
        <v>2809125</v>
      </c>
      <c r="H218" s="1">
        <f t="shared" ca="1" si="6"/>
        <v>46207</v>
      </c>
      <c r="I218" s="5">
        <f>IFERROR(VLOOKUP(A218,'[1]Consumo SEMANA ENEA'!$F:$EM,138,0),0)</f>
        <v>588.29480000000001</v>
      </c>
      <c r="J218" s="2" t="str">
        <f>IFERROR(VLOOKUP(A218,Hoja4!A:C,3,0),"")</f>
        <v>Mermelada</v>
      </c>
      <c r="K218" s="9">
        <f t="shared" si="7"/>
        <v>1.7363743483709189</v>
      </c>
      <c r="L218" s="6">
        <f>IFERROR(VLOOKUP(A218,'[1]Consumo SEMANA ENEA'!$F:$ES,144,0),0)</f>
        <v>294.1474</v>
      </c>
    </row>
    <row r="219" spans="1:12" x14ac:dyDescent="0.3">
      <c r="A219" s="2">
        <v>405650</v>
      </c>
      <c r="B219" s="2" t="s">
        <v>206</v>
      </c>
      <c r="C219" s="2" t="s">
        <v>1</v>
      </c>
      <c r="D219" s="2" t="s">
        <v>2</v>
      </c>
      <c r="E219" s="5">
        <v>30</v>
      </c>
      <c r="F219" s="17">
        <v>7990</v>
      </c>
      <c r="G219" s="17">
        <v>239700</v>
      </c>
      <c r="H219" s="1">
        <f t="shared" ca="1" si="6"/>
        <v>46207</v>
      </c>
      <c r="I219" s="5">
        <f>IFERROR(VLOOKUP(A219,'[1]Consumo SEMANA ENEA'!$F:$EM,138,0),0)</f>
        <v>6.3636363636363633</v>
      </c>
      <c r="J219" s="2" t="str">
        <f>IFERROR(VLOOKUP(A219,Hoja4!A:C,3,0),"")</f>
        <v>Esencia</v>
      </c>
      <c r="K219" s="9">
        <f t="shared" si="7"/>
        <v>4.7142857142857144</v>
      </c>
      <c r="L219" s="6">
        <f>IFERROR(VLOOKUP(A219,'[1]Consumo SEMANA ENEA'!$F:$ES,144,0),0)</f>
        <v>2.1212121212121211</v>
      </c>
    </row>
    <row r="220" spans="1:12" x14ac:dyDescent="0.3">
      <c r="A220" s="2">
        <v>402130</v>
      </c>
      <c r="B220" s="2" t="s">
        <v>208</v>
      </c>
      <c r="C220" s="2" t="s">
        <v>1</v>
      </c>
      <c r="D220" s="2" t="s">
        <v>2</v>
      </c>
      <c r="E220" s="2">
        <v>105</v>
      </c>
      <c r="F220" s="17">
        <v>5000</v>
      </c>
      <c r="G220" s="17">
        <v>525000</v>
      </c>
      <c r="H220" s="1">
        <f t="shared" ca="1" si="6"/>
        <v>46207</v>
      </c>
      <c r="I220" s="5">
        <f>IFERROR(VLOOKUP(A220,'[1]Consumo SEMANA ENEA'!$F:$EM,138,0),0)</f>
        <v>17.857142857142858</v>
      </c>
      <c r="J220" s="2" t="str">
        <f>IFERROR(VLOOKUP(A220,Hoja4!A:C,3,0),"")</f>
        <v>Esencia</v>
      </c>
      <c r="K220" s="9">
        <f t="shared" si="7"/>
        <v>5.88</v>
      </c>
      <c r="L220" s="6">
        <f>IFERROR(VLOOKUP(A220,'[1]Consumo SEMANA ENEA'!$F:$ES,144,0),0)</f>
        <v>5.9523809523809526</v>
      </c>
    </row>
    <row r="221" spans="1:12" x14ac:dyDescent="0.3">
      <c r="A221" s="2">
        <v>405507</v>
      </c>
      <c r="B221" s="2" t="s">
        <v>209</v>
      </c>
      <c r="C221" s="2" t="s">
        <v>1</v>
      </c>
      <c r="D221" s="2" t="s">
        <v>2</v>
      </c>
      <c r="E221" s="2">
        <v>288.77199999999999</v>
      </c>
      <c r="F221" s="17">
        <v>5312.5</v>
      </c>
      <c r="G221" s="17">
        <v>1534101.25</v>
      </c>
      <c r="H221" s="1">
        <f t="shared" ca="1" si="6"/>
        <v>46207</v>
      </c>
      <c r="I221" s="5">
        <f>IFERROR(VLOOKUP(A221,'[1]Consumo SEMANA ENEA'!$F:$EM,138,0),0)</f>
        <v>161.61904761904762</v>
      </c>
      <c r="J221" s="2" t="str">
        <f>IFERROR(VLOOKUP(A221,Hoja4!A:C,3,0),"")</f>
        <v>Galleta</v>
      </c>
      <c r="K221" s="9">
        <f t="shared" si="7"/>
        <v>1.7867448438420741</v>
      </c>
      <c r="L221" s="6">
        <f>IFERROR(VLOOKUP(A221,'[1]Consumo SEMANA ENEA'!$F:$ES,144,0),0)</f>
        <v>80.80952380952381</v>
      </c>
    </row>
    <row r="222" spans="1:12" x14ac:dyDescent="0.3">
      <c r="A222" s="2">
        <v>393399</v>
      </c>
      <c r="B222" s="2" t="s">
        <v>210</v>
      </c>
      <c r="C222" s="2" t="s">
        <v>1</v>
      </c>
      <c r="D222" s="2" t="s">
        <v>2</v>
      </c>
      <c r="E222" s="2">
        <v>66.56</v>
      </c>
      <c r="F222" s="17">
        <v>57964.59</v>
      </c>
      <c r="G222" s="17">
        <v>3858123.1104000001</v>
      </c>
      <c r="H222" s="1">
        <f t="shared" ca="1" si="6"/>
        <v>46207</v>
      </c>
      <c r="I222" s="5">
        <f>IFERROR(VLOOKUP(A222,'[1]Consumo SEMANA ENEA'!$F:$EM,138,0),0)</f>
        <v>3.8359999999999999</v>
      </c>
      <c r="J222" s="2" t="str">
        <f>IFERROR(VLOOKUP(A222,Hoja4!A:C,3,0),"")</f>
        <v>Chocolate</v>
      </c>
      <c r="K222" s="9">
        <f t="shared" si="7"/>
        <v>17.35140771637122</v>
      </c>
      <c r="L222" s="6">
        <f>IFERROR(VLOOKUP(A222,'[1]Consumo SEMANA ENEA'!$F:$ES,144,0),0)</f>
        <v>1.9179999999999999</v>
      </c>
    </row>
    <row r="223" spans="1:12" x14ac:dyDescent="0.3">
      <c r="A223" s="2">
        <v>107346</v>
      </c>
      <c r="B223" s="2" t="s">
        <v>211</v>
      </c>
      <c r="C223" s="2" t="s">
        <v>1</v>
      </c>
      <c r="D223" s="2" t="s">
        <v>2</v>
      </c>
      <c r="E223" s="5">
        <v>1037.74</v>
      </c>
      <c r="F223" s="17">
        <v>3045.24</v>
      </c>
      <c r="G223" s="17">
        <v>3160167.3576000002</v>
      </c>
      <c r="H223" s="1">
        <f t="shared" ca="1" si="6"/>
        <v>46207</v>
      </c>
      <c r="I223" s="5">
        <f>IFERROR(VLOOKUP(A223,'[1]Consumo SEMANA ENEA'!$F:$EM,138,0),0)</f>
        <v>1356.4072000000001</v>
      </c>
      <c r="J223" s="2" t="str">
        <f>IFERROR(VLOOKUP(A223,Hoja4!A:C,3,0),"")</f>
        <v>Fruta conserva</v>
      </c>
      <c r="K223" s="9">
        <f t="shared" si="7"/>
        <v>0.76506523999577702</v>
      </c>
      <c r="L223" s="6">
        <f>IFERROR(VLOOKUP(A223,'[1]Consumo SEMANA ENEA'!$F:$ES,144,0),0)</f>
        <v>452.13573333333335</v>
      </c>
    </row>
    <row r="224" spans="1:12" x14ac:dyDescent="0.3">
      <c r="A224" s="2">
        <v>107117</v>
      </c>
      <c r="B224" s="2" t="s">
        <v>443</v>
      </c>
      <c r="C224" s="2" t="s">
        <v>1</v>
      </c>
      <c r="D224" s="2" t="s">
        <v>2</v>
      </c>
      <c r="E224" s="5">
        <v>1072.22</v>
      </c>
      <c r="F224" s="17">
        <v>2569.83</v>
      </c>
      <c r="G224" s="17">
        <v>2755423.1225999999</v>
      </c>
      <c r="H224" s="1">
        <f t="shared" ca="1" si="6"/>
        <v>46207</v>
      </c>
      <c r="I224" s="5">
        <f>IFERROR(VLOOKUP(A224,'[1]Consumo SEMANA ENEA'!$F:$EM,138,0),0)</f>
        <v>344.22700000000003</v>
      </c>
      <c r="J224" s="2" t="str">
        <f>IFERROR(VLOOKUP(A224,Hoja4!A:C,3,0),"")</f>
        <v>Fruta Conserva</v>
      </c>
      <c r="K224" s="9">
        <f t="shared" si="7"/>
        <v>3.1148631571608267</v>
      </c>
      <c r="L224" s="6">
        <f>IFERROR(VLOOKUP(A224,'[1]Consumo SEMANA ENEA'!$F:$ES,144,0),0)</f>
        <v>172.11350000000002</v>
      </c>
    </row>
    <row r="225" spans="1:12" x14ac:dyDescent="0.3">
      <c r="A225" s="2">
        <v>405607</v>
      </c>
      <c r="B225" s="2" t="s">
        <v>213</v>
      </c>
      <c r="C225" s="2" t="s">
        <v>1</v>
      </c>
      <c r="D225" s="2" t="s">
        <v>2</v>
      </c>
      <c r="E225" s="2">
        <v>25</v>
      </c>
      <c r="F225" s="17">
        <v>34000</v>
      </c>
      <c r="G225" s="17">
        <v>850000</v>
      </c>
      <c r="H225" s="1">
        <f t="shared" ca="1" si="6"/>
        <v>46207</v>
      </c>
      <c r="I225" s="5">
        <f>IFERROR(VLOOKUP(A225,'[1]Consumo SEMANA ENEA'!$F:$EM,138,0),0)</f>
        <v>3.3333333333333335</v>
      </c>
      <c r="J225" s="2" t="str">
        <f>IFERROR(VLOOKUP(A225,Hoja4!A:C,3,0),"")</f>
        <v>Mermelada</v>
      </c>
      <c r="K225" s="9">
        <f t="shared" si="7"/>
        <v>7.5</v>
      </c>
      <c r="L225" s="6">
        <f>IFERROR(VLOOKUP(A225,'[1]Consumo SEMANA ENEA'!$F:$ES,144,0),0)</f>
        <v>1.1111111111111112</v>
      </c>
    </row>
    <row r="226" spans="1:12" x14ac:dyDescent="0.3">
      <c r="A226" s="2">
        <v>405530</v>
      </c>
      <c r="B226" s="2" t="s">
        <v>705</v>
      </c>
      <c r="C226" s="2" t="s">
        <v>1</v>
      </c>
      <c r="D226" s="2" t="s">
        <v>2</v>
      </c>
      <c r="E226" s="5">
        <v>12</v>
      </c>
      <c r="F226" s="17">
        <v>39990</v>
      </c>
      <c r="G226" s="17">
        <v>479880</v>
      </c>
      <c r="H226" s="1">
        <f t="shared" ca="1" si="6"/>
        <v>46207</v>
      </c>
      <c r="I226" s="5">
        <f>IFERROR(VLOOKUP(A226,'[1]Consumo SEMANA ENEA'!$F:$EM,138,0),0)</f>
        <v>0</v>
      </c>
      <c r="J226" s="2" t="str">
        <f>IFERROR(VLOOKUP(A226,Hoja4!A:C,3,0),"")</f>
        <v>Chocolate</v>
      </c>
      <c r="K226" s="9">
        <f t="shared" si="7"/>
        <v>0</v>
      </c>
      <c r="L226" s="6">
        <f>IFERROR(VLOOKUP(A226,'[1]Consumo SEMANA ENEA'!$F:$ES,144,0),0)</f>
        <v>0</v>
      </c>
    </row>
    <row r="227" spans="1:12" x14ac:dyDescent="0.3">
      <c r="A227" s="2">
        <v>107316</v>
      </c>
      <c r="B227" s="2" t="s">
        <v>214</v>
      </c>
      <c r="C227" s="2" t="s">
        <v>1</v>
      </c>
      <c r="D227" s="2" t="s">
        <v>2</v>
      </c>
      <c r="E227" s="2">
        <v>120</v>
      </c>
      <c r="F227" s="17">
        <v>611</v>
      </c>
      <c r="G227" s="17">
        <v>73320</v>
      </c>
      <c r="H227" s="1">
        <f t="shared" ca="1" si="6"/>
        <v>46207</v>
      </c>
      <c r="I227" s="5">
        <f>IFERROR(VLOOKUP(A227,'[1]Consumo SEMANA ENEA'!$F:$EM,138,0),0)</f>
        <v>848.92695239999989</v>
      </c>
      <c r="J227" s="2" t="str">
        <f>IFERROR(VLOOKUP(A227,Hoja4!A:C,3,0),"")</f>
        <v>Carton</v>
      </c>
      <c r="K227" s="9">
        <f t="shared" si="7"/>
        <v>0.14135491830097774</v>
      </c>
      <c r="L227" s="6">
        <f>IFERROR(VLOOKUP(A227,'[1]Consumo SEMANA ENEA'!$F:$ES,144,0),0)</f>
        <v>2122.3173809999998</v>
      </c>
    </row>
    <row r="228" spans="1:12" x14ac:dyDescent="0.3">
      <c r="A228" s="2">
        <v>405793</v>
      </c>
      <c r="B228" s="2" t="s">
        <v>815</v>
      </c>
      <c r="C228" s="2" t="s">
        <v>1</v>
      </c>
      <c r="D228" s="2" t="s">
        <v>2</v>
      </c>
      <c r="E228" s="2">
        <v>760</v>
      </c>
      <c r="F228" s="17">
        <v>617.33000000000004</v>
      </c>
      <c r="G228" s="17">
        <v>469170.8</v>
      </c>
      <c r="H228" s="1">
        <f t="shared" ca="1" si="6"/>
        <v>46207</v>
      </c>
      <c r="I228" s="5">
        <f>IFERROR(VLOOKUP(A228,'[1]Consumo SEMANA ENEA'!$F:$EM,138,0),0)</f>
        <v>1200</v>
      </c>
      <c r="J228" s="2" t="str">
        <f>IFERROR(VLOOKUP(A228,Hoja4!A:C,3,0),"")</f>
        <v>Carton</v>
      </c>
      <c r="K228" s="9">
        <f t="shared" si="7"/>
        <v>0.6333333333333333</v>
      </c>
      <c r="L228" s="6">
        <f>IFERROR(VLOOKUP(A228,'[1]Consumo SEMANA ENEA'!$F:$ES,144,0),0)</f>
        <v>3000</v>
      </c>
    </row>
    <row r="229" spans="1:12" x14ac:dyDescent="0.3">
      <c r="A229" s="2">
        <v>405570</v>
      </c>
      <c r="B229" s="2" t="s">
        <v>215</v>
      </c>
      <c r="C229" s="2" t="s">
        <v>1</v>
      </c>
      <c r="D229" s="2" t="s">
        <v>2</v>
      </c>
      <c r="E229" s="2">
        <v>3210</v>
      </c>
      <c r="F229" s="17">
        <v>1500</v>
      </c>
      <c r="G229" s="17">
        <v>4815000</v>
      </c>
      <c r="H229" s="1">
        <f t="shared" ca="1" si="6"/>
        <v>46207</v>
      </c>
      <c r="I229" s="5">
        <f>IFERROR(VLOOKUP(A229,'[1]Consumo SEMANA ENEA'!$F:$EM,138,0),0)</f>
        <v>1104.6153846153845</v>
      </c>
      <c r="J229" s="2" t="str">
        <f>IFERROR(VLOOKUP(A229,Hoja4!A:C,3,0),"")</f>
        <v>mix</v>
      </c>
      <c r="K229" s="9">
        <f t="shared" si="7"/>
        <v>2.905988857938719</v>
      </c>
      <c r="L229" s="6">
        <f>IFERROR(VLOOKUP(A229,'[1]Consumo SEMANA ENEA'!$F:$ES,144,0),0)</f>
        <v>552.30769230769226</v>
      </c>
    </row>
    <row r="230" spans="1:12" x14ac:dyDescent="0.3">
      <c r="A230" s="2">
        <v>107095</v>
      </c>
      <c r="B230" s="2" t="s">
        <v>217</v>
      </c>
      <c r="C230" s="2" t="s">
        <v>1</v>
      </c>
      <c r="D230" s="2" t="s">
        <v>2</v>
      </c>
      <c r="E230" s="2">
        <v>2322</v>
      </c>
      <c r="F230" s="17">
        <v>4446.7</v>
      </c>
      <c r="G230" s="17">
        <v>10325237.4</v>
      </c>
      <c r="H230" s="1">
        <f t="shared" ca="1" si="6"/>
        <v>46207</v>
      </c>
      <c r="I230" s="5">
        <f>IFERROR(VLOOKUP(A230,'[1]Consumo SEMANA ENEA'!$F:$EM,138,0),0)</f>
        <v>1817.1008000000002</v>
      </c>
      <c r="J230" s="2" t="str">
        <f>IFERROR(VLOOKUP(A230,Hoja4!A:C,3,0),"")</f>
        <v>Mermelada</v>
      </c>
      <c r="K230" s="9">
        <f t="shared" si="7"/>
        <v>1.2778597643014629</v>
      </c>
      <c r="L230" s="6">
        <f>IFERROR(VLOOKUP(A230,'[1]Consumo SEMANA ENEA'!$F:$ES,144,0),0)</f>
        <v>605.70026666666672</v>
      </c>
    </row>
    <row r="231" spans="1:12" x14ac:dyDescent="0.3">
      <c r="A231" s="2">
        <v>405436</v>
      </c>
      <c r="B231" s="2" t="s">
        <v>218</v>
      </c>
      <c r="C231" s="2" t="s">
        <v>1</v>
      </c>
      <c r="D231" s="2" t="s">
        <v>2</v>
      </c>
      <c r="E231" s="2">
        <v>164.5</v>
      </c>
      <c r="F231" s="17">
        <v>2428.58</v>
      </c>
      <c r="G231" s="17">
        <v>399501.41</v>
      </c>
      <c r="H231" s="1">
        <f t="shared" ca="1" si="6"/>
        <v>46207</v>
      </c>
      <c r="I231" s="5">
        <f>IFERROR(VLOOKUP(A231,'[1]Consumo SEMANA ENEA'!$F:$EM,138,0),0)</f>
        <v>191.67272727272729</v>
      </c>
      <c r="J231" s="2" t="str">
        <f>IFERROR(VLOOKUP(A231,Hoja4!A:C,3,0),"")</f>
        <v>Mermelada</v>
      </c>
      <c r="K231" s="9">
        <f t="shared" si="7"/>
        <v>0.85823373173970774</v>
      </c>
      <c r="L231" s="6">
        <f>IFERROR(VLOOKUP(A231,'[1]Consumo SEMANA ENEA'!$F:$ES,144,0),0)</f>
        <v>63.890909090909098</v>
      </c>
    </row>
    <row r="232" spans="1:12" x14ac:dyDescent="0.3">
      <c r="A232" s="2">
        <v>405133</v>
      </c>
      <c r="B232" s="2" t="s">
        <v>219</v>
      </c>
      <c r="C232" s="2" t="s">
        <v>1</v>
      </c>
      <c r="D232" s="2" t="s">
        <v>2</v>
      </c>
      <c r="E232" s="2">
        <v>694</v>
      </c>
      <c r="F232" s="17">
        <v>5887</v>
      </c>
      <c r="G232" s="17">
        <v>4085578</v>
      </c>
      <c r="H232" s="1">
        <f t="shared" ca="1" si="6"/>
        <v>46207</v>
      </c>
      <c r="I232" s="5">
        <f>IFERROR(VLOOKUP(A232,'[1]Consumo SEMANA ENEA'!$F:$EM,138,0),0)</f>
        <v>173.625</v>
      </c>
      <c r="J232" s="2" t="str">
        <f>IFERROR(VLOOKUP(A232,Hoja4!A:C,3,0),"")</f>
        <v>Chocolate</v>
      </c>
      <c r="K232" s="9">
        <f t="shared" si="7"/>
        <v>3.9971202303815696</v>
      </c>
      <c r="L232" s="6">
        <f>IFERROR(VLOOKUP(A232,'[1]Consumo SEMANA ENEA'!$F:$ES,144,0),0)</f>
        <v>115.75</v>
      </c>
    </row>
    <row r="233" spans="1:12" x14ac:dyDescent="0.3">
      <c r="A233" s="2">
        <v>405556</v>
      </c>
      <c r="B233" s="2" t="s">
        <v>220</v>
      </c>
      <c r="C233" s="2" t="s">
        <v>1</v>
      </c>
      <c r="D233" s="2" t="s">
        <v>2</v>
      </c>
      <c r="E233" s="5">
        <v>1174.5</v>
      </c>
      <c r="F233" s="17">
        <v>3299.99</v>
      </c>
      <c r="G233" s="17">
        <v>3875838.2549999999</v>
      </c>
      <c r="H233" s="1">
        <f t="shared" ca="1" si="6"/>
        <v>46207</v>
      </c>
      <c r="I233" s="5">
        <f>IFERROR(VLOOKUP(A233,'[1]Consumo SEMANA ENEA'!$F:$EM,138,0),0)</f>
        <v>335.5</v>
      </c>
      <c r="J233" s="2" t="str">
        <f>IFERROR(VLOOKUP(A233,Hoja4!A:C,3,0),"")</f>
        <v>Mermelada</v>
      </c>
      <c r="K233" s="9">
        <f t="shared" si="7"/>
        <v>3.5007451564828616</v>
      </c>
      <c r="L233" s="6">
        <f>IFERROR(VLOOKUP(A233,'[1]Consumo SEMANA ENEA'!$F:$ES,144,0),0)</f>
        <v>111.83333333333333</v>
      </c>
    </row>
    <row r="234" spans="1:12" x14ac:dyDescent="0.3">
      <c r="A234" s="2">
        <v>107204</v>
      </c>
      <c r="B234" s="2" t="s">
        <v>222</v>
      </c>
      <c r="C234" s="2" t="s">
        <v>1</v>
      </c>
      <c r="D234" s="2" t="s">
        <v>2</v>
      </c>
      <c r="E234" s="2">
        <v>261</v>
      </c>
      <c r="F234" s="17">
        <v>3304.61</v>
      </c>
      <c r="G234" s="17">
        <v>862503.21</v>
      </c>
      <c r="H234" s="1">
        <f t="shared" ca="1" si="6"/>
        <v>46207</v>
      </c>
      <c r="I234" s="5">
        <f>IFERROR(VLOOKUP(A234,'[1]Consumo SEMANA ENEA'!$F:$EM,138,0),0)</f>
        <v>120.6</v>
      </c>
      <c r="J234" s="2" t="str">
        <f>IFERROR(VLOOKUP(A234,Hoja4!A:C,3,0),"")</f>
        <v>Mermelada</v>
      </c>
      <c r="K234" s="9">
        <f t="shared" si="7"/>
        <v>2.1641791044776122</v>
      </c>
      <c r="L234" s="6">
        <f>IFERROR(VLOOKUP(A234,'[1]Consumo SEMANA ENEA'!$F:$ES,144,0),0)</f>
        <v>40.199999999999996</v>
      </c>
    </row>
    <row r="235" spans="1:12" x14ac:dyDescent="0.3">
      <c r="A235" s="2">
        <v>405537</v>
      </c>
      <c r="B235" s="2" t="s">
        <v>711</v>
      </c>
      <c r="C235" s="2" t="s">
        <v>1</v>
      </c>
      <c r="D235" s="2" t="s">
        <v>2</v>
      </c>
      <c r="E235" s="2">
        <v>60</v>
      </c>
      <c r="F235" s="17">
        <v>9990</v>
      </c>
      <c r="G235" s="17">
        <v>599400</v>
      </c>
      <c r="H235" s="1">
        <f t="shared" ca="1" si="6"/>
        <v>46207</v>
      </c>
      <c r="I235" s="5">
        <f>IFERROR(VLOOKUP(A235,'[1]Consumo SEMANA ENEA'!$F:$EM,138,0),0)</f>
        <v>0</v>
      </c>
      <c r="J235" s="2" t="str">
        <f>IFERROR(VLOOKUP(A235,Hoja4!A:C,3,0),"")</f>
        <v>Mermelada</v>
      </c>
      <c r="K235" s="9">
        <f t="shared" si="7"/>
        <v>0</v>
      </c>
      <c r="L235" s="6">
        <f>IFERROR(VLOOKUP(A235,'[1]Consumo SEMANA ENEA'!$F:$ES,144,0),0)</f>
        <v>0</v>
      </c>
    </row>
    <row r="236" spans="1:12" x14ac:dyDescent="0.3">
      <c r="A236" s="2">
        <v>107262</v>
      </c>
      <c r="B236" s="2" t="s">
        <v>223</v>
      </c>
      <c r="C236" s="2" t="s">
        <v>1</v>
      </c>
      <c r="D236" s="2" t="s">
        <v>2</v>
      </c>
      <c r="E236" s="2">
        <v>1284.23</v>
      </c>
      <c r="F236" s="17">
        <v>1987.9</v>
      </c>
      <c r="G236" s="17">
        <v>2552920.8169999998</v>
      </c>
      <c r="H236" s="1">
        <f t="shared" ca="1" si="6"/>
        <v>46207</v>
      </c>
      <c r="I236" s="5">
        <f>IFERROR(VLOOKUP(A236,'[1]Consumo SEMANA ENEA'!$F:$EM,138,0),0)</f>
        <v>583.25078260869566</v>
      </c>
      <c r="J236" s="2" t="str">
        <f>IFERROR(VLOOKUP(A236,Hoja4!A:C,3,0),"")</f>
        <v>Remojo</v>
      </c>
      <c r="K236" s="9">
        <f t="shared" si="7"/>
        <v>2.201848738643859</v>
      </c>
      <c r="L236" s="6">
        <f>IFERROR(VLOOKUP(A236,'[1]Consumo SEMANA ENEA'!$F:$ES,144,0),0)</f>
        <v>194.4169275362319</v>
      </c>
    </row>
    <row r="237" spans="1:12" x14ac:dyDescent="0.3">
      <c r="A237" s="2">
        <v>170180</v>
      </c>
      <c r="B237" s="2" t="s">
        <v>224</v>
      </c>
      <c r="C237" s="2" t="s">
        <v>1</v>
      </c>
      <c r="D237" s="2" t="s">
        <v>2</v>
      </c>
      <c r="E237" s="2">
        <v>1760</v>
      </c>
      <c r="F237" s="17">
        <v>1930</v>
      </c>
      <c r="G237" s="17">
        <v>3396800</v>
      </c>
      <c r="H237" s="1">
        <f t="shared" ca="1" si="6"/>
        <v>46207</v>
      </c>
      <c r="I237" s="5">
        <f>IFERROR(VLOOKUP(A237,'[1]Consumo SEMANA ENEA'!$F:$EM,138,0),0)</f>
        <v>1332.1856</v>
      </c>
      <c r="J237" s="2" t="str">
        <f>IFERROR(VLOOKUP(A237,Hoja4!A:C,3,0),"")</f>
        <v>Mermelada</v>
      </c>
      <c r="K237" s="9">
        <f t="shared" si="7"/>
        <v>1.3211372349318293</v>
      </c>
      <c r="L237" s="6">
        <f>IFERROR(VLOOKUP(A237,'[1]Consumo SEMANA ENEA'!$F:$ES,144,0),0)</f>
        <v>666.09280000000001</v>
      </c>
    </row>
    <row r="238" spans="1:12" x14ac:dyDescent="0.3">
      <c r="A238" s="2">
        <v>107148</v>
      </c>
      <c r="B238" s="2" t="s">
        <v>225</v>
      </c>
      <c r="C238" s="2" t="s">
        <v>1</v>
      </c>
      <c r="D238" s="2" t="s">
        <v>2</v>
      </c>
      <c r="E238" s="2">
        <v>20</v>
      </c>
      <c r="F238" s="17">
        <v>20900</v>
      </c>
      <c r="G238" s="17">
        <v>418000</v>
      </c>
      <c r="H238" s="1">
        <f t="shared" ca="1" si="6"/>
        <v>46207</v>
      </c>
      <c r="I238" s="5">
        <f>IFERROR(VLOOKUP(A238,'[1]Consumo SEMANA ENEA'!$F:$EM,138,0),0)</f>
        <v>21.25</v>
      </c>
      <c r="J238" s="2" t="str">
        <f>IFERROR(VLOOKUP(A238,Hoja4!A:C,3,0),"")</f>
        <v>Esencia</v>
      </c>
      <c r="K238" s="9">
        <f t="shared" si="7"/>
        <v>0.94117647058823528</v>
      </c>
      <c r="L238" s="6">
        <f>IFERROR(VLOOKUP(A238,'[1]Consumo SEMANA ENEA'!$F:$ES,144,0),0)</f>
        <v>14.166666666666666</v>
      </c>
    </row>
    <row r="239" spans="1:12" x14ac:dyDescent="0.3">
      <c r="A239" s="2">
        <v>107246</v>
      </c>
      <c r="B239" s="2" t="s">
        <v>226</v>
      </c>
      <c r="C239" s="2" t="s">
        <v>1</v>
      </c>
      <c r="D239" s="2" t="s">
        <v>2</v>
      </c>
      <c r="E239" s="2">
        <v>180</v>
      </c>
      <c r="F239" s="17">
        <v>4334.01</v>
      </c>
      <c r="G239" s="17">
        <v>780121.8</v>
      </c>
      <c r="H239" s="1">
        <f t="shared" ca="1" si="6"/>
        <v>46207</v>
      </c>
      <c r="I239" s="5">
        <f>IFERROR(VLOOKUP(A239,'[1]Consumo SEMANA ENEA'!$F:$EM,138,0),0)</f>
        <v>53.75</v>
      </c>
      <c r="J239" s="2" t="str">
        <f>IFERROR(VLOOKUP(A239,Hoja4!A:C,3,0),"")</f>
        <v>Mermelada</v>
      </c>
      <c r="K239" s="9">
        <f t="shared" si="7"/>
        <v>3.3488372093023258</v>
      </c>
      <c r="L239" s="6">
        <f>IFERROR(VLOOKUP(A239,'[1]Consumo SEMANA ENEA'!$F:$ES,144,0),0)</f>
        <v>17.916666666666668</v>
      </c>
    </row>
    <row r="240" spans="1:12" x14ac:dyDescent="0.3">
      <c r="A240" s="2">
        <v>107275</v>
      </c>
      <c r="B240" s="2" t="s">
        <v>227</v>
      </c>
      <c r="C240" s="2" t="s">
        <v>1</v>
      </c>
      <c r="D240" s="2" t="s">
        <v>2</v>
      </c>
      <c r="E240" s="2">
        <v>430</v>
      </c>
      <c r="F240" s="17">
        <v>5524.72</v>
      </c>
      <c r="G240" s="17">
        <v>2375629.6</v>
      </c>
      <c r="H240" s="1">
        <f t="shared" ca="1" si="6"/>
        <v>46207</v>
      </c>
      <c r="I240" s="5">
        <f>IFERROR(VLOOKUP(A240,'[1]Consumo SEMANA ENEA'!$F:$EM,138,0),0)</f>
        <v>668.6</v>
      </c>
      <c r="J240" s="2" t="str">
        <f>IFERROR(VLOOKUP(A240,Hoja4!A:C,3,0),"")</f>
        <v>Mermelada</v>
      </c>
      <c r="K240" s="9">
        <f t="shared" si="7"/>
        <v>0.64313490876458268</v>
      </c>
      <c r="L240" s="6">
        <f>IFERROR(VLOOKUP(A240,'[1]Consumo SEMANA ENEA'!$F:$ES,144,0),0)</f>
        <v>222.86666666666667</v>
      </c>
    </row>
    <row r="241" spans="1:12" x14ac:dyDescent="0.3">
      <c r="A241" s="2">
        <v>405651</v>
      </c>
      <c r="B241" s="2" t="s">
        <v>228</v>
      </c>
      <c r="C241" s="2" t="s">
        <v>1</v>
      </c>
      <c r="D241" s="2" t="s">
        <v>2</v>
      </c>
      <c r="E241" s="2">
        <v>50</v>
      </c>
      <c r="F241" s="17">
        <v>6990.04</v>
      </c>
      <c r="G241" s="17">
        <v>349502</v>
      </c>
      <c r="H241" s="1">
        <f t="shared" ca="1" si="6"/>
        <v>46207</v>
      </c>
      <c r="I241" s="5">
        <f>IFERROR(VLOOKUP(A241,'[1]Consumo SEMANA ENEA'!$F:$EM,138,0),0)</f>
        <v>15.555555555555555</v>
      </c>
      <c r="J241" s="2" t="str">
        <f>IFERROR(VLOOKUP(A241,Hoja4!A:C,3,0),"")</f>
        <v>Esencia</v>
      </c>
      <c r="K241" s="9">
        <f t="shared" si="7"/>
        <v>3.2142857142857144</v>
      </c>
      <c r="L241" s="6">
        <f>IFERROR(VLOOKUP(A241,'[1]Consumo SEMANA ENEA'!$F:$ES,144,0),0)</f>
        <v>5.1851851851851851</v>
      </c>
    </row>
    <row r="242" spans="1:12" x14ac:dyDescent="0.3">
      <c r="A242" s="2">
        <v>401015</v>
      </c>
      <c r="B242" s="2" t="s">
        <v>229</v>
      </c>
      <c r="C242" s="2" t="s">
        <v>1</v>
      </c>
      <c r="D242" s="2" t="s">
        <v>2</v>
      </c>
      <c r="E242" s="2">
        <v>8</v>
      </c>
      <c r="F242" s="17">
        <v>3930.88</v>
      </c>
      <c r="G242" s="17">
        <v>31447.040000000001</v>
      </c>
      <c r="H242" s="1">
        <f t="shared" ca="1" si="6"/>
        <v>46207</v>
      </c>
      <c r="I242" s="5">
        <f>IFERROR(VLOOKUP(A242,'[1]Consumo SEMANA ENEA'!$F:$EM,138,0),0)</f>
        <v>7.7142857142857144</v>
      </c>
      <c r="J242" s="2" t="str">
        <f>IFERROR(VLOOKUP(A242,Hoja4!A:C,3,0),"")</f>
        <v>Film</v>
      </c>
      <c r="K242" s="9">
        <f t="shared" si="7"/>
        <v>1.037037037037037</v>
      </c>
      <c r="L242" s="6">
        <f>IFERROR(VLOOKUP(A242,'[1]Consumo SEMANA ENEA'!$F:$ES,144,0),0)</f>
        <v>5.1428571428571432</v>
      </c>
    </row>
    <row r="243" spans="1:12" x14ac:dyDescent="0.3">
      <c r="A243" s="2">
        <v>401013</v>
      </c>
      <c r="B243" s="2" t="s">
        <v>231</v>
      </c>
      <c r="C243" s="2" t="s">
        <v>1</v>
      </c>
      <c r="D243" s="2" t="s">
        <v>2</v>
      </c>
      <c r="E243" s="2">
        <v>28</v>
      </c>
      <c r="F243" s="17">
        <v>3960</v>
      </c>
      <c r="G243" s="17">
        <v>110880</v>
      </c>
      <c r="H243" s="1">
        <f t="shared" ca="1" si="6"/>
        <v>46207</v>
      </c>
      <c r="I243" s="5">
        <f>IFERROR(VLOOKUP(A243,'[1]Consumo SEMANA ENEA'!$F:$EM,138,0),0)</f>
        <v>16.363636363636363</v>
      </c>
      <c r="J243" s="2" t="str">
        <f>IFERROR(VLOOKUP(A243,Hoja4!A:C,3,0),"")</f>
        <v>Film</v>
      </c>
      <c r="K243" s="9">
        <f t="shared" si="7"/>
        <v>1.7111111111111112</v>
      </c>
      <c r="L243" s="6">
        <f>IFERROR(VLOOKUP(A243,'[1]Consumo SEMANA ENEA'!$F:$ES,144,0),0)</f>
        <v>10.909090909090908</v>
      </c>
    </row>
    <row r="244" spans="1:12" x14ac:dyDescent="0.3">
      <c r="A244" s="2">
        <v>401010</v>
      </c>
      <c r="B244" s="2" t="s">
        <v>232</v>
      </c>
      <c r="C244" s="2" t="s">
        <v>1</v>
      </c>
      <c r="D244" s="2" t="s">
        <v>2</v>
      </c>
      <c r="E244" s="5">
        <v>21</v>
      </c>
      <c r="F244" s="17">
        <v>3944.71</v>
      </c>
      <c r="G244" s="17">
        <v>82838.91</v>
      </c>
      <c r="H244" s="1">
        <f t="shared" ca="1" si="6"/>
        <v>46207</v>
      </c>
      <c r="I244" s="5">
        <f>IFERROR(VLOOKUP(A244,'[1]Consumo SEMANA ENEA'!$F:$EM,138,0),0)</f>
        <v>8.625</v>
      </c>
      <c r="J244" s="2" t="str">
        <f>IFERROR(VLOOKUP(A244,Hoja4!A:C,3,0),"")</f>
        <v>Film</v>
      </c>
      <c r="K244" s="9">
        <f t="shared" si="7"/>
        <v>2.4347826086956523</v>
      </c>
      <c r="L244" s="6">
        <f>IFERROR(VLOOKUP(A244,'[1]Consumo SEMANA ENEA'!$F:$ES,144,0),0)</f>
        <v>5.75</v>
      </c>
    </row>
    <row r="245" spans="1:12" x14ac:dyDescent="0.3">
      <c r="A245" s="2">
        <v>401011</v>
      </c>
      <c r="B245" s="2" t="s">
        <v>233</v>
      </c>
      <c r="C245" s="2" t="s">
        <v>1</v>
      </c>
      <c r="D245" s="2" t="s">
        <v>2</v>
      </c>
      <c r="E245" s="5">
        <v>251</v>
      </c>
      <c r="F245" s="17">
        <v>3934.96</v>
      </c>
      <c r="G245" s="17">
        <v>987674.96</v>
      </c>
      <c r="H245" s="1">
        <f t="shared" ca="1" si="6"/>
        <v>46207</v>
      </c>
      <c r="I245" s="5">
        <f>IFERROR(VLOOKUP(A245,'[1]Consumo SEMANA ENEA'!$F:$EM,138,0),0)</f>
        <v>7.7142857142857144</v>
      </c>
      <c r="J245" s="2" t="str">
        <f>IFERROR(VLOOKUP(A245,Hoja4!A:C,3,0),"")</f>
        <v>Film</v>
      </c>
      <c r="K245" s="9">
        <f t="shared" si="7"/>
        <v>32.537037037037038</v>
      </c>
      <c r="L245" s="6">
        <f>IFERROR(VLOOKUP(A245,'[1]Consumo SEMANA ENEA'!$F:$ES,144,0),0)</f>
        <v>5.1428571428571432</v>
      </c>
    </row>
    <row r="246" spans="1:12" x14ac:dyDescent="0.3">
      <c r="A246" s="2">
        <v>401019</v>
      </c>
      <c r="B246" s="2" t="s">
        <v>234</v>
      </c>
      <c r="C246" s="2" t="s">
        <v>1</v>
      </c>
      <c r="D246" s="2" t="s">
        <v>2</v>
      </c>
      <c r="E246" s="5">
        <v>100</v>
      </c>
      <c r="F246" s="17">
        <v>3833.38</v>
      </c>
      <c r="G246" s="17">
        <v>383338</v>
      </c>
      <c r="H246" s="1">
        <f t="shared" ca="1" si="6"/>
        <v>46207</v>
      </c>
      <c r="I246" s="5">
        <f>IFERROR(VLOOKUP(A246,'[1]Consumo SEMANA ENEA'!$F:$EM,138,0),0)</f>
        <v>6</v>
      </c>
      <c r="J246" s="2" t="str">
        <f>IFERROR(VLOOKUP(A246,Hoja4!A:C,3,0),"")</f>
        <v>Film</v>
      </c>
      <c r="K246" s="9">
        <f t="shared" si="7"/>
        <v>16.666666666666668</v>
      </c>
      <c r="L246" s="6">
        <f>IFERROR(VLOOKUP(A246,'[1]Consumo SEMANA ENEA'!$F:$ES,144,0),0)</f>
        <v>4</v>
      </c>
    </row>
    <row r="247" spans="1:12" x14ac:dyDescent="0.3">
      <c r="A247" s="2">
        <v>401012</v>
      </c>
      <c r="B247" s="2" t="s">
        <v>235</v>
      </c>
      <c r="C247" s="2" t="s">
        <v>1</v>
      </c>
      <c r="D247" s="2" t="s">
        <v>2</v>
      </c>
      <c r="E247" s="5">
        <v>39</v>
      </c>
      <c r="F247" s="17">
        <v>3946.33</v>
      </c>
      <c r="G247" s="17">
        <v>153906.87</v>
      </c>
      <c r="H247" s="1">
        <f t="shared" ca="1" si="6"/>
        <v>46207</v>
      </c>
      <c r="I247" s="5">
        <f>IFERROR(VLOOKUP(A247,'[1]Consumo SEMANA ENEA'!$F:$EM,138,0),0)</f>
        <v>8</v>
      </c>
      <c r="J247" s="2" t="str">
        <f>IFERROR(VLOOKUP(A247,Hoja4!A:C,3,0),"")</f>
        <v>Film</v>
      </c>
      <c r="K247" s="9">
        <f t="shared" si="7"/>
        <v>4.875</v>
      </c>
      <c r="L247" s="6">
        <f>IFERROR(VLOOKUP(A247,'[1]Consumo SEMANA ENEA'!$F:$ES,144,0),0)</f>
        <v>5.333333333333333</v>
      </c>
    </row>
    <row r="248" spans="1:12" x14ac:dyDescent="0.3">
      <c r="A248" s="2">
        <v>393040</v>
      </c>
      <c r="B248" s="2" t="s">
        <v>236</v>
      </c>
      <c r="C248" s="2" t="s">
        <v>1</v>
      </c>
      <c r="D248" s="2" t="s">
        <v>2</v>
      </c>
      <c r="E248" s="5">
        <v>3825</v>
      </c>
      <c r="F248" s="17">
        <v>181.21</v>
      </c>
      <c r="G248" s="17">
        <v>693128.25</v>
      </c>
      <c r="H248" s="1">
        <f t="shared" ca="1" si="6"/>
        <v>46207</v>
      </c>
      <c r="I248" s="5">
        <f>IFERROR(VLOOKUP(A248,'[1]Consumo SEMANA ENEA'!$F:$EM,138,0),0)</f>
        <v>31872.799999999999</v>
      </c>
      <c r="J248" s="2" t="str">
        <f>IFERROR(VLOOKUP(A248,Hoja4!A:C,3,0),"")</f>
        <v>Insumo</v>
      </c>
      <c r="K248" s="9">
        <f t="shared" si="7"/>
        <v>0.12000828292462538</v>
      </c>
      <c r="L248" s="6">
        <f>IFERROR(VLOOKUP(A248,'[1]Consumo SEMANA ENEA'!$F:$ES,144,0),0)</f>
        <v>10624.266666666666</v>
      </c>
    </row>
    <row r="249" spans="1:12" x14ac:dyDescent="0.3">
      <c r="A249" s="2">
        <v>393427</v>
      </c>
      <c r="B249" s="2" t="s">
        <v>490</v>
      </c>
      <c r="C249" s="2" t="s">
        <v>1</v>
      </c>
      <c r="D249" s="2" t="s">
        <v>2</v>
      </c>
      <c r="E249" s="5">
        <v>48</v>
      </c>
      <c r="F249" s="17">
        <v>533.08000000000004</v>
      </c>
      <c r="G249" s="17">
        <v>25587.84</v>
      </c>
      <c r="H249" s="1">
        <f t="shared" ca="1" si="6"/>
        <v>46207</v>
      </c>
      <c r="I249" s="5">
        <f>IFERROR(VLOOKUP(A249,'[1]Consumo SEMANA ENEA'!$F:$EM,138,0),0)</f>
        <v>3630.28</v>
      </c>
      <c r="J249" s="2" t="str">
        <f>IFERROR(VLOOKUP(A249,Hoja4!A:C,3,0),"")</f>
        <v>Insumo</v>
      </c>
      <c r="K249" s="9">
        <f t="shared" si="7"/>
        <v>1.322212060777681E-2</v>
      </c>
      <c r="L249" s="6">
        <f>IFERROR(VLOOKUP(A249,'[1]Consumo SEMANA ENEA'!$F:$ES,144,0),0)</f>
        <v>1210.0933333333335</v>
      </c>
    </row>
    <row r="250" spans="1:12" x14ac:dyDescent="0.3">
      <c r="A250" s="2">
        <v>393349</v>
      </c>
      <c r="B250" s="2" t="s">
        <v>237</v>
      </c>
      <c r="C250" s="2" t="s">
        <v>1</v>
      </c>
      <c r="D250" s="2" t="s">
        <v>2</v>
      </c>
      <c r="E250" s="5">
        <v>1680</v>
      </c>
      <c r="F250" s="17">
        <v>395.12</v>
      </c>
      <c r="G250" s="17">
        <v>663801.59999999998</v>
      </c>
      <c r="H250" s="1">
        <f t="shared" ca="1" si="6"/>
        <v>46207</v>
      </c>
      <c r="I250" s="5">
        <f>IFERROR(VLOOKUP(A250,'[1]Consumo SEMANA ENEA'!$F:$EM,138,0),0)</f>
        <v>1426.56</v>
      </c>
      <c r="J250" s="2" t="str">
        <f>IFERROR(VLOOKUP(A250,Hoja4!A:C,3,0),"")</f>
        <v>Insumo</v>
      </c>
      <c r="K250" s="9">
        <f t="shared" si="7"/>
        <v>1.1776581426648722</v>
      </c>
      <c r="L250" s="6">
        <f>IFERROR(VLOOKUP(A250,'[1]Consumo SEMANA ENEA'!$F:$ES,144,0),0)</f>
        <v>475.52</v>
      </c>
    </row>
    <row r="251" spans="1:12" x14ac:dyDescent="0.3">
      <c r="A251" s="2">
        <v>405371</v>
      </c>
      <c r="B251" s="2" t="s">
        <v>238</v>
      </c>
      <c r="C251" s="2" t="s">
        <v>1</v>
      </c>
      <c r="D251" s="2" t="s">
        <v>2</v>
      </c>
      <c r="E251" s="2">
        <v>6400</v>
      </c>
      <c r="F251" s="17">
        <v>45</v>
      </c>
      <c r="G251" s="17">
        <v>288000</v>
      </c>
      <c r="H251" s="1">
        <f t="shared" ca="1" si="6"/>
        <v>46207</v>
      </c>
      <c r="I251" s="5">
        <f>IFERROR(VLOOKUP(A251,'[1]Consumo SEMANA ENEA'!$F:$EM,138,0),0)</f>
        <v>2496</v>
      </c>
      <c r="J251" s="2" t="str">
        <f>IFERROR(VLOOKUP(A251,Hoja4!A:C,3,0),"")</f>
        <v>Chocolate</v>
      </c>
      <c r="K251" s="9">
        <f t="shared" si="7"/>
        <v>2.5641025641025643</v>
      </c>
      <c r="L251" s="6">
        <f>IFERROR(VLOOKUP(A251,'[1]Consumo SEMANA ENEA'!$F:$ES,144,0),0)</f>
        <v>1664</v>
      </c>
    </row>
    <row r="252" spans="1:12" x14ac:dyDescent="0.3">
      <c r="A252" s="2">
        <v>405134</v>
      </c>
      <c r="B252" s="2" t="s">
        <v>239</v>
      </c>
      <c r="C252" s="2" t="s">
        <v>1</v>
      </c>
      <c r="D252" s="2" t="s">
        <v>2</v>
      </c>
      <c r="E252" s="5">
        <v>21600</v>
      </c>
      <c r="F252" s="17">
        <v>36</v>
      </c>
      <c r="G252" s="17">
        <v>777600</v>
      </c>
      <c r="H252" s="1">
        <f t="shared" ca="1" si="6"/>
        <v>46207</v>
      </c>
      <c r="I252" s="5">
        <f>IFERROR(VLOOKUP(A252,'[1]Consumo SEMANA ENEA'!$F:$EM,138,0),0)</f>
        <v>7200</v>
      </c>
      <c r="J252" s="2" t="str">
        <f>IFERROR(VLOOKUP(A252,Hoja4!A:C,3,0),"")</f>
        <v>Chocolate</v>
      </c>
      <c r="K252" s="9">
        <f t="shared" si="7"/>
        <v>3</v>
      </c>
      <c r="L252" s="6">
        <f>IFERROR(VLOOKUP(A252,'[1]Consumo SEMANA ENEA'!$F:$ES,144,0),0)</f>
        <v>4800</v>
      </c>
    </row>
    <row r="253" spans="1:12" x14ac:dyDescent="0.3">
      <c r="A253" s="2">
        <v>405683</v>
      </c>
      <c r="B253" s="2" t="s">
        <v>240</v>
      </c>
      <c r="C253" s="2" t="s">
        <v>1</v>
      </c>
      <c r="D253" s="2" t="s">
        <v>2</v>
      </c>
      <c r="E253" s="5">
        <v>6536</v>
      </c>
      <c r="F253" s="17">
        <v>138</v>
      </c>
      <c r="G253" s="17">
        <v>901968</v>
      </c>
      <c r="H253" s="1">
        <f t="shared" ca="1" si="6"/>
        <v>46207</v>
      </c>
      <c r="I253" s="5">
        <f>IFERROR(VLOOKUP(A253,'[1]Consumo SEMANA ENEA'!$F:$EM,138,0),0)</f>
        <v>1190.3</v>
      </c>
      <c r="J253" s="2" t="str">
        <f>IFERROR(VLOOKUP(A253,Hoja4!A:C,3,0),"")</f>
        <v>Chocolate</v>
      </c>
      <c r="K253" s="9">
        <f t="shared" si="7"/>
        <v>5.4910526757960181</v>
      </c>
      <c r="L253" s="6">
        <f>IFERROR(VLOOKUP(A253,'[1]Consumo SEMANA ENEA'!$F:$ES,144,0),0)</f>
        <v>1388.6833333333334</v>
      </c>
    </row>
    <row r="254" spans="1:12" x14ac:dyDescent="0.3">
      <c r="A254" s="2">
        <v>107102</v>
      </c>
      <c r="B254" s="2" t="s">
        <v>241</v>
      </c>
      <c r="C254" s="2" t="s">
        <v>1</v>
      </c>
      <c r="D254" s="2" t="s">
        <v>2</v>
      </c>
      <c r="E254" s="2">
        <v>1200</v>
      </c>
      <c r="F254" s="17">
        <v>3120</v>
      </c>
      <c r="G254" s="17">
        <v>3744000</v>
      </c>
      <c r="H254" s="1">
        <f t="shared" ca="1" si="6"/>
        <v>46207</v>
      </c>
      <c r="I254" s="5">
        <f>IFERROR(VLOOKUP(A254,'[1]Consumo SEMANA ENEA'!$F:$EM,138,0),0)</f>
        <v>950.82352941176475</v>
      </c>
      <c r="J254" s="2" t="str">
        <f>IFERROR(VLOOKUP(A254,Hoja4!A:C,3,0),"")</f>
        <v>Fruta Conserva</v>
      </c>
      <c r="K254" s="9">
        <f t="shared" si="7"/>
        <v>1.2620638455827764</v>
      </c>
      <c r="L254" s="6">
        <f>IFERROR(VLOOKUP(A254,'[1]Consumo SEMANA ENEA'!$F:$ES,144,0),0)</f>
        <v>475.41176470588232</v>
      </c>
    </row>
    <row r="255" spans="1:12" x14ac:dyDescent="0.3">
      <c r="A255" s="2">
        <v>405533</v>
      </c>
      <c r="B255" s="2" t="s">
        <v>242</v>
      </c>
      <c r="C255" s="2" t="s">
        <v>1</v>
      </c>
      <c r="D255" s="2" t="s">
        <v>2</v>
      </c>
      <c r="E255" s="2">
        <v>262.06</v>
      </c>
      <c r="F255" s="17">
        <v>2266</v>
      </c>
      <c r="G255" s="17">
        <v>593827.96</v>
      </c>
      <c r="H255" s="1">
        <f t="shared" ca="1" si="6"/>
        <v>46207</v>
      </c>
      <c r="I255" s="5">
        <f>IFERROR(VLOOKUP(A255,'[1]Consumo SEMANA ENEA'!$F:$EM,138,0),0)</f>
        <v>1132.4775999999999</v>
      </c>
      <c r="J255" s="2" t="str">
        <f>IFERROR(VLOOKUP(A255,Hoja4!A:C,3,0),"")</f>
        <v>cremas</v>
      </c>
      <c r="K255" s="9">
        <f t="shared" si="7"/>
        <v>0.23140413549901562</v>
      </c>
      <c r="L255" s="6">
        <f>IFERROR(VLOOKUP(A255,'[2]Consumo SEMANAL PV '!$B:$DQ,120,0),0)</f>
        <v>155.1875</v>
      </c>
    </row>
    <row r="256" spans="1:12" x14ac:dyDescent="0.3">
      <c r="A256" s="2">
        <v>405590</v>
      </c>
      <c r="B256" s="2" t="s">
        <v>737</v>
      </c>
      <c r="C256" s="2" t="s">
        <v>1</v>
      </c>
      <c r="D256" s="2" t="s">
        <v>2</v>
      </c>
      <c r="E256" s="2">
        <v>20000</v>
      </c>
      <c r="F256" s="17">
        <v>12.2</v>
      </c>
      <c r="G256" s="17">
        <v>244000</v>
      </c>
      <c r="H256" s="1">
        <f t="shared" ca="1" si="6"/>
        <v>46207</v>
      </c>
      <c r="I256" s="5">
        <f>IFERROR(VLOOKUP(A256,'[1]Consumo SEMANA ENEA'!$F:$EM,138,0),0)</f>
        <v>0</v>
      </c>
      <c r="J256" s="2" t="str">
        <f>IFERROR(VLOOKUP(A256,Hoja4!A:C,3,0),"")</f>
        <v>Carton</v>
      </c>
      <c r="K256" s="9">
        <f t="shared" si="7"/>
        <v>0</v>
      </c>
      <c r="L256" s="6">
        <f>IFERROR(VLOOKUP(A256,'[2]Consumo SEMANAL PV '!$B:$DQ,120,0),0)</f>
        <v>0</v>
      </c>
    </row>
    <row r="257" spans="1:12" x14ac:dyDescent="0.3">
      <c r="A257" s="2">
        <v>107164</v>
      </c>
      <c r="B257" s="2" t="s">
        <v>243</v>
      </c>
      <c r="C257" s="2" t="s">
        <v>1</v>
      </c>
      <c r="D257" s="2" t="s">
        <v>2</v>
      </c>
      <c r="E257" s="5">
        <v>1115.6199999999999</v>
      </c>
      <c r="F257" s="17">
        <v>1129</v>
      </c>
      <c r="G257" s="17">
        <v>1259534.98</v>
      </c>
      <c r="H257" s="1">
        <f t="shared" ca="1" si="6"/>
        <v>46207</v>
      </c>
      <c r="I257" s="5">
        <f>IFERROR(VLOOKUP(A257,'[1]Consumo SEMANA ENEA'!$F:$EM,138,0),0)</f>
        <v>1029.8552</v>
      </c>
      <c r="J257" s="2" t="str">
        <f>IFERROR(VLOOKUP(A257,Hoja4!A:C,3,0),"")</f>
        <v>Yogurt</v>
      </c>
      <c r="K257" s="9">
        <f t="shared" ref="K257:K258" si="8">IFERROR(+E257/I257,0)</f>
        <v>1.0832785036187611</v>
      </c>
      <c r="L257" s="6">
        <f>IFERROR(VLOOKUP(A257,'[2]Consumo SEMANAL PV '!$B:$DQ,120,0),0)</f>
        <v>104.65277777777777</v>
      </c>
    </row>
    <row r="258" spans="1:12" x14ac:dyDescent="0.3">
      <c r="A258" s="2">
        <v>405797</v>
      </c>
      <c r="B258" s="2" t="s">
        <v>816</v>
      </c>
      <c r="C258" s="2" t="s">
        <v>1</v>
      </c>
      <c r="D258" s="2" t="s">
        <v>2</v>
      </c>
      <c r="E258" s="5">
        <v>25.402000000000001</v>
      </c>
      <c r="F258" s="17">
        <v>7709.31</v>
      </c>
      <c r="G258" s="17">
        <v>195831.89259999999</v>
      </c>
      <c r="H258" s="1">
        <f t="shared" ca="1" si="6"/>
        <v>46207</v>
      </c>
      <c r="I258" s="5">
        <f>IFERROR(VLOOKUP(A258,'[1]Consumo SEMANA ENEA'!$F:$EM,138,0),0)</f>
        <v>5.9939999999999998</v>
      </c>
      <c r="J258" s="2" t="str">
        <f>IFERROR(VLOOKUP(A258,Hoja4!A:C,3,0),"")</f>
        <v>Fruta Congelada</v>
      </c>
      <c r="K258" s="9">
        <f t="shared" si="8"/>
        <v>4.2379045712379053</v>
      </c>
      <c r="L258" s="6">
        <f>IFERROR(VLOOKUP(A258,'[2]Consumo SEMANAL PV '!$B:$DQ,120,0),0)</f>
        <v>0</v>
      </c>
    </row>
    <row r="259" spans="1:12" x14ac:dyDescent="0.3">
      <c r="A259" s="2">
        <v>103104</v>
      </c>
      <c r="B259" s="2" t="s">
        <v>249</v>
      </c>
      <c r="C259" s="2" t="s">
        <v>250</v>
      </c>
      <c r="D259" s="2" t="s">
        <v>251</v>
      </c>
      <c r="E259" s="5">
        <v>2140</v>
      </c>
      <c r="F259" s="17">
        <v>1600</v>
      </c>
      <c r="G259" s="17">
        <v>3424000</v>
      </c>
      <c r="H259" s="1">
        <f t="shared" ref="H259:H322" ca="1" si="9">TODAY()</f>
        <v>46207</v>
      </c>
      <c r="I259" s="5">
        <f>IFERROR(VLOOKUP(A259,'[2]Consumo SEMANAL PV '!$B:$DJ,113,0),0)</f>
        <v>208.32</v>
      </c>
      <c r="J259" s="2" t="str">
        <f>IFERROR(VLOOKUP(A259,Hoja4!A:C,3,0),"")</f>
        <v>Aceite</v>
      </c>
      <c r="K259" s="9">
        <f t="shared" ref="K259:K322" si="10">IFERROR(+E259/I259,0)</f>
        <v>10.272657450076805</v>
      </c>
      <c r="L259" s="6">
        <f>IFERROR(VLOOKUP(A259,'[2]Consumo SEMANAL PV '!$B:$DQ,120,0),0)</f>
        <v>69.44</v>
      </c>
    </row>
    <row r="260" spans="1:12" x14ac:dyDescent="0.3">
      <c r="A260" s="2">
        <v>405418</v>
      </c>
      <c r="B260" s="2" t="s">
        <v>4</v>
      </c>
      <c r="C260" s="2" t="s">
        <v>250</v>
      </c>
      <c r="D260" s="2" t="s">
        <v>251</v>
      </c>
      <c r="E260" s="2">
        <v>295</v>
      </c>
      <c r="F260" s="17">
        <v>1371.64</v>
      </c>
      <c r="G260" s="17">
        <v>404633.8</v>
      </c>
      <c r="H260" s="1">
        <f t="shared" ca="1" si="9"/>
        <v>46207</v>
      </c>
      <c r="I260" s="5">
        <f>IFERROR(VLOOKUP(A260,'[2]Consumo SEMANAL PV '!$B:$DJ,113,0),0)</f>
        <v>457.4</v>
      </c>
      <c r="J260" s="2" t="str">
        <f>IFERROR(VLOOKUP(A260,Hoja4!A:C,3,0),"")</f>
        <v>Azucar</v>
      </c>
      <c r="K260" s="9">
        <f t="shared" si="10"/>
        <v>0.64494971578487104</v>
      </c>
      <c r="L260" s="6">
        <f>IFERROR(VLOOKUP(A260,'[2]Consumo SEMANAL PV '!$B:$DQ,120,0),0)</f>
        <v>152.46666666666667</v>
      </c>
    </row>
    <row r="261" spans="1:12" x14ac:dyDescent="0.3">
      <c r="A261" s="2">
        <v>104006</v>
      </c>
      <c r="B261" s="2" t="s">
        <v>5</v>
      </c>
      <c r="C261" s="2" t="s">
        <v>250</v>
      </c>
      <c r="D261" s="2" t="s">
        <v>251</v>
      </c>
      <c r="E261" s="5">
        <v>254</v>
      </c>
      <c r="F261" s="17">
        <v>900</v>
      </c>
      <c r="G261" s="17">
        <v>228600</v>
      </c>
      <c r="H261" s="1">
        <f t="shared" ca="1" si="9"/>
        <v>46207</v>
      </c>
      <c r="I261" s="5">
        <f>IFERROR(VLOOKUP(A261,'[2]Consumo SEMANAL PV '!$B:$DJ,113,0),0)</f>
        <v>301.60000000000002</v>
      </c>
      <c r="J261" s="2" t="str">
        <f>IFERROR(VLOOKUP(A261,Hoja4!A:C,3,0),"")</f>
        <v>Azucar</v>
      </c>
      <c r="K261" s="9">
        <f t="shared" si="10"/>
        <v>0.84217506631299732</v>
      </c>
      <c r="L261" s="6">
        <f>IFERROR(VLOOKUP(A261,'[2]Consumo SEMANAL PV '!$B:$DQ,120,0),0)</f>
        <v>100.53333333333335</v>
      </c>
    </row>
    <row r="262" spans="1:12" x14ac:dyDescent="0.3">
      <c r="A262" s="2">
        <v>104004</v>
      </c>
      <c r="B262" s="2" t="s">
        <v>252</v>
      </c>
      <c r="C262" s="2" t="s">
        <v>250</v>
      </c>
      <c r="D262" s="2" t="s">
        <v>251</v>
      </c>
      <c r="E262" s="5">
        <v>94</v>
      </c>
      <c r="F262" s="17">
        <v>1239.49</v>
      </c>
      <c r="G262" s="17">
        <v>116512.06</v>
      </c>
      <c r="H262" s="1">
        <f t="shared" ca="1" si="9"/>
        <v>46207</v>
      </c>
      <c r="I262" s="5">
        <f>IFERROR(VLOOKUP(A262,'[2]Consumo SEMANAL PV '!$B:$DJ,113,0),0)</f>
        <v>0</v>
      </c>
      <c r="J262" s="2" t="s">
        <v>367</v>
      </c>
      <c r="K262" s="9">
        <f t="shared" si="10"/>
        <v>0</v>
      </c>
      <c r="L262" s="6">
        <f>IFERROR(VLOOKUP(A262,'[2]Consumo SEMANAL PV '!$B:$DQ,120,0),0)</f>
        <v>0</v>
      </c>
    </row>
    <row r="263" spans="1:12" x14ac:dyDescent="0.3">
      <c r="A263" s="2">
        <v>405445</v>
      </c>
      <c r="B263" s="2" t="s">
        <v>6</v>
      </c>
      <c r="C263" s="2" t="s">
        <v>250</v>
      </c>
      <c r="D263" s="2" t="s">
        <v>251</v>
      </c>
      <c r="E263" s="5">
        <v>3200</v>
      </c>
      <c r="F263" s="17">
        <v>93.6</v>
      </c>
      <c r="G263" s="17">
        <v>299520</v>
      </c>
      <c r="H263" s="1">
        <f t="shared" ca="1" si="9"/>
        <v>46207</v>
      </c>
      <c r="I263" s="5">
        <f>IFERROR(VLOOKUP(A263,'[2]Consumo SEMANAL PV '!$B:$DJ,113,0),0)</f>
        <v>20130.434782608696</v>
      </c>
      <c r="J263" s="2" t="str">
        <f>IFERROR(VLOOKUP(A263,Hoja4!A:C,3,0),"")</f>
        <v>Cupula</v>
      </c>
      <c r="K263" s="9">
        <f t="shared" si="10"/>
        <v>0.158963282937365</v>
      </c>
      <c r="L263" s="6">
        <f>IFERROR(VLOOKUP(A263,'[2]Consumo SEMANAL PV '!$B:$DQ,120,0),0)</f>
        <v>6710.144927536232</v>
      </c>
    </row>
    <row r="264" spans="1:12" x14ac:dyDescent="0.3">
      <c r="A264" s="2">
        <v>403338</v>
      </c>
      <c r="B264" s="2" t="s">
        <v>9</v>
      </c>
      <c r="C264" s="2" t="s">
        <v>250</v>
      </c>
      <c r="D264" s="2" t="s">
        <v>251</v>
      </c>
      <c r="E264" s="2">
        <v>1800</v>
      </c>
      <c r="F264" s="17">
        <v>49.44</v>
      </c>
      <c r="G264" s="17">
        <v>88992</v>
      </c>
      <c r="H264" s="1">
        <f t="shared" ca="1" si="9"/>
        <v>46207</v>
      </c>
      <c r="I264" s="5">
        <f>IFERROR(VLOOKUP(A264,'[2]Consumo SEMANAL PV '!$B:$DJ,113,0),0)</f>
        <v>23824</v>
      </c>
      <c r="J264" s="2" t="str">
        <f>IFERROR(VLOOKUP(A264,Hoja4!A:C,3,0),"")</f>
        <v>Cupula</v>
      </c>
      <c r="K264" s="9">
        <f t="shared" si="10"/>
        <v>7.5554063129617197E-2</v>
      </c>
      <c r="L264" s="6">
        <f>IFERROR(VLOOKUP(A264,'[2]Consumo SEMANAL PV '!$B:$DQ,120,0),0)</f>
        <v>11912</v>
      </c>
    </row>
    <row r="265" spans="1:12" x14ac:dyDescent="0.3">
      <c r="A265" s="2">
        <v>400101</v>
      </c>
      <c r="B265" s="2" t="s">
        <v>564</v>
      </c>
      <c r="C265" s="2" t="s">
        <v>250</v>
      </c>
      <c r="D265" s="2" t="s">
        <v>251</v>
      </c>
      <c r="E265" s="2">
        <v>77749</v>
      </c>
      <c r="F265" s="17">
        <v>22.5</v>
      </c>
      <c r="G265" s="17">
        <v>1749352.5</v>
      </c>
      <c r="H265" s="1">
        <f t="shared" ca="1" si="9"/>
        <v>46207</v>
      </c>
      <c r="I265" s="5">
        <f>IFERROR(VLOOKUP(A265,'[2]Consumo SEMANAL PV '!$B:$DJ,113,0),0)</f>
        <v>5768.181818181818</v>
      </c>
      <c r="J265" s="2" t="str">
        <f>IFERROR(VLOOKUP(A265,Hoja4!A:C,3,0),"")</f>
        <v>Bolsas</v>
      </c>
      <c r="K265" s="9">
        <f t="shared" si="10"/>
        <v>13.478944050433412</v>
      </c>
      <c r="L265" s="6">
        <f>IFERROR(VLOOKUP(A265,'[2]Consumo SEMANAL PV '!$B:$DQ,120,0),0)</f>
        <v>4806.818181818182</v>
      </c>
    </row>
    <row r="266" spans="1:12" x14ac:dyDescent="0.3">
      <c r="A266" s="2">
        <v>501114</v>
      </c>
      <c r="B266" s="2" t="s">
        <v>837</v>
      </c>
      <c r="C266" s="2" t="s">
        <v>250</v>
      </c>
      <c r="D266" s="2" t="s">
        <v>251</v>
      </c>
      <c r="E266" s="5">
        <v>5000</v>
      </c>
      <c r="F266" s="17">
        <v>158</v>
      </c>
      <c r="G266" s="17">
        <v>790000</v>
      </c>
      <c r="H266" s="1">
        <f t="shared" ca="1" si="9"/>
        <v>46207</v>
      </c>
      <c r="I266" s="5">
        <f>IFERROR(VLOOKUP(A266,'[2]Consumo SEMANAL PV '!$B:$DJ,113,0),0)</f>
        <v>1000</v>
      </c>
      <c r="J266" s="2" t="str">
        <f>IFERROR(VLOOKUP(A266,Hoja4!A:C,3,0),"")</f>
        <v/>
      </c>
      <c r="K266" s="9">
        <f t="shared" si="10"/>
        <v>5</v>
      </c>
      <c r="L266" s="6">
        <f>IFERROR(VLOOKUP(A266,'[2]Consumo SEMANAL PV '!$B:$DQ,120,0),0)</f>
        <v>1166.6666666666665</v>
      </c>
    </row>
    <row r="267" spans="1:12" x14ac:dyDescent="0.3">
      <c r="A267" s="2">
        <v>400205</v>
      </c>
      <c r="B267" s="2" t="s">
        <v>254</v>
      </c>
      <c r="C267" s="2" t="s">
        <v>250</v>
      </c>
      <c r="D267" s="2" t="s">
        <v>251</v>
      </c>
      <c r="E267" s="2">
        <v>26000</v>
      </c>
      <c r="F267" s="17">
        <v>39.33</v>
      </c>
      <c r="G267" s="17">
        <v>1022580</v>
      </c>
      <c r="H267" s="1">
        <f t="shared" ca="1" si="9"/>
        <v>46207</v>
      </c>
      <c r="I267" s="5">
        <f>IFERROR(VLOOKUP(A267,'[2]Consumo SEMANAL PV '!$B:$DJ,113,0),0)</f>
        <v>5800</v>
      </c>
      <c r="J267" s="2" t="str">
        <f>IFERROR(VLOOKUP(A267,Hoja4!A:C,3,0),"")</f>
        <v>Bolsas</v>
      </c>
      <c r="K267" s="9">
        <f t="shared" si="10"/>
        <v>4.4827586206896548</v>
      </c>
      <c r="L267" s="6">
        <f>IFERROR(VLOOKUP(A267,'[2]Consumo SEMANAL PV '!$B:$DQ,120,0),0)</f>
        <v>4833.333333333333</v>
      </c>
    </row>
    <row r="268" spans="1:12" x14ac:dyDescent="0.3">
      <c r="A268" s="2">
        <v>400202</v>
      </c>
      <c r="B268" s="2" t="s">
        <v>255</v>
      </c>
      <c r="C268" s="2" t="s">
        <v>250</v>
      </c>
      <c r="D268" s="2" t="s">
        <v>251</v>
      </c>
      <c r="E268" s="2">
        <v>245</v>
      </c>
      <c r="F268" s="17">
        <v>2643.75</v>
      </c>
      <c r="G268" s="17">
        <v>647718.75</v>
      </c>
      <c r="H268" s="1">
        <f t="shared" ca="1" si="9"/>
        <v>46207</v>
      </c>
      <c r="I268" s="5">
        <f>IFERROR(VLOOKUP(A268,'[2]Consumo SEMANAL PV '!$B:$DJ,113,0),0)</f>
        <v>18.571428571428573</v>
      </c>
      <c r="J268" s="2" t="str">
        <f>IFERROR(VLOOKUP(A268,Hoja4!A:C,3,0),"")</f>
        <v>Bolsas</v>
      </c>
      <c r="K268" s="9">
        <f t="shared" si="10"/>
        <v>13.192307692307692</v>
      </c>
      <c r="L268" s="6">
        <f>IFERROR(VLOOKUP(A268,'[2]Consumo SEMANAL PV '!$B:$DQ,120,0),0)</f>
        <v>15.476190476190476</v>
      </c>
    </row>
    <row r="269" spans="1:12" x14ac:dyDescent="0.3">
      <c r="A269" s="2">
        <v>400203</v>
      </c>
      <c r="B269" s="2" t="s">
        <v>11</v>
      </c>
      <c r="C269" s="2" t="s">
        <v>250</v>
      </c>
      <c r="D269" s="2" t="s">
        <v>251</v>
      </c>
      <c r="E269" s="2">
        <v>215</v>
      </c>
      <c r="F269" s="17">
        <v>2564.0500000000002</v>
      </c>
      <c r="G269" s="17">
        <v>551270.75</v>
      </c>
      <c r="H269" s="1">
        <f t="shared" ca="1" si="9"/>
        <v>46207</v>
      </c>
      <c r="I269" s="5">
        <f>IFERROR(VLOOKUP(A269,'[2]Consumo SEMANAL PV '!$B:$DJ,113,0),0)</f>
        <v>181.16666666666666</v>
      </c>
      <c r="J269" s="2" t="str">
        <f>IFERROR(VLOOKUP(A269,Hoja4!A:C,3,0),"")</f>
        <v>Bolsas</v>
      </c>
      <c r="K269" s="9">
        <f t="shared" si="10"/>
        <v>1.1867525298988042</v>
      </c>
      <c r="L269" s="6">
        <f>IFERROR(VLOOKUP(A269,'[2]Consumo SEMANAL PV '!$B:$DQ,120,0),0)</f>
        <v>150.97222222222223</v>
      </c>
    </row>
    <row r="270" spans="1:12" x14ac:dyDescent="0.3">
      <c r="A270" s="2">
        <v>403245</v>
      </c>
      <c r="B270" s="2" t="s">
        <v>256</v>
      </c>
      <c r="C270" s="2" t="s">
        <v>250</v>
      </c>
      <c r="D270" s="2" t="s">
        <v>251</v>
      </c>
      <c r="E270" s="5">
        <v>4420</v>
      </c>
      <c r="F270" s="17">
        <v>160</v>
      </c>
      <c r="G270" s="17">
        <v>707200</v>
      </c>
      <c r="H270" s="1">
        <f t="shared" ca="1" si="9"/>
        <v>46207</v>
      </c>
      <c r="I270" s="5">
        <f>IFERROR(VLOOKUP(A270,'[2]Consumo SEMANAL PV '!$B:$DJ,113,0),0)</f>
        <v>6692.5</v>
      </c>
      <c r="J270" s="2" t="str">
        <f>IFERROR(VLOOKUP(A270,Hoja4!A:C,3,0),"")</f>
        <v>Carton</v>
      </c>
      <c r="K270" s="9">
        <f t="shared" si="10"/>
        <v>0.66044079193126637</v>
      </c>
      <c r="L270" s="6">
        <f>IFERROR(VLOOKUP(A270,'[2]Consumo SEMANAL PV '!$B:$DQ,120,0),0)</f>
        <v>4461.666666666667</v>
      </c>
    </row>
    <row r="271" spans="1:12" x14ac:dyDescent="0.3">
      <c r="A271" s="2">
        <v>107120</v>
      </c>
      <c r="B271" s="2" t="s">
        <v>12</v>
      </c>
      <c r="C271" s="2" t="s">
        <v>250</v>
      </c>
      <c r="D271" s="2" t="s">
        <v>251</v>
      </c>
      <c r="E271" s="2">
        <v>391.5</v>
      </c>
      <c r="F271" s="17">
        <v>1829.97</v>
      </c>
      <c r="G271" s="17">
        <v>716433.255</v>
      </c>
      <c r="H271" s="1">
        <f t="shared" ca="1" si="9"/>
        <v>46207</v>
      </c>
      <c r="I271" s="5">
        <f>IFERROR(VLOOKUP(A271,'[2]Consumo SEMANAL PV '!$B:$DJ,113,0),0)</f>
        <v>292.86</v>
      </c>
      <c r="J271" s="2" t="str">
        <f>IFERROR(VLOOKUP(A271,Hoja4!A:C,3,0),"")</f>
        <v>Mermelada</v>
      </c>
      <c r="K271" s="9">
        <f t="shared" si="10"/>
        <v>1.3368162261831591</v>
      </c>
      <c r="L271" s="6">
        <f>IFERROR(VLOOKUP(A271,'[2]Consumo SEMANAL PV '!$B:$DQ,120,0),0)</f>
        <v>195.24</v>
      </c>
    </row>
    <row r="272" spans="1:12" x14ac:dyDescent="0.3">
      <c r="A272" s="2">
        <v>107367</v>
      </c>
      <c r="B272" s="2" t="s">
        <v>16</v>
      </c>
      <c r="C272" s="2" t="s">
        <v>250</v>
      </c>
      <c r="D272" s="2" t="s">
        <v>251</v>
      </c>
      <c r="E272" s="5">
        <v>400</v>
      </c>
      <c r="F272" s="17">
        <v>890.76</v>
      </c>
      <c r="G272" s="17">
        <v>356304</v>
      </c>
      <c r="H272" s="1">
        <f t="shared" ca="1" si="9"/>
        <v>46207</v>
      </c>
      <c r="I272" s="5">
        <f>IFERROR(VLOOKUP(A272,'[2]Consumo SEMANAL PV '!$B:$DJ,113,0),0)</f>
        <v>450</v>
      </c>
      <c r="J272" s="2" t="str">
        <f>IFERROR(VLOOKUP(A272,Hoja4!A:C,3,0),"")</f>
        <v>Caja</v>
      </c>
      <c r="K272" s="9">
        <f t="shared" si="10"/>
        <v>0.88888888888888884</v>
      </c>
      <c r="L272" s="6">
        <f>IFERROR(VLOOKUP(A272,'[2]Consumo SEMANAL PV '!$B:$DQ,120,0),0)</f>
        <v>1125</v>
      </c>
    </row>
    <row r="273" spans="1:12" x14ac:dyDescent="0.3">
      <c r="A273" s="2">
        <v>405696</v>
      </c>
      <c r="B273" s="2" t="s">
        <v>18</v>
      </c>
      <c r="C273" s="2" t="s">
        <v>250</v>
      </c>
      <c r="D273" s="2" t="s">
        <v>251</v>
      </c>
      <c r="E273" s="2">
        <v>100</v>
      </c>
      <c r="F273" s="17">
        <v>600</v>
      </c>
      <c r="G273" s="17">
        <v>60000</v>
      </c>
      <c r="H273" s="1">
        <f t="shared" ca="1" si="9"/>
        <v>46207</v>
      </c>
      <c r="I273" s="5">
        <f>IFERROR(VLOOKUP(A273,'[2]Consumo SEMANAL PV '!$B:$DJ,113,0),0)</f>
        <v>500</v>
      </c>
      <c r="J273" s="2" t="str">
        <f>IFERROR(VLOOKUP(A273,Hoja4!A:C,3,0),"")</f>
        <v>Caja</v>
      </c>
      <c r="K273" s="9">
        <f t="shared" si="10"/>
        <v>0.2</v>
      </c>
      <c r="L273" s="6">
        <f>IFERROR(VLOOKUP(A273,'[2]Consumo SEMANAL PV '!$B:$DQ,120,0),0)</f>
        <v>1250</v>
      </c>
    </row>
    <row r="274" spans="1:12" x14ac:dyDescent="0.3">
      <c r="A274" s="2">
        <v>405794</v>
      </c>
      <c r="B274" s="2" t="s">
        <v>826</v>
      </c>
      <c r="C274" s="2" t="s">
        <v>250</v>
      </c>
      <c r="D274" s="2" t="s">
        <v>251</v>
      </c>
      <c r="E274" s="2">
        <v>1867</v>
      </c>
      <c r="F274" s="17">
        <v>600</v>
      </c>
      <c r="G274" s="17">
        <v>1120200</v>
      </c>
      <c r="H274" s="1">
        <f t="shared" ca="1" si="9"/>
        <v>46207</v>
      </c>
      <c r="I274" s="5">
        <f>IFERROR(VLOOKUP(A274,'[2]Consumo SEMANAL PV '!$B:$DJ,113,0),0)</f>
        <v>0</v>
      </c>
      <c r="J274" s="2" t="str">
        <f>IFERROR(VLOOKUP(A274,Hoja4!A:C,3,0),"")</f>
        <v>Carton</v>
      </c>
      <c r="K274" s="9">
        <f t="shared" si="10"/>
        <v>0</v>
      </c>
      <c r="L274" s="6">
        <f>IFERROR(VLOOKUP(A274,'[2]Consumo SEMANAL PV '!$B:$DQ,120,0),0)</f>
        <v>0</v>
      </c>
    </row>
    <row r="275" spans="1:12" x14ac:dyDescent="0.3">
      <c r="A275" s="2">
        <v>405503</v>
      </c>
      <c r="B275" s="2" t="s">
        <v>19</v>
      </c>
      <c r="C275" s="2" t="s">
        <v>250</v>
      </c>
      <c r="D275" s="2" t="s">
        <v>251</v>
      </c>
      <c r="E275" s="5">
        <v>500</v>
      </c>
      <c r="F275" s="17">
        <v>407</v>
      </c>
      <c r="G275" s="17">
        <v>203500</v>
      </c>
      <c r="H275" s="1">
        <f t="shared" ca="1" si="9"/>
        <v>46207</v>
      </c>
      <c r="I275" s="5">
        <f>IFERROR(VLOOKUP(A275,'[2]Consumo SEMANAL PV '!$B:$DJ,113,0),0)</f>
        <v>890.5</v>
      </c>
      <c r="J275" s="2" t="str">
        <f>IFERROR(VLOOKUP(A275,Hoja4!A:C,3,0),"")</f>
        <v>Caja</v>
      </c>
      <c r="K275" s="9">
        <f t="shared" si="10"/>
        <v>0.56148231330713083</v>
      </c>
      <c r="L275" s="6">
        <f>IFERROR(VLOOKUP(A275,'[2]Consumo SEMANAL PV '!$B:$DQ,120,0),0)</f>
        <v>2226.25</v>
      </c>
    </row>
    <row r="276" spans="1:12" x14ac:dyDescent="0.3">
      <c r="A276" s="2">
        <v>107365</v>
      </c>
      <c r="B276" s="2" t="s">
        <v>257</v>
      </c>
      <c r="C276" s="2" t="s">
        <v>250</v>
      </c>
      <c r="D276" s="2" t="s">
        <v>251</v>
      </c>
      <c r="E276" s="2">
        <v>1501</v>
      </c>
      <c r="F276" s="17">
        <v>493</v>
      </c>
      <c r="G276" s="17">
        <v>739993</v>
      </c>
      <c r="H276" s="1">
        <f t="shared" ca="1" si="9"/>
        <v>46207</v>
      </c>
      <c r="I276" s="5">
        <f>IFERROR(VLOOKUP(A276,'[2]Consumo SEMANAL PV '!$B:$DJ,113,0),0)</f>
        <v>549.08333333333337</v>
      </c>
      <c r="J276" s="2" t="str">
        <f>IFERROR(VLOOKUP(A276,Hoja4!A:C,3,0),"")</f>
        <v>Caja</v>
      </c>
      <c r="K276" s="9">
        <f t="shared" si="10"/>
        <v>2.7336469874032479</v>
      </c>
      <c r="L276" s="6">
        <f>IFERROR(VLOOKUP(A276,'[2]Consumo SEMANAL PV '!$B:$DQ,120,0),0)</f>
        <v>1372.7083333333335</v>
      </c>
    </row>
    <row r="277" spans="1:12" x14ac:dyDescent="0.3">
      <c r="A277" s="2">
        <v>405790</v>
      </c>
      <c r="B277" s="2" t="s">
        <v>820</v>
      </c>
      <c r="C277" s="2" t="s">
        <v>250</v>
      </c>
      <c r="D277" s="2" t="s">
        <v>251</v>
      </c>
      <c r="E277" s="2">
        <v>500</v>
      </c>
      <c r="F277" s="17">
        <v>562.6</v>
      </c>
      <c r="G277" s="17">
        <v>281300</v>
      </c>
      <c r="H277" s="1">
        <f t="shared" ca="1" si="9"/>
        <v>46207</v>
      </c>
      <c r="I277" s="5">
        <f>IFERROR(VLOOKUP(A277,'[2]Consumo SEMANAL PV '!$B:$DJ,113,0),0)</f>
        <v>0</v>
      </c>
      <c r="J277" s="2" t="str">
        <f>IFERROR(VLOOKUP(A277,Hoja4!A:C,3,0),"")</f>
        <v>Carton</v>
      </c>
      <c r="K277" s="9">
        <f t="shared" si="10"/>
        <v>0</v>
      </c>
      <c r="L277" s="6">
        <f>IFERROR(VLOOKUP(A277,'[2]Consumo SEMANAL PV '!$B:$DQ,120,0),0)</f>
        <v>0</v>
      </c>
    </row>
    <row r="278" spans="1:12" x14ac:dyDescent="0.3">
      <c r="A278" s="2">
        <v>405791</v>
      </c>
      <c r="B278" s="2" t="s">
        <v>824</v>
      </c>
      <c r="C278" s="2" t="s">
        <v>250</v>
      </c>
      <c r="D278" s="2" t="s">
        <v>251</v>
      </c>
      <c r="E278" s="5">
        <v>3500</v>
      </c>
      <c r="F278" s="17">
        <v>562.6</v>
      </c>
      <c r="G278" s="17">
        <v>1969100</v>
      </c>
      <c r="H278" s="1">
        <f t="shared" ca="1" si="9"/>
        <v>46207</v>
      </c>
      <c r="I278" s="5">
        <f>IFERROR(VLOOKUP(A278,'[2]Consumo SEMANAL PV '!$B:$DJ,113,0),0)</f>
        <v>0</v>
      </c>
      <c r="J278" s="2" t="str">
        <f>IFERROR(VLOOKUP(A278,Hoja4!A:C,3,0),"")</f>
        <v>Carton</v>
      </c>
      <c r="K278" s="9">
        <f t="shared" si="10"/>
        <v>0</v>
      </c>
      <c r="L278" s="6">
        <f>IFERROR(VLOOKUP(A278,'[2]Consumo SEMANAL PV '!$B:$DQ,120,0),0)</f>
        <v>0</v>
      </c>
    </row>
    <row r="279" spans="1:12" x14ac:dyDescent="0.3">
      <c r="A279" s="2">
        <v>405792</v>
      </c>
      <c r="B279" s="2" t="s">
        <v>823</v>
      </c>
      <c r="C279" s="2" t="s">
        <v>250</v>
      </c>
      <c r="D279" s="2" t="s">
        <v>251</v>
      </c>
      <c r="E279" s="2">
        <v>500</v>
      </c>
      <c r="F279" s="17">
        <v>510.22</v>
      </c>
      <c r="G279" s="17">
        <v>255110</v>
      </c>
      <c r="H279" s="1">
        <f t="shared" ca="1" si="9"/>
        <v>46207</v>
      </c>
      <c r="I279" s="5">
        <f>IFERROR(VLOOKUP(A279,'[2]Consumo SEMANAL PV '!$B:$DJ,113,0),0)</f>
        <v>700</v>
      </c>
      <c r="J279" s="2" t="str">
        <f>IFERROR(VLOOKUP(A279,Hoja4!A:C,3,0),"")</f>
        <v>Carton</v>
      </c>
      <c r="K279" s="9">
        <f t="shared" si="10"/>
        <v>0.7142857142857143</v>
      </c>
      <c r="L279" s="6">
        <f>IFERROR(VLOOKUP(A279,'[2]Consumo SEMANAL PV '!$B:$DQ,120,0),0)</f>
        <v>1750</v>
      </c>
    </row>
    <row r="280" spans="1:12" x14ac:dyDescent="0.3">
      <c r="A280" s="2">
        <v>106302</v>
      </c>
      <c r="B280" s="2" t="s">
        <v>261</v>
      </c>
      <c r="C280" s="2" t="s">
        <v>250</v>
      </c>
      <c r="D280" s="2" t="s">
        <v>251</v>
      </c>
      <c r="E280" s="2">
        <v>87</v>
      </c>
      <c r="F280" s="17">
        <v>9777.9699999999993</v>
      </c>
      <c r="G280" s="17">
        <v>850683.39</v>
      </c>
      <c r="H280" s="1">
        <f t="shared" ca="1" si="9"/>
        <v>46207</v>
      </c>
      <c r="I280" s="5">
        <f>IFERROR(VLOOKUP(A280,'[2]Consumo SEMANAL PV '!$B:$DJ,113,0),0)</f>
        <v>2.4583333333333335</v>
      </c>
      <c r="J280" s="2" t="str">
        <f>IFERROR(VLOOKUP(A280,Hoja4!A:C,3,0),"")</f>
        <v>Esencia</v>
      </c>
      <c r="K280" s="9">
        <f t="shared" si="10"/>
        <v>35.389830508474574</v>
      </c>
      <c r="L280" s="6">
        <f>IFERROR(VLOOKUP(A280,'[2]Consumo SEMANAL PV '!$B:$DQ,120,0),0)</f>
        <v>1.2291666666666667</v>
      </c>
    </row>
    <row r="281" spans="1:12" x14ac:dyDescent="0.3">
      <c r="A281" s="2">
        <v>403219</v>
      </c>
      <c r="B281" s="2" t="s">
        <v>20</v>
      </c>
      <c r="C281" s="2" t="s">
        <v>250</v>
      </c>
      <c r="D281" s="2" t="s">
        <v>251</v>
      </c>
      <c r="E281" s="2">
        <v>38000</v>
      </c>
      <c r="F281" s="17">
        <v>6.1</v>
      </c>
      <c r="G281" s="17">
        <v>231800</v>
      </c>
      <c r="H281" s="1">
        <f t="shared" ca="1" si="9"/>
        <v>46207</v>
      </c>
      <c r="I281" s="5">
        <f>IFERROR(VLOOKUP(A281,'[2]Consumo SEMANAL PV '!$B:$DJ,113,0),0)</f>
        <v>22200</v>
      </c>
      <c r="J281" s="2" t="str">
        <f>IFERROR(VLOOKUP(A281,Hoja4!A:C,3,0),"")</f>
        <v>Cupula</v>
      </c>
      <c r="K281" s="9">
        <f t="shared" si="10"/>
        <v>1.7117117117117118</v>
      </c>
      <c r="L281" s="6">
        <f>IFERROR(VLOOKUP(A281,'[2]Consumo SEMANAL PV '!$B:$DQ,120,0),0)</f>
        <v>11100</v>
      </c>
    </row>
    <row r="282" spans="1:12" x14ac:dyDescent="0.3">
      <c r="A282" s="2">
        <v>405728</v>
      </c>
      <c r="B282" s="2" t="s">
        <v>263</v>
      </c>
      <c r="C282" s="2" t="s">
        <v>250</v>
      </c>
      <c r="D282" s="2" t="s">
        <v>251</v>
      </c>
      <c r="E282" s="2">
        <v>13</v>
      </c>
      <c r="F282" s="17">
        <v>13497</v>
      </c>
      <c r="G282" s="17">
        <v>175461</v>
      </c>
      <c r="H282" s="1">
        <f t="shared" ca="1" si="9"/>
        <v>46207</v>
      </c>
      <c r="I282" s="5">
        <f>IFERROR(VLOOKUP(A282,'[2]Consumo SEMANAL PV '!$B:$DJ,113,0),0)</f>
        <v>31.076923076923077</v>
      </c>
      <c r="J282" s="2" t="str">
        <f>IFERROR(VLOOKUP(A282,Hoja4!A:C,3,0),"")</f>
        <v>Chocolate</v>
      </c>
      <c r="K282" s="9">
        <f t="shared" si="10"/>
        <v>0.4183168316831683</v>
      </c>
      <c r="L282" s="6">
        <f>IFERROR(VLOOKUP(A282,'[2]Consumo SEMANAL PV '!$B:$DQ,120,0),0)</f>
        <v>31.07692307692308</v>
      </c>
    </row>
    <row r="283" spans="1:12" x14ac:dyDescent="0.3">
      <c r="A283" s="2">
        <v>402255</v>
      </c>
      <c r="B283" s="2" t="s">
        <v>26</v>
      </c>
      <c r="C283" s="2" t="s">
        <v>250</v>
      </c>
      <c r="D283" s="2" t="s">
        <v>251</v>
      </c>
      <c r="E283" s="5">
        <v>913</v>
      </c>
      <c r="F283" s="17">
        <v>1290</v>
      </c>
      <c r="G283" s="17">
        <v>1177770</v>
      </c>
      <c r="H283" s="1">
        <f t="shared" ca="1" si="9"/>
        <v>46207</v>
      </c>
      <c r="I283" s="5">
        <f>IFERROR(VLOOKUP(A283,'[2]Consumo SEMANAL PV '!$B:$DJ,113,0),0)</f>
        <v>80.16</v>
      </c>
      <c r="J283" s="2" t="str">
        <f>IFERROR(VLOOKUP(A283,Hoja4!A:C,3,0),"")</f>
        <v>Empaque</v>
      </c>
      <c r="K283" s="9">
        <f t="shared" si="10"/>
        <v>11.389720558882235</v>
      </c>
      <c r="L283" s="6">
        <f>IFERROR(VLOOKUP(A283,'[2]Consumo SEMANAL PV '!$B:$DQ,120,0),0)</f>
        <v>40.08</v>
      </c>
    </row>
    <row r="284" spans="1:12" x14ac:dyDescent="0.3">
      <c r="A284" s="2">
        <v>107134</v>
      </c>
      <c r="B284" s="2" t="s">
        <v>30</v>
      </c>
      <c r="C284" s="2" t="s">
        <v>250</v>
      </c>
      <c r="D284" s="2" t="s">
        <v>251</v>
      </c>
      <c r="E284" s="5">
        <v>50</v>
      </c>
      <c r="F284" s="17">
        <v>3599.96</v>
      </c>
      <c r="G284" s="17">
        <v>179998</v>
      </c>
      <c r="H284" s="1">
        <f t="shared" ca="1" si="9"/>
        <v>46207</v>
      </c>
      <c r="I284" s="5">
        <f>IFERROR(VLOOKUP(A284,'[2]Consumo SEMANAL PV '!$B:$DJ,113,0),0)</f>
        <v>44.583333333333336</v>
      </c>
      <c r="J284" s="2" t="str">
        <f>IFERROR(VLOOKUP(A284,Hoja4!A:C,3,0),"")</f>
        <v>Esencia</v>
      </c>
      <c r="K284" s="9">
        <f t="shared" si="10"/>
        <v>1.1214953271028036</v>
      </c>
      <c r="L284" s="6">
        <f>IFERROR(VLOOKUP(A284,'[2]Consumo SEMANAL PV '!$B:$DQ,120,0),0)</f>
        <v>22.291666666666668</v>
      </c>
    </row>
    <row r="285" spans="1:12" x14ac:dyDescent="0.3">
      <c r="A285" s="2">
        <v>405304</v>
      </c>
      <c r="B285" s="2" t="s">
        <v>264</v>
      </c>
      <c r="C285" s="2" t="s">
        <v>250</v>
      </c>
      <c r="D285" s="2" t="s">
        <v>251</v>
      </c>
      <c r="E285" s="5">
        <v>55</v>
      </c>
      <c r="F285" s="17">
        <v>10134</v>
      </c>
      <c r="G285" s="17">
        <v>557370</v>
      </c>
      <c r="H285" s="1">
        <f t="shared" ca="1" si="9"/>
        <v>46207</v>
      </c>
      <c r="I285" s="5">
        <f>IFERROR(VLOOKUP(A285,'[2]Consumo SEMANAL PV '!$B:$DJ,113,0),0)</f>
        <v>10</v>
      </c>
      <c r="J285" s="2" t="str">
        <f>IFERROR(VLOOKUP(A285,Hoja4!A:C,3,0),"")</f>
        <v>Colorante</v>
      </c>
      <c r="K285" s="9">
        <f t="shared" si="10"/>
        <v>5.5</v>
      </c>
      <c r="L285" s="6">
        <f>IFERROR(VLOOKUP(A285,'[2]Consumo SEMANAL PV '!$B:$DQ,120,0),0)</f>
        <v>6.666666666666667</v>
      </c>
    </row>
    <row r="286" spans="1:12" x14ac:dyDescent="0.3">
      <c r="A286" s="2">
        <v>107300</v>
      </c>
      <c r="B286" s="2" t="s">
        <v>36</v>
      </c>
      <c r="C286" s="2" t="s">
        <v>250</v>
      </c>
      <c r="D286" s="2" t="s">
        <v>251</v>
      </c>
      <c r="E286" s="2">
        <v>420</v>
      </c>
      <c r="F286" s="17">
        <v>212.67</v>
      </c>
      <c r="G286" s="17">
        <v>89321.4</v>
      </c>
      <c r="H286" s="1">
        <f t="shared" ca="1" si="9"/>
        <v>46207</v>
      </c>
      <c r="I286" s="5">
        <f>IFERROR(VLOOKUP(A286,'[2]Consumo SEMANAL PV '!$B:$DJ,113,0),0)</f>
        <v>7896.666666666667</v>
      </c>
      <c r="J286" s="2" t="str">
        <f>IFERROR(VLOOKUP(A286,Hoja4!A:C,3,0),"")</f>
        <v>Cupula</v>
      </c>
      <c r="K286" s="9">
        <f t="shared" si="10"/>
        <v>5.3186998733642889E-2</v>
      </c>
      <c r="L286" s="6">
        <f>IFERROR(VLOOKUP(A286,'[2]Consumo SEMANAL PV '!$B:$DQ,120,0),0)</f>
        <v>2632.2222222222222</v>
      </c>
    </row>
    <row r="287" spans="1:12" x14ac:dyDescent="0.3">
      <c r="A287" s="2">
        <v>107237</v>
      </c>
      <c r="B287" s="2" t="s">
        <v>42</v>
      </c>
      <c r="C287" s="2" t="s">
        <v>250</v>
      </c>
      <c r="D287" s="2" t="s">
        <v>251</v>
      </c>
      <c r="E287" s="5">
        <v>1208</v>
      </c>
      <c r="F287" s="17">
        <v>4097.3100000000004</v>
      </c>
      <c r="G287" s="17">
        <v>4949550.4800000004</v>
      </c>
      <c r="H287" s="1">
        <f t="shared" ca="1" si="9"/>
        <v>46207</v>
      </c>
      <c r="I287" s="5">
        <f>IFERROR(VLOOKUP(A287,'[2]Consumo SEMANAL PV '!$B:$DJ,113,0),0)</f>
        <v>90.521739130434781</v>
      </c>
      <c r="J287" s="2" t="str">
        <f>IFERROR(VLOOKUP(A287,Hoja4!A:C,3,0),"")</f>
        <v>Cremas</v>
      </c>
      <c r="K287" s="9">
        <f t="shared" si="10"/>
        <v>13.344860710854947</v>
      </c>
      <c r="L287" s="6">
        <f>IFERROR(VLOOKUP(A287,'[2]Consumo SEMANAL PV '!$B:$DQ,120,0),0)</f>
        <v>45.260869565217391</v>
      </c>
    </row>
    <row r="288" spans="1:12" x14ac:dyDescent="0.3">
      <c r="A288" s="2">
        <v>107104</v>
      </c>
      <c r="B288" s="2" t="s">
        <v>43</v>
      </c>
      <c r="C288" s="2" t="s">
        <v>250</v>
      </c>
      <c r="D288" s="2" t="s">
        <v>251</v>
      </c>
      <c r="E288" s="5">
        <v>909</v>
      </c>
      <c r="F288" s="17">
        <v>3380</v>
      </c>
      <c r="G288" s="17">
        <v>3072420</v>
      </c>
      <c r="H288" s="1">
        <f t="shared" ca="1" si="9"/>
        <v>46207</v>
      </c>
      <c r="I288" s="5">
        <f>IFERROR(VLOOKUP(A288,'[2]Consumo SEMANAL PV '!$B:$DJ,113,0),0)</f>
        <v>1093.96</v>
      </c>
      <c r="J288" s="2" t="str">
        <f>IFERROR(VLOOKUP(A288,Hoja4!A:C,3,0),"")</f>
        <v>Cremas</v>
      </c>
      <c r="K288" s="9">
        <f t="shared" si="10"/>
        <v>0.83092617645983402</v>
      </c>
      <c r="L288" s="6">
        <f>IFERROR(VLOOKUP(A288,'[2]Consumo SEMANAL PV '!$B:$DQ,120,0),0)</f>
        <v>364.65333333333336</v>
      </c>
    </row>
    <row r="289" spans="1:12" x14ac:dyDescent="0.3">
      <c r="A289" s="2">
        <v>107142</v>
      </c>
      <c r="B289" s="2" t="s">
        <v>44</v>
      </c>
      <c r="C289" s="2" t="s">
        <v>250</v>
      </c>
      <c r="D289" s="2" t="s">
        <v>251</v>
      </c>
      <c r="E289" s="2">
        <v>731</v>
      </c>
      <c r="F289" s="17">
        <v>3250</v>
      </c>
      <c r="G289" s="17">
        <v>2375750</v>
      </c>
      <c r="H289" s="1">
        <f t="shared" ca="1" si="9"/>
        <v>46207</v>
      </c>
      <c r="I289" s="5">
        <f>IFERROR(VLOOKUP(A289,'[2]Consumo SEMANAL PV '!$B:$DJ,113,0),0)</f>
        <v>415.92</v>
      </c>
      <c r="J289" s="2" t="str">
        <f>IFERROR(VLOOKUP(A289,Hoja4!A:C,3,0),"")</f>
        <v>Cremas</v>
      </c>
      <c r="K289" s="9">
        <f t="shared" si="10"/>
        <v>1.7575495287555298</v>
      </c>
      <c r="L289" s="6">
        <f>IFERROR(VLOOKUP(A289,'[2]Consumo SEMANAL PV '!$B:$DQ,120,0),0)</f>
        <v>277.28000000000003</v>
      </c>
    </row>
    <row r="290" spans="1:12" x14ac:dyDescent="0.3">
      <c r="A290" s="2">
        <v>405161</v>
      </c>
      <c r="B290" s="2" t="s">
        <v>265</v>
      </c>
      <c r="C290" s="2" t="s">
        <v>250</v>
      </c>
      <c r="D290" s="2" t="s">
        <v>251</v>
      </c>
      <c r="E290" s="2">
        <v>1076</v>
      </c>
      <c r="F290" s="17">
        <v>2557.06</v>
      </c>
      <c r="G290" s="17">
        <v>2751396.56</v>
      </c>
      <c r="H290" s="1">
        <f t="shared" ca="1" si="9"/>
        <v>46207</v>
      </c>
      <c r="I290" s="5">
        <f>IFERROR(VLOOKUP(A290,'[2]Consumo SEMANAL PV '!$B:$DJ,113,0),0)</f>
        <v>198.5</v>
      </c>
      <c r="J290" s="2" t="str">
        <f>IFERROR(VLOOKUP(A290,Hoja4!A:C,3,0),"")</f>
        <v>Cremas</v>
      </c>
      <c r="K290" s="9">
        <f t="shared" si="10"/>
        <v>5.420654911838791</v>
      </c>
      <c r="L290" s="6">
        <f>IFERROR(VLOOKUP(A290,'[2]Consumo SEMANAL PV '!$B:$DQ,120,0),0)</f>
        <v>99.25</v>
      </c>
    </row>
    <row r="291" spans="1:12" x14ac:dyDescent="0.3">
      <c r="A291" s="2">
        <v>107098</v>
      </c>
      <c r="B291" s="2" t="s">
        <v>45</v>
      </c>
      <c r="C291" s="2" t="s">
        <v>250</v>
      </c>
      <c r="D291" s="2" t="s">
        <v>251</v>
      </c>
      <c r="E291" s="2">
        <v>960</v>
      </c>
      <c r="F291" s="17">
        <v>3199.98</v>
      </c>
      <c r="G291" s="17">
        <v>3071980.8</v>
      </c>
      <c r="H291" s="1">
        <f t="shared" ca="1" si="9"/>
        <v>46207</v>
      </c>
      <c r="I291" s="5">
        <f>IFERROR(VLOOKUP(A291,'[2]Consumo SEMANAL PV '!$B:$DJ,113,0),0)</f>
        <v>891.02</v>
      </c>
      <c r="J291" s="2" t="str">
        <f>IFERROR(VLOOKUP(A291,Hoja4!A:C,3,0),"")</f>
        <v>Cremas</v>
      </c>
      <c r="K291" s="9">
        <f t="shared" si="10"/>
        <v>1.0774168929990349</v>
      </c>
      <c r="L291" s="6">
        <f>IFERROR(VLOOKUP(A291,'[2]Consumo SEMANAL PV '!$B:$DQ,120,0),0)</f>
        <v>594.01333333333332</v>
      </c>
    </row>
    <row r="292" spans="1:12" x14ac:dyDescent="0.3">
      <c r="A292" s="2">
        <v>107417</v>
      </c>
      <c r="B292" s="2" t="s">
        <v>266</v>
      </c>
      <c r="C292" s="2" t="s">
        <v>250</v>
      </c>
      <c r="D292" s="2" t="s">
        <v>251</v>
      </c>
      <c r="E292" s="5">
        <v>260</v>
      </c>
      <c r="F292" s="17">
        <v>2980</v>
      </c>
      <c r="G292" s="17">
        <v>774800</v>
      </c>
      <c r="H292" s="1">
        <f t="shared" ca="1" si="9"/>
        <v>46207</v>
      </c>
      <c r="I292" s="5">
        <f>IFERROR(VLOOKUP(A292,'[2]Consumo SEMANAL PV '!$B:$DJ,113,0),0)</f>
        <v>366.66666666666669</v>
      </c>
      <c r="J292" s="2" t="str">
        <f>IFERROR(VLOOKUP(A292,Hoja4!A:C,3,0),"")</f>
        <v>Cremas</v>
      </c>
      <c r="K292" s="9">
        <f t="shared" si="10"/>
        <v>0.70909090909090911</v>
      </c>
      <c r="L292" s="6">
        <f>IFERROR(VLOOKUP(A292,'[2]Consumo SEMANAL PV '!$B:$DQ,120,0),0)</f>
        <v>183.33333333333334</v>
      </c>
    </row>
    <row r="293" spans="1:12" x14ac:dyDescent="0.3">
      <c r="A293" s="2">
        <v>107242</v>
      </c>
      <c r="B293" s="2" t="s">
        <v>46</v>
      </c>
      <c r="C293" s="2" t="s">
        <v>250</v>
      </c>
      <c r="D293" s="2" t="s">
        <v>251</v>
      </c>
      <c r="E293" s="2">
        <v>585</v>
      </c>
      <c r="F293" s="17">
        <v>4270.74</v>
      </c>
      <c r="G293" s="17">
        <v>2498382.9</v>
      </c>
      <c r="H293" s="1">
        <f t="shared" ca="1" si="9"/>
        <v>46207</v>
      </c>
      <c r="I293" s="5">
        <f>IFERROR(VLOOKUP(A293,'[2]Consumo SEMANAL PV '!$B:$DJ,113,0),0)</f>
        <v>340</v>
      </c>
      <c r="J293" s="2" t="str">
        <f>IFERROR(VLOOKUP(A293,Hoja4!A:C,3,0),"")</f>
        <v>Cremas</v>
      </c>
      <c r="K293" s="9">
        <f t="shared" si="10"/>
        <v>1.7205882352941178</v>
      </c>
      <c r="L293" s="6">
        <f>IFERROR(VLOOKUP(A293,'[2]Consumo SEMANAL PV '!$B:$DQ,120,0),0)</f>
        <v>113.33333333333333</v>
      </c>
    </row>
    <row r="294" spans="1:12" x14ac:dyDescent="0.3">
      <c r="A294" s="2">
        <v>103612</v>
      </c>
      <c r="B294" s="2" t="s">
        <v>48</v>
      </c>
      <c r="C294" s="2" t="s">
        <v>250</v>
      </c>
      <c r="D294" s="2" t="s">
        <v>251</v>
      </c>
      <c r="E294" s="5">
        <v>485</v>
      </c>
      <c r="F294" s="17">
        <v>2600</v>
      </c>
      <c r="G294" s="17">
        <v>1261000</v>
      </c>
      <c r="H294" s="1">
        <f t="shared" ca="1" si="9"/>
        <v>46207</v>
      </c>
      <c r="I294" s="5">
        <f>IFERROR(VLOOKUP(A294,'[2]Consumo SEMANAL PV '!$B:$DJ,113,0),0)</f>
        <v>44.2</v>
      </c>
      <c r="J294" s="2" t="str">
        <f>IFERROR(VLOOKUP(A294,Hoja4!A:C,3,0),"")</f>
        <v>Cremas</v>
      </c>
      <c r="K294" s="9">
        <f t="shared" si="10"/>
        <v>10.972850678733032</v>
      </c>
      <c r="L294" s="6">
        <f>IFERROR(VLOOKUP(A294,'[2]Consumo SEMANAL PV '!$B:$DQ,120,0),0)</f>
        <v>14.733333333333334</v>
      </c>
    </row>
    <row r="295" spans="1:12" x14ac:dyDescent="0.3">
      <c r="A295" s="2">
        <v>107209</v>
      </c>
      <c r="B295" s="2" t="s">
        <v>49</v>
      </c>
      <c r="C295" s="2" t="s">
        <v>250</v>
      </c>
      <c r="D295" s="2" t="s">
        <v>251</v>
      </c>
      <c r="E295" s="2">
        <v>2612</v>
      </c>
      <c r="F295" s="17">
        <v>2402.41</v>
      </c>
      <c r="G295" s="17">
        <v>6275094.9199999999</v>
      </c>
      <c r="H295" s="1">
        <f t="shared" ca="1" si="9"/>
        <v>46207</v>
      </c>
      <c r="I295" s="5">
        <f>IFERROR(VLOOKUP(A295,'[2]Consumo SEMANAL PV '!$B:$DJ,113,0),0)</f>
        <v>4863.84</v>
      </c>
      <c r="J295" s="2" t="str">
        <f>IFERROR(VLOOKUP(A295,Hoja4!A:C,3,0),"")</f>
        <v>Cremas</v>
      </c>
      <c r="K295" s="9">
        <f t="shared" si="10"/>
        <v>0.53702424421855977</v>
      </c>
      <c r="L295" s="6">
        <f>IFERROR(VLOOKUP(A295,'[2]Consumo SEMANAL PV '!$B:$DQ,120,0),0)</f>
        <v>2431.92</v>
      </c>
    </row>
    <row r="296" spans="1:12" x14ac:dyDescent="0.3">
      <c r="A296" s="2">
        <v>405524</v>
      </c>
      <c r="B296" s="2" t="s">
        <v>267</v>
      </c>
      <c r="C296" s="2" t="s">
        <v>250</v>
      </c>
      <c r="D296" s="2" t="s">
        <v>251</v>
      </c>
      <c r="E296" s="2">
        <v>114</v>
      </c>
      <c r="F296" s="17">
        <v>3627.99</v>
      </c>
      <c r="G296" s="17">
        <v>413590.86</v>
      </c>
      <c r="H296" s="1">
        <f t="shared" ca="1" si="9"/>
        <v>46207</v>
      </c>
      <c r="I296" s="5">
        <f>IFERROR(VLOOKUP(A296,'[2]Consumo SEMANAL PV '!$B:$DJ,113,0),0)</f>
        <v>48.791666666666664</v>
      </c>
      <c r="J296" s="2" t="str">
        <f>IFERROR(VLOOKUP(A296,Hoja4!A:C,3,0),"")</f>
        <v>Mermelada</v>
      </c>
      <c r="K296" s="9">
        <f t="shared" si="10"/>
        <v>2.336464560204953</v>
      </c>
      <c r="L296" s="6">
        <f>IFERROR(VLOOKUP(A296,'[2]Consumo SEMANAL PV '!$B:$DQ,120,0),0)</f>
        <v>32.527777777777779</v>
      </c>
    </row>
    <row r="297" spans="1:12" x14ac:dyDescent="0.3">
      <c r="A297" s="2">
        <v>405214</v>
      </c>
      <c r="B297" s="2" t="s">
        <v>268</v>
      </c>
      <c r="C297" s="2" t="s">
        <v>250</v>
      </c>
      <c r="D297" s="2" t="s">
        <v>251</v>
      </c>
      <c r="E297" s="5">
        <v>1880</v>
      </c>
      <c r="F297" s="17">
        <v>2980</v>
      </c>
      <c r="G297" s="17">
        <v>5602400</v>
      </c>
      <c r="H297" s="1">
        <f t="shared" ca="1" si="9"/>
        <v>46207</v>
      </c>
      <c r="I297" s="5">
        <f>IFERROR(VLOOKUP(A297,'[2]Consumo SEMANAL PV '!$B:$DJ,113,0),0)</f>
        <v>634.77272727272725</v>
      </c>
      <c r="J297" s="2" t="str">
        <f>IFERROR(VLOOKUP(A297,Hoja4!A:C,3,0),"")</f>
        <v>Cremas</v>
      </c>
      <c r="K297" s="9">
        <f t="shared" si="10"/>
        <v>2.9616899391335481</v>
      </c>
      <c r="L297" s="6">
        <f>IFERROR(VLOOKUP(A297,'[2]Consumo SEMANAL PV '!$B:$DQ,120,0),0)</f>
        <v>423.18181818181819</v>
      </c>
    </row>
    <row r="298" spans="1:12" x14ac:dyDescent="0.3">
      <c r="A298" s="2">
        <v>107317</v>
      </c>
      <c r="B298" s="2" t="s">
        <v>269</v>
      </c>
      <c r="C298" s="2" t="s">
        <v>250</v>
      </c>
      <c r="D298" s="2" t="s">
        <v>251</v>
      </c>
      <c r="E298" s="5">
        <v>610</v>
      </c>
      <c r="F298" s="17">
        <v>4202.21</v>
      </c>
      <c r="G298" s="17">
        <v>2563348.1</v>
      </c>
      <c r="H298" s="1">
        <f t="shared" ca="1" si="9"/>
        <v>46207</v>
      </c>
      <c r="I298" s="5">
        <f>IFERROR(VLOOKUP(A298,'[2]Consumo SEMANAL PV '!$B:$DJ,113,0),0)</f>
        <v>207.27272727272728</v>
      </c>
      <c r="J298" s="2" t="str">
        <f>IFERROR(VLOOKUP(A298,Hoja4!A:C,3,0),"")</f>
        <v>Fruta Congelada</v>
      </c>
      <c r="K298" s="9">
        <f t="shared" si="10"/>
        <v>2.9429824561403506</v>
      </c>
      <c r="L298" s="6">
        <f>IFERROR(VLOOKUP(A298,'[2]Consumo SEMANAL PV '!$B:$DQ,120,0),0)</f>
        <v>103.63636363636364</v>
      </c>
    </row>
    <row r="299" spans="1:12" x14ac:dyDescent="0.3">
      <c r="A299" s="2">
        <v>107240</v>
      </c>
      <c r="B299" s="2" t="s">
        <v>270</v>
      </c>
      <c r="C299" s="2" t="s">
        <v>250</v>
      </c>
      <c r="D299" s="2" t="s">
        <v>251</v>
      </c>
      <c r="E299" s="5">
        <v>468</v>
      </c>
      <c r="F299" s="17">
        <v>3378.32</v>
      </c>
      <c r="G299" s="17">
        <v>1581053.76</v>
      </c>
      <c r="H299" s="1">
        <f t="shared" ca="1" si="9"/>
        <v>46207</v>
      </c>
      <c r="I299" s="5">
        <f>IFERROR(VLOOKUP(A299,'[2]Consumo SEMANAL PV '!$B:$DJ,113,0),0)</f>
        <v>11.366666666666667</v>
      </c>
      <c r="J299" s="2" t="str">
        <f>IFERROR(VLOOKUP(A299,Hoja4!A:C,3,0),"")</f>
        <v>Fruta Conserva</v>
      </c>
      <c r="K299" s="9">
        <f t="shared" si="10"/>
        <v>41.173020527859236</v>
      </c>
      <c r="L299" s="6">
        <f>IFERROR(VLOOKUP(A299,'[2]Consumo SEMANAL PV '!$B:$DQ,120,0),0)</f>
        <v>5.6833333333333336</v>
      </c>
    </row>
    <row r="300" spans="1:12" x14ac:dyDescent="0.3">
      <c r="A300" s="2">
        <v>107345</v>
      </c>
      <c r="B300" s="2" t="s">
        <v>51</v>
      </c>
      <c r="C300" s="2" t="s">
        <v>250</v>
      </c>
      <c r="D300" s="2" t="s">
        <v>251</v>
      </c>
      <c r="E300" s="5">
        <v>2160</v>
      </c>
      <c r="F300" s="17">
        <v>185.4</v>
      </c>
      <c r="G300" s="17">
        <v>400464</v>
      </c>
      <c r="H300" s="1">
        <f t="shared" ca="1" si="9"/>
        <v>46207</v>
      </c>
      <c r="I300" s="5">
        <f>IFERROR(VLOOKUP(A300,'[2]Consumo SEMANAL PV '!$B:$DJ,113,0),0)</f>
        <v>2287.1999999999998</v>
      </c>
      <c r="J300" s="2" t="str">
        <f>IFERROR(VLOOKUP(A300,Hoja4!A:C,3,0),"")</f>
        <v>Cupula</v>
      </c>
      <c r="K300" s="9">
        <f t="shared" si="10"/>
        <v>0.94438614900314799</v>
      </c>
      <c r="L300" s="6">
        <f>IFERROR(VLOOKUP(A300,'[2]Consumo SEMANAL PV '!$B:$DQ,120,0),0)</f>
        <v>1143.5999999999999</v>
      </c>
    </row>
    <row r="301" spans="1:12" x14ac:dyDescent="0.3">
      <c r="A301" s="2">
        <v>403244</v>
      </c>
      <c r="B301" s="2" t="s">
        <v>271</v>
      </c>
      <c r="C301" s="2" t="s">
        <v>250</v>
      </c>
      <c r="D301" s="2" t="s">
        <v>251</v>
      </c>
      <c r="E301" s="5">
        <v>4500</v>
      </c>
      <c r="F301" s="17">
        <v>231.74</v>
      </c>
      <c r="G301" s="17">
        <v>1042830</v>
      </c>
      <c r="H301" s="1">
        <f t="shared" ca="1" si="9"/>
        <v>46207</v>
      </c>
      <c r="I301" s="5">
        <f>IFERROR(VLOOKUP(A301,'[2]Consumo SEMANAL PV '!$B:$DJ,113,0),0)</f>
        <v>3513.6</v>
      </c>
      <c r="J301" s="2" t="str">
        <f>IFERROR(VLOOKUP(A301,Hoja4!A:C,3,0),"")</f>
        <v>Cupula</v>
      </c>
      <c r="K301" s="9">
        <f t="shared" si="10"/>
        <v>1.2807377049180328</v>
      </c>
      <c r="L301" s="6">
        <f>IFERROR(VLOOKUP(A301,'[2]Consumo SEMANAL PV '!$B:$DQ,120,0),0)</f>
        <v>1756.8000000000002</v>
      </c>
    </row>
    <row r="302" spans="1:12" x14ac:dyDescent="0.3">
      <c r="A302" s="2">
        <v>107339</v>
      </c>
      <c r="B302" s="2" t="s">
        <v>54</v>
      </c>
      <c r="C302" s="2" t="s">
        <v>250</v>
      </c>
      <c r="D302" s="2" t="s">
        <v>251</v>
      </c>
      <c r="E302" s="5">
        <v>5670</v>
      </c>
      <c r="F302" s="17">
        <v>258.95999999999998</v>
      </c>
      <c r="G302" s="17">
        <v>1468303.2</v>
      </c>
      <c r="H302" s="1">
        <f t="shared" ca="1" si="9"/>
        <v>46207</v>
      </c>
      <c r="I302" s="5">
        <f>IFERROR(VLOOKUP(A302,'[2]Consumo SEMANAL PV '!$B:$DJ,113,0),0)</f>
        <v>3886.4</v>
      </c>
      <c r="J302" s="2" t="str">
        <f>IFERROR(VLOOKUP(A302,Hoja4!A:C,3,0),"")</f>
        <v>Cupula</v>
      </c>
      <c r="K302" s="9">
        <f t="shared" si="10"/>
        <v>1.4589337175792507</v>
      </c>
      <c r="L302" s="6">
        <f>IFERROR(VLOOKUP(A302,'[2]Consumo SEMANAL PV '!$B:$DQ,120,0),0)</f>
        <v>1295.4666666666667</v>
      </c>
    </row>
    <row r="303" spans="1:12" x14ac:dyDescent="0.3">
      <c r="A303" s="2">
        <v>405489</v>
      </c>
      <c r="B303" s="2" t="s">
        <v>272</v>
      </c>
      <c r="C303" s="2" t="s">
        <v>250</v>
      </c>
      <c r="D303" s="2" t="s">
        <v>251</v>
      </c>
      <c r="E303" s="5">
        <v>2170</v>
      </c>
      <c r="F303" s="17">
        <v>247</v>
      </c>
      <c r="G303" s="17">
        <v>535990</v>
      </c>
      <c r="H303" s="1">
        <f t="shared" ca="1" si="9"/>
        <v>46207</v>
      </c>
      <c r="I303" s="5">
        <f>IFERROR(VLOOKUP(A303,'[2]Consumo SEMANAL PV '!$B:$DJ,113,0),0)</f>
        <v>685</v>
      </c>
      <c r="J303" s="2" t="str">
        <f>IFERROR(VLOOKUP(A303,Hoja4!A:C,3,0),"")</f>
        <v>Cupula</v>
      </c>
      <c r="K303" s="9">
        <f t="shared" si="10"/>
        <v>3.167883211678832</v>
      </c>
      <c r="L303" s="6">
        <f>IFERROR(VLOOKUP(A303,'[2]Consumo SEMANAL PV '!$B:$DQ,120,0),0)</f>
        <v>228.33333333333334</v>
      </c>
    </row>
    <row r="304" spans="1:12" x14ac:dyDescent="0.3">
      <c r="A304" s="2">
        <v>405444</v>
      </c>
      <c r="B304" s="2" t="s">
        <v>55</v>
      </c>
      <c r="C304" s="2" t="s">
        <v>250</v>
      </c>
      <c r="D304" s="2" t="s">
        <v>251</v>
      </c>
      <c r="E304" s="5">
        <v>3900</v>
      </c>
      <c r="F304" s="17">
        <v>252</v>
      </c>
      <c r="G304" s="17">
        <v>982800</v>
      </c>
      <c r="H304" s="1">
        <f t="shared" ca="1" si="9"/>
        <v>46207</v>
      </c>
      <c r="I304" s="5">
        <f>IFERROR(VLOOKUP(A304,'[2]Consumo SEMANAL PV '!$B:$DJ,113,0),0)</f>
        <v>19400</v>
      </c>
      <c r="J304" s="2" t="str">
        <f>IFERROR(VLOOKUP(A304,Hoja4!A:C,3,0),"")</f>
        <v>Cupula</v>
      </c>
      <c r="K304" s="9">
        <f t="shared" si="10"/>
        <v>0.20103092783505155</v>
      </c>
      <c r="L304" s="6">
        <f>IFERROR(VLOOKUP(A304,'[2]Consumo SEMANAL PV '!$B:$DQ,120,0),0)</f>
        <v>6466.666666666667</v>
      </c>
    </row>
    <row r="305" spans="1:12" x14ac:dyDescent="0.3">
      <c r="A305" s="2">
        <v>405770</v>
      </c>
      <c r="B305" s="2" t="s">
        <v>273</v>
      </c>
      <c r="C305" s="2" t="s">
        <v>250</v>
      </c>
      <c r="D305" s="2" t="s">
        <v>251</v>
      </c>
      <c r="E305" s="2">
        <v>5900</v>
      </c>
      <c r="F305" s="17">
        <v>200.28</v>
      </c>
      <c r="G305" s="17">
        <v>1181652</v>
      </c>
      <c r="H305" s="1">
        <f t="shared" ca="1" si="9"/>
        <v>46207</v>
      </c>
      <c r="I305" s="5">
        <f>IFERROR(VLOOKUP(A305,'[2]Consumo SEMANAL PV '!$B:$DJ,113,0),0)</f>
        <v>2566.6666666666665</v>
      </c>
      <c r="J305" s="2" t="str">
        <f>IFERROR(VLOOKUP(A305,Hoja4!A:C,3,0),"")</f>
        <v>Cupula</v>
      </c>
      <c r="K305" s="9">
        <f t="shared" si="10"/>
        <v>2.2987012987012987</v>
      </c>
      <c r="L305" s="6">
        <f>IFERROR(VLOOKUP(A305,'[2]Consumo SEMANAL PV '!$B:$DQ,120,0),0)</f>
        <v>1283.3333333333333</v>
      </c>
    </row>
    <row r="306" spans="1:12" x14ac:dyDescent="0.3">
      <c r="A306" s="2">
        <v>405278</v>
      </c>
      <c r="B306" s="2" t="s">
        <v>56</v>
      </c>
      <c r="C306" s="2" t="s">
        <v>250</v>
      </c>
      <c r="D306" s="2" t="s">
        <v>251</v>
      </c>
      <c r="E306" s="2">
        <v>3290</v>
      </c>
      <c r="F306" s="17">
        <v>245</v>
      </c>
      <c r="G306" s="17">
        <v>806050</v>
      </c>
      <c r="H306" s="1">
        <f t="shared" ca="1" si="9"/>
        <v>46207</v>
      </c>
      <c r="I306" s="5">
        <f>IFERROR(VLOOKUP(A306,'[2]Consumo SEMANAL PV '!$B:$DJ,113,0),0)</f>
        <v>1283.3333333333333</v>
      </c>
      <c r="J306" s="2" t="str">
        <f>IFERROR(VLOOKUP(A306,Hoja4!A:C,3,0),"")</f>
        <v>Cupula</v>
      </c>
      <c r="K306" s="9">
        <f t="shared" si="10"/>
        <v>2.5636363636363639</v>
      </c>
      <c r="L306" s="6">
        <f>IFERROR(VLOOKUP(A306,'[2]Consumo SEMANAL PV '!$B:$DQ,120,0),0)</f>
        <v>427.77777777777777</v>
      </c>
    </row>
    <row r="307" spans="1:12" x14ac:dyDescent="0.3">
      <c r="A307" s="2">
        <v>107344</v>
      </c>
      <c r="B307" s="2" t="s">
        <v>57</v>
      </c>
      <c r="C307" s="2" t="s">
        <v>250</v>
      </c>
      <c r="D307" s="2" t="s">
        <v>251</v>
      </c>
      <c r="E307" s="5">
        <v>6020</v>
      </c>
      <c r="F307" s="17">
        <v>235.06</v>
      </c>
      <c r="G307" s="17">
        <v>1415061.2</v>
      </c>
      <c r="H307" s="1">
        <f t="shared" ca="1" si="9"/>
        <v>46207</v>
      </c>
      <c r="I307" s="5">
        <f>IFERROR(VLOOKUP(A307,'[2]Consumo SEMANAL PV '!$B:$DJ,113,0),0)</f>
        <v>2618.5714285714284</v>
      </c>
      <c r="J307" s="2" t="str">
        <f>IFERROR(VLOOKUP(A307,Hoja4!A:C,3,0),"")</f>
        <v>Cupula</v>
      </c>
      <c r="K307" s="9">
        <f t="shared" si="10"/>
        <v>2.2989634478996184</v>
      </c>
      <c r="L307" s="6">
        <f>IFERROR(VLOOKUP(A307,'[2]Consumo SEMANAL PV '!$B:$DQ,120,0),0)</f>
        <v>872.85714285714278</v>
      </c>
    </row>
    <row r="308" spans="1:12" x14ac:dyDescent="0.3">
      <c r="A308" s="2">
        <v>107127</v>
      </c>
      <c r="B308" s="2" t="s">
        <v>59</v>
      </c>
      <c r="C308" s="2" t="s">
        <v>250</v>
      </c>
      <c r="D308" s="2" t="s">
        <v>251</v>
      </c>
      <c r="E308" s="5">
        <v>776</v>
      </c>
      <c r="F308" s="17">
        <v>6286.85</v>
      </c>
      <c r="G308" s="17">
        <v>4878595.5999999996</v>
      </c>
      <c r="H308" s="1">
        <f t="shared" ca="1" si="9"/>
        <v>46207</v>
      </c>
      <c r="I308" s="5">
        <f>IFERROR(VLOOKUP(A308,'[2]Consumo SEMANAL PV '!$B:$DJ,113,0),0)</f>
        <v>38.524999999999999</v>
      </c>
      <c r="J308" s="2" t="str">
        <f>IFERROR(VLOOKUP(A308,Hoja4!A:C,3,0),"")</f>
        <v>Chocolate</v>
      </c>
      <c r="K308" s="9">
        <f t="shared" si="10"/>
        <v>20.142764438676185</v>
      </c>
      <c r="L308" s="6">
        <f>IFERROR(VLOOKUP(A308,'[2]Consumo SEMANAL PV '!$B:$DQ,120,0),0)</f>
        <v>25.683333333333334</v>
      </c>
    </row>
    <row r="309" spans="1:12" x14ac:dyDescent="0.3">
      <c r="A309" s="2">
        <v>107108</v>
      </c>
      <c r="B309" s="2" t="s">
        <v>60</v>
      </c>
      <c r="C309" s="2" t="s">
        <v>250</v>
      </c>
      <c r="D309" s="2" t="s">
        <v>251</v>
      </c>
      <c r="E309" s="5">
        <v>530.5</v>
      </c>
      <c r="F309" s="17">
        <v>4199.99</v>
      </c>
      <c r="G309" s="17">
        <v>2228094.6949999998</v>
      </c>
      <c r="H309" s="1">
        <f t="shared" ca="1" si="9"/>
        <v>46207</v>
      </c>
      <c r="I309" s="5">
        <f>IFERROR(VLOOKUP(A309,'[2]Consumo SEMANAL PV '!$B:$DJ,113,0),0)</f>
        <v>467.64</v>
      </c>
      <c r="J309" s="2" t="str">
        <f>IFERROR(VLOOKUP(A309,Hoja4!A:C,3,0),"")</f>
        <v>Chocolate</v>
      </c>
      <c r="K309" s="9">
        <f t="shared" si="10"/>
        <v>1.1344196390385768</v>
      </c>
      <c r="L309" s="6">
        <f>IFERROR(VLOOKUP(A309,'[2]Consumo SEMANAL PV '!$B:$DQ,120,0),0)</f>
        <v>311.76</v>
      </c>
    </row>
    <row r="310" spans="1:12" x14ac:dyDescent="0.3">
      <c r="A310" s="2">
        <v>201002</v>
      </c>
      <c r="B310" s="2" t="s">
        <v>275</v>
      </c>
      <c r="C310" s="2" t="s">
        <v>250</v>
      </c>
      <c r="D310" s="2" t="s">
        <v>251</v>
      </c>
      <c r="E310" s="5">
        <v>1850</v>
      </c>
      <c r="F310" s="17">
        <v>3210</v>
      </c>
      <c r="G310" s="17">
        <v>5938500</v>
      </c>
      <c r="H310" s="1">
        <f t="shared" ca="1" si="9"/>
        <v>46207</v>
      </c>
      <c r="I310" s="5">
        <f>IFERROR(VLOOKUP(A310,'[2]Consumo SEMANAL PV '!$B:$DJ,113,0),0)</f>
        <v>403.6</v>
      </c>
      <c r="J310" s="2" t="str">
        <f>IFERROR(VLOOKUP(A310,Hoja4!A:C,3,0),"")</f>
        <v>Desmoldante</v>
      </c>
      <c r="K310" s="9">
        <f t="shared" si="10"/>
        <v>4.5837462834489591</v>
      </c>
      <c r="L310" s="6">
        <f>IFERROR(VLOOKUP(A310,'[2]Consumo SEMANAL PV '!$B:$DQ,120,0),0)</f>
        <v>269.06666666666666</v>
      </c>
    </row>
    <row r="311" spans="1:12" x14ac:dyDescent="0.3">
      <c r="A311" s="2">
        <v>405739</v>
      </c>
      <c r="B311" s="2" t="s">
        <v>276</v>
      </c>
      <c r="C311" s="2" t="s">
        <v>250</v>
      </c>
      <c r="D311" s="2" t="s">
        <v>251</v>
      </c>
      <c r="E311" s="5">
        <v>130300</v>
      </c>
      <c r="F311" s="17">
        <v>20.9</v>
      </c>
      <c r="G311" s="17">
        <v>2723270</v>
      </c>
      <c r="H311" s="1">
        <f t="shared" ca="1" si="9"/>
        <v>46207</v>
      </c>
      <c r="I311" s="5">
        <f>IFERROR(VLOOKUP(A311,'[2]Consumo SEMANAL PV '!$B:$DJ,113,0),0)</f>
        <v>8854.545454545454</v>
      </c>
      <c r="J311" s="2" t="str">
        <f>IFERROR(VLOOKUP(A311,Hoja4!A:C,3,0),"")</f>
        <v>Carton</v>
      </c>
      <c r="K311" s="9">
        <f t="shared" si="10"/>
        <v>14.715605749486654</v>
      </c>
      <c r="L311" s="6">
        <f>IFERROR(VLOOKUP(A311,'[2]Consumo SEMANAL PV '!$B:$DQ,120,0),0)</f>
        <v>5903.030303030303</v>
      </c>
    </row>
    <row r="312" spans="1:12" x14ac:dyDescent="0.3">
      <c r="A312" s="2">
        <v>405740</v>
      </c>
      <c r="B312" s="2" t="s">
        <v>61</v>
      </c>
      <c r="C312" s="2" t="s">
        <v>250</v>
      </c>
      <c r="D312" s="2" t="s">
        <v>251</v>
      </c>
      <c r="E312" s="5">
        <v>129000</v>
      </c>
      <c r="F312" s="17">
        <v>24.9</v>
      </c>
      <c r="G312" s="17">
        <v>3212100</v>
      </c>
      <c r="H312" s="1">
        <f t="shared" ca="1" si="9"/>
        <v>46207</v>
      </c>
      <c r="I312" s="5">
        <f>IFERROR(VLOOKUP(A312,'[2]Consumo SEMANAL PV '!$B:$DJ,113,0),0)</f>
        <v>39572.727272727272</v>
      </c>
      <c r="J312" s="2" t="str">
        <f>IFERROR(VLOOKUP(A312,Hoja4!A:C,3,0),"")</f>
        <v>Carton</v>
      </c>
      <c r="K312" s="9">
        <f t="shared" si="10"/>
        <v>3.2598208132322535</v>
      </c>
      <c r="L312" s="6">
        <f>IFERROR(VLOOKUP(A312,'[2]Consumo SEMANAL PV '!$B:$DQ,120,0),0)</f>
        <v>26381.81818181818</v>
      </c>
    </row>
    <row r="313" spans="1:12" x14ac:dyDescent="0.3">
      <c r="A313" s="2">
        <v>405741</v>
      </c>
      <c r="B313" s="2" t="s">
        <v>278</v>
      </c>
      <c r="C313" s="2" t="s">
        <v>250</v>
      </c>
      <c r="D313" s="2" t="s">
        <v>251</v>
      </c>
      <c r="E313" s="2">
        <v>180600</v>
      </c>
      <c r="F313" s="17">
        <v>33.4</v>
      </c>
      <c r="G313" s="17">
        <v>6032040</v>
      </c>
      <c r="H313" s="1">
        <f t="shared" ca="1" si="9"/>
        <v>46207</v>
      </c>
      <c r="I313" s="5">
        <f>IFERROR(VLOOKUP(A313,'[2]Consumo SEMANAL PV '!$B:$DJ,113,0),0)</f>
        <v>5480</v>
      </c>
      <c r="J313" s="2" t="str">
        <f>IFERROR(VLOOKUP(A313,Hoja4!A:C,3,0),"")</f>
        <v>Carton</v>
      </c>
      <c r="K313" s="9">
        <f t="shared" si="10"/>
        <v>32.956204379562045</v>
      </c>
      <c r="L313" s="6">
        <f>IFERROR(VLOOKUP(A313,'[2]Consumo SEMANAL PV '!$B:$DQ,120,0),0)</f>
        <v>3653.3333333333335</v>
      </c>
    </row>
    <row r="314" spans="1:12" x14ac:dyDescent="0.3">
      <c r="A314" s="2">
        <v>403100</v>
      </c>
      <c r="B314" s="2" t="s">
        <v>279</v>
      </c>
      <c r="C314" s="2" t="s">
        <v>250</v>
      </c>
      <c r="D314" s="2" t="s">
        <v>251</v>
      </c>
      <c r="E314" s="5">
        <v>45000</v>
      </c>
      <c r="F314" s="17">
        <v>34.1</v>
      </c>
      <c r="G314" s="17">
        <v>1534500</v>
      </c>
      <c r="H314" s="1">
        <f t="shared" ca="1" si="9"/>
        <v>46207</v>
      </c>
      <c r="I314" s="5">
        <f>IFERROR(VLOOKUP(A314,'[2]Consumo SEMANAL PV '!$B:$DJ,113,0),0)</f>
        <v>11897.619047619048</v>
      </c>
      <c r="J314" s="2" t="str">
        <f>IFERROR(VLOOKUP(A314,Hoja4!A:C,3,0),"")</f>
        <v>Carton</v>
      </c>
      <c r="K314" s="9">
        <f t="shared" si="10"/>
        <v>3.78226936161697</v>
      </c>
      <c r="L314" s="6">
        <f>IFERROR(VLOOKUP(A314,'[2]Consumo SEMANAL PV '!$B:$DQ,120,0),0)</f>
        <v>7931.7460317460318</v>
      </c>
    </row>
    <row r="315" spans="1:12" x14ac:dyDescent="0.3">
      <c r="A315" s="2">
        <v>403271</v>
      </c>
      <c r="B315" s="2" t="s">
        <v>64</v>
      </c>
      <c r="C315" s="2" t="s">
        <v>250</v>
      </c>
      <c r="D315" s="2" t="s">
        <v>251</v>
      </c>
      <c r="E315" s="5">
        <v>17200</v>
      </c>
      <c r="F315" s="17">
        <v>37</v>
      </c>
      <c r="G315" s="17">
        <v>636400</v>
      </c>
      <c r="H315" s="1">
        <f t="shared" ca="1" si="9"/>
        <v>46207</v>
      </c>
      <c r="I315" s="5">
        <f>IFERROR(VLOOKUP(A315,'[2]Consumo SEMANAL PV '!$B:$DJ,113,0),0)</f>
        <v>6142.6315789473683</v>
      </c>
      <c r="J315" s="2" t="str">
        <f>IFERROR(VLOOKUP(A315,Hoja4!A:C,3,0),"")</f>
        <v>Carton</v>
      </c>
      <c r="K315" s="9">
        <f t="shared" si="10"/>
        <v>2.8001028189529604</v>
      </c>
      <c r="L315" s="6">
        <f>IFERROR(VLOOKUP(A315,'[2]Consumo SEMANAL PV '!$B:$DQ,120,0),0)</f>
        <v>15356.578947368422</v>
      </c>
    </row>
    <row r="316" spans="1:12" x14ac:dyDescent="0.3">
      <c r="A316" s="2">
        <v>405788</v>
      </c>
      <c r="B316" s="2" t="s">
        <v>842</v>
      </c>
      <c r="C316" s="2" t="s">
        <v>250</v>
      </c>
      <c r="D316" s="2" t="s">
        <v>251</v>
      </c>
      <c r="E316" s="2">
        <v>13671</v>
      </c>
      <c r="F316" s="17">
        <v>59.29</v>
      </c>
      <c r="G316" s="17">
        <v>810553.59</v>
      </c>
      <c r="H316" s="1">
        <f t="shared" ca="1" si="9"/>
        <v>46207</v>
      </c>
      <c r="I316" s="5">
        <f>IFERROR(VLOOKUP(A316,'[2]Consumo SEMANAL PV '!$B:$DJ,113,0),0)</f>
        <v>0</v>
      </c>
      <c r="J316" s="2" t="str">
        <f>IFERROR(VLOOKUP(A316,Hoja4!A:C,3,0),"")</f>
        <v/>
      </c>
      <c r="K316" s="9">
        <f t="shared" si="10"/>
        <v>0</v>
      </c>
      <c r="L316" s="6">
        <f>IFERROR(VLOOKUP(A316,'[2]Consumo SEMANAL PV '!$B:$DQ,120,0),0)</f>
        <v>0</v>
      </c>
    </row>
    <row r="317" spans="1:12" x14ac:dyDescent="0.3">
      <c r="A317" s="2">
        <v>107210</v>
      </c>
      <c r="B317" s="2" t="s">
        <v>67</v>
      </c>
      <c r="C317" s="2" t="s">
        <v>250</v>
      </c>
      <c r="D317" s="2" t="s">
        <v>251</v>
      </c>
      <c r="E317" s="2">
        <v>648</v>
      </c>
      <c r="F317" s="17">
        <v>771.66</v>
      </c>
      <c r="G317" s="17">
        <v>500035.68</v>
      </c>
      <c r="H317" s="1">
        <f t="shared" ca="1" si="9"/>
        <v>46207</v>
      </c>
      <c r="I317" s="5">
        <f>IFERROR(VLOOKUP(A317,'[2]Consumo SEMANAL PV '!$B:$DJ,113,0),0)</f>
        <v>1414.2857142857142</v>
      </c>
      <c r="J317" s="2" t="str">
        <f>IFERROR(VLOOKUP(A317,Hoja4!A:C,3,0),"")</f>
        <v>Insumo</v>
      </c>
      <c r="K317" s="9">
        <f t="shared" si="10"/>
        <v>0.45818181818181819</v>
      </c>
      <c r="L317" s="6">
        <f>IFERROR(VLOOKUP(A317,'[2]Consumo SEMANAL PV '!$B:$DQ,120,0),0)</f>
        <v>707.14285714285711</v>
      </c>
    </row>
    <row r="318" spans="1:12" x14ac:dyDescent="0.3">
      <c r="A318" s="2">
        <v>405583</v>
      </c>
      <c r="B318" s="2" t="s">
        <v>69</v>
      </c>
      <c r="C318" s="2" t="s">
        <v>250</v>
      </c>
      <c r="D318" s="2" t="s">
        <v>251</v>
      </c>
      <c r="E318" s="5">
        <v>53200</v>
      </c>
      <c r="F318" s="17">
        <v>49</v>
      </c>
      <c r="G318" s="17">
        <v>2606800</v>
      </c>
      <c r="H318" s="1">
        <f t="shared" ca="1" si="9"/>
        <v>46207</v>
      </c>
      <c r="I318" s="5">
        <f>IFERROR(VLOOKUP(A318,'[2]Consumo SEMANAL PV '!$B:$DJ,113,0),0)</f>
        <v>9522.2222222222226</v>
      </c>
      <c r="J318" s="2" t="str">
        <f>IFERROR(VLOOKUP(A318,Hoja4!A:C,3,0),"")</f>
        <v>Carton</v>
      </c>
      <c r="K318" s="9">
        <f t="shared" si="10"/>
        <v>5.5869311551925316</v>
      </c>
      <c r="L318" s="6">
        <f>IFERROR(VLOOKUP(A318,'[2]Consumo SEMANAL PV '!$B:$DQ,120,0),0)</f>
        <v>23805.555555555558</v>
      </c>
    </row>
    <row r="319" spans="1:12" x14ac:dyDescent="0.3">
      <c r="A319" s="2">
        <v>353009</v>
      </c>
      <c r="B319" s="2" t="s">
        <v>70</v>
      </c>
      <c r="C319" s="2" t="s">
        <v>250</v>
      </c>
      <c r="D319" s="2" t="s">
        <v>251</v>
      </c>
      <c r="E319" s="5">
        <v>720</v>
      </c>
      <c r="F319" s="17">
        <v>148.49</v>
      </c>
      <c r="G319" s="17">
        <v>106912.8</v>
      </c>
      <c r="H319" s="1">
        <f t="shared" ca="1" si="9"/>
        <v>46207</v>
      </c>
      <c r="I319" s="5">
        <f>IFERROR(VLOOKUP(A319,'[2]Consumo SEMANAL PV '!$B:$DJ,113,0),0)</f>
        <v>13676.75</v>
      </c>
      <c r="J319" s="2" t="str">
        <f>IFERROR(VLOOKUP(A319,Hoja4!A:C,3,0),"")</f>
        <v>Insumo</v>
      </c>
      <c r="K319" s="9">
        <f t="shared" si="10"/>
        <v>5.264408576598973E-2</v>
      </c>
      <c r="L319" s="6">
        <f>IFERROR(VLOOKUP(A319,'[2]Consumo SEMANAL PV '!$B:$DQ,120,0),0)</f>
        <v>4558.916666666667</v>
      </c>
    </row>
    <row r="320" spans="1:12" x14ac:dyDescent="0.3">
      <c r="A320" s="2">
        <v>107294</v>
      </c>
      <c r="B320" s="2" t="s">
        <v>72</v>
      </c>
      <c r="C320" s="2" t="s">
        <v>250</v>
      </c>
      <c r="D320" s="2" t="s">
        <v>251</v>
      </c>
      <c r="E320" s="5">
        <v>2676</v>
      </c>
      <c r="F320" s="17">
        <v>1660</v>
      </c>
      <c r="G320" s="17">
        <v>4442160</v>
      </c>
      <c r="H320" s="1">
        <f t="shared" ca="1" si="9"/>
        <v>46207</v>
      </c>
      <c r="I320" s="5">
        <f>IFERROR(VLOOKUP(A320,'[2]Consumo SEMANAL PV '!$B:$DJ,113,0),0)</f>
        <v>1413.84</v>
      </c>
      <c r="J320" s="2" t="str">
        <f>IFERROR(VLOOKUP(A320,Hoja4!A:C,3,0),"")</f>
        <v>Mermelada</v>
      </c>
      <c r="K320" s="9">
        <f t="shared" si="10"/>
        <v>1.8927177049736887</v>
      </c>
      <c r="L320" s="6">
        <f>IFERROR(VLOOKUP(A320,'[2]Consumo SEMANAL PV '!$B:$DQ,120,0),0)</f>
        <v>471.28</v>
      </c>
    </row>
    <row r="321" spans="1:12" x14ac:dyDescent="0.3">
      <c r="A321" s="2">
        <v>107125</v>
      </c>
      <c r="B321" s="2" t="s">
        <v>280</v>
      </c>
      <c r="C321" s="2" t="s">
        <v>250</v>
      </c>
      <c r="D321" s="2" t="s">
        <v>251</v>
      </c>
      <c r="E321" s="5">
        <v>243</v>
      </c>
      <c r="F321" s="17">
        <v>2582.3000000000002</v>
      </c>
      <c r="G321" s="17">
        <v>627498.9</v>
      </c>
      <c r="H321" s="1">
        <f t="shared" ca="1" si="9"/>
        <v>46207</v>
      </c>
      <c r="I321" s="5">
        <f>IFERROR(VLOOKUP(A321,'[2]Consumo SEMANAL PV '!$B:$DJ,113,0),0)</f>
        <v>215.70839999999995</v>
      </c>
      <c r="J321" s="2" t="str">
        <f>IFERROR(VLOOKUP(A321,Hoja4!A:C,3,0),"")</f>
        <v>Fruta Conserva</v>
      </c>
      <c r="K321" s="9">
        <f t="shared" si="10"/>
        <v>1.1265208030841638</v>
      </c>
      <c r="L321" s="6">
        <f>IFERROR(VLOOKUP(A321,'[2]Consumo SEMANAL PV '!$B:$DQ,120,0),0)</f>
        <v>107.85419999999998</v>
      </c>
    </row>
    <row r="322" spans="1:12" x14ac:dyDescent="0.3">
      <c r="A322" s="2">
        <v>107124</v>
      </c>
      <c r="B322" s="2" t="s">
        <v>281</v>
      </c>
      <c r="C322" s="2" t="s">
        <v>250</v>
      </c>
      <c r="D322" s="2" t="s">
        <v>251</v>
      </c>
      <c r="E322" s="5">
        <v>183.6</v>
      </c>
      <c r="F322" s="17">
        <v>2694.44</v>
      </c>
      <c r="G322" s="17">
        <v>494699.18400000001</v>
      </c>
      <c r="H322" s="1">
        <f t="shared" ca="1" si="9"/>
        <v>46207</v>
      </c>
      <c r="I322" s="5">
        <f>IFERROR(VLOOKUP(A322,'[2]Consumo SEMANAL PV '!$B:$DJ,113,0),0)</f>
        <v>3.6</v>
      </c>
      <c r="J322" s="2" t="str">
        <f>IFERROR(VLOOKUP(A322,Hoja4!A:C,3,0),"")</f>
        <v>Fruta Conserva</v>
      </c>
      <c r="K322" s="9">
        <f t="shared" si="10"/>
        <v>51</v>
      </c>
      <c r="L322" s="6">
        <f>IFERROR(VLOOKUP(A322,'[2]Consumo SEMANAL PV '!$B:$DQ,120,0),0)</f>
        <v>1.7999999999999998</v>
      </c>
    </row>
    <row r="323" spans="1:12" x14ac:dyDescent="0.3">
      <c r="A323" s="2">
        <v>405720</v>
      </c>
      <c r="B323" s="2" t="s">
        <v>282</v>
      </c>
      <c r="C323" s="2" t="s">
        <v>250</v>
      </c>
      <c r="D323" s="2" t="s">
        <v>251</v>
      </c>
      <c r="E323" s="5">
        <v>5000</v>
      </c>
      <c r="F323" s="17">
        <v>18.34</v>
      </c>
      <c r="G323" s="17">
        <v>91700</v>
      </c>
      <c r="H323" s="1">
        <f t="shared" ref="H323:H386" ca="1" si="11">TODAY()</f>
        <v>46207</v>
      </c>
      <c r="I323" s="5">
        <f>IFERROR(VLOOKUP(A323,'[2]Consumo SEMANAL PV '!$B:$DJ,113,0),0)</f>
        <v>4250</v>
      </c>
      <c r="J323" s="2" t="str">
        <f>IFERROR(VLOOKUP(A323,Hoja4!A:C,3,0),"")</f>
        <v>Etiquetas</v>
      </c>
      <c r="K323" s="9">
        <f t="shared" ref="K323:K386" si="12">IFERROR(+E323/I323,0)</f>
        <v>1.1764705882352942</v>
      </c>
      <c r="L323" s="6">
        <f>IFERROR(VLOOKUP(A323,'[2]Consumo SEMANAL PV '!$B:$DQ,120,0),0)</f>
        <v>4250</v>
      </c>
    </row>
    <row r="324" spans="1:12" x14ac:dyDescent="0.3">
      <c r="A324" s="2">
        <v>405719</v>
      </c>
      <c r="B324" s="2" t="s">
        <v>283</v>
      </c>
      <c r="C324" s="2" t="s">
        <v>250</v>
      </c>
      <c r="D324" s="2" t="s">
        <v>251</v>
      </c>
      <c r="E324" s="5">
        <v>9000</v>
      </c>
      <c r="F324" s="17">
        <v>18.34</v>
      </c>
      <c r="G324" s="17">
        <v>165060</v>
      </c>
      <c r="H324" s="1">
        <f t="shared" ca="1" si="11"/>
        <v>46207</v>
      </c>
      <c r="I324" s="5">
        <f>IFERROR(VLOOKUP(A324,'[2]Consumo SEMANAL PV '!$B:$DJ,113,0),0)</f>
        <v>4125</v>
      </c>
      <c r="J324" s="2" t="str">
        <f>IFERROR(VLOOKUP(A324,Hoja4!A:C,3,0),"")</f>
        <v>Etiquetas</v>
      </c>
      <c r="K324" s="9">
        <f t="shared" si="12"/>
        <v>2.1818181818181817</v>
      </c>
      <c r="L324" s="6">
        <f>IFERROR(VLOOKUP(A324,'[2]Consumo SEMANAL PV '!$B:$DQ,120,0),0)</f>
        <v>4125</v>
      </c>
    </row>
    <row r="325" spans="1:12" x14ac:dyDescent="0.3">
      <c r="A325" s="2">
        <v>405773</v>
      </c>
      <c r="B325" s="2" t="s">
        <v>284</v>
      </c>
      <c r="C325" s="2" t="s">
        <v>250</v>
      </c>
      <c r="D325" s="2" t="s">
        <v>251</v>
      </c>
      <c r="E325" s="5">
        <v>9000</v>
      </c>
      <c r="F325" s="17">
        <v>20.399999999999999</v>
      </c>
      <c r="G325" s="17">
        <v>183600</v>
      </c>
      <c r="H325" s="1">
        <f t="shared" ca="1" si="11"/>
        <v>46207</v>
      </c>
      <c r="I325" s="5">
        <f>IFERROR(VLOOKUP(A325,'[2]Consumo SEMANAL PV '!$B:$DJ,113,0),0)</f>
        <v>1000</v>
      </c>
      <c r="J325" s="2" t="str">
        <f>IFERROR(VLOOKUP(A325,Hoja4!A:C,3,0),"")</f>
        <v>Etiquetas</v>
      </c>
      <c r="K325" s="9">
        <f t="shared" si="12"/>
        <v>9</v>
      </c>
      <c r="L325" s="6">
        <f>IFERROR(VLOOKUP(A325,'[2]Consumo SEMANAL PV '!$B:$DQ,120,0),0)</f>
        <v>1000</v>
      </c>
    </row>
    <row r="326" spans="1:12" x14ac:dyDescent="0.3">
      <c r="A326" s="2">
        <v>405354</v>
      </c>
      <c r="B326" s="2" t="s">
        <v>285</v>
      </c>
      <c r="C326" s="2" t="s">
        <v>250</v>
      </c>
      <c r="D326" s="2" t="s">
        <v>251</v>
      </c>
      <c r="E326" s="5">
        <v>6000</v>
      </c>
      <c r="F326" s="17">
        <v>17.170000000000002</v>
      </c>
      <c r="G326" s="17">
        <v>103020</v>
      </c>
      <c r="H326" s="1">
        <f t="shared" ca="1" si="11"/>
        <v>46207</v>
      </c>
      <c r="I326" s="5">
        <f>IFERROR(VLOOKUP(A326,'[2]Consumo SEMANAL PV '!$B:$DJ,113,0),0)</f>
        <v>1300</v>
      </c>
      <c r="J326" s="2" t="str">
        <f>IFERROR(VLOOKUP(A326,Hoja4!A:C,3,0),"")</f>
        <v>Etiquetas</v>
      </c>
      <c r="K326" s="9">
        <f t="shared" si="12"/>
        <v>4.615384615384615</v>
      </c>
      <c r="L326" s="6">
        <f>IFERROR(VLOOKUP(A326,'[2]Consumo SEMANAL PV '!$B:$DQ,120,0),0)</f>
        <v>1300</v>
      </c>
    </row>
    <row r="327" spans="1:12" x14ac:dyDescent="0.3">
      <c r="A327" s="2">
        <v>405360</v>
      </c>
      <c r="B327" s="2" t="s">
        <v>605</v>
      </c>
      <c r="C327" s="2" t="s">
        <v>250</v>
      </c>
      <c r="D327" s="2" t="s">
        <v>251</v>
      </c>
      <c r="E327" s="5">
        <v>2000</v>
      </c>
      <c r="F327" s="17">
        <v>17.170000000000002</v>
      </c>
      <c r="G327" s="17">
        <v>34340</v>
      </c>
      <c r="H327" s="1">
        <f t="shared" ca="1" si="11"/>
        <v>46207</v>
      </c>
      <c r="I327" s="5">
        <f>IFERROR(VLOOKUP(A327,'[2]Consumo SEMANAL PV '!$B:$DJ,113,0),0)</f>
        <v>1615.3846153846155</v>
      </c>
      <c r="J327" s="2" t="str">
        <f>IFERROR(VLOOKUP(A327,Hoja4!A:C,3,0),"")</f>
        <v>Etiquetas</v>
      </c>
      <c r="K327" s="9">
        <f t="shared" si="12"/>
        <v>1.2380952380952381</v>
      </c>
      <c r="L327" s="6">
        <f>IFERROR(VLOOKUP(A327,'[2]Consumo SEMANAL PV '!$B:$DQ,120,0),0)</f>
        <v>1615.3846153846152</v>
      </c>
    </row>
    <row r="328" spans="1:12" x14ac:dyDescent="0.3">
      <c r="A328" s="2">
        <v>405704</v>
      </c>
      <c r="B328" s="2" t="s">
        <v>286</v>
      </c>
      <c r="C328" s="2" t="s">
        <v>250</v>
      </c>
      <c r="D328" s="2" t="s">
        <v>251</v>
      </c>
      <c r="E328" s="5">
        <v>2000</v>
      </c>
      <c r="F328" s="17">
        <v>20.7</v>
      </c>
      <c r="G328" s="17">
        <v>41400</v>
      </c>
      <c r="H328" s="1">
        <f t="shared" ca="1" si="11"/>
        <v>46207</v>
      </c>
      <c r="I328" s="5">
        <f>IFERROR(VLOOKUP(A328,'[2]Consumo SEMANAL PV '!$B:$DJ,113,0),0)</f>
        <v>1000</v>
      </c>
      <c r="J328" s="2" t="str">
        <f>IFERROR(VLOOKUP(A328,Hoja4!A:C,3,0),"")</f>
        <v>Etiquetas</v>
      </c>
      <c r="K328" s="9">
        <f t="shared" si="12"/>
        <v>2</v>
      </c>
      <c r="L328" s="6">
        <f>IFERROR(VLOOKUP(A328,'[2]Consumo SEMANAL PV '!$B:$DQ,120,0),0)</f>
        <v>1000</v>
      </c>
    </row>
    <row r="329" spans="1:12" x14ac:dyDescent="0.3">
      <c r="A329" s="2">
        <v>405356</v>
      </c>
      <c r="B329" s="2" t="s">
        <v>287</v>
      </c>
      <c r="C329" s="2" t="s">
        <v>250</v>
      </c>
      <c r="D329" s="2" t="s">
        <v>251</v>
      </c>
      <c r="E329" s="5">
        <v>10000</v>
      </c>
      <c r="F329" s="17">
        <v>19.38</v>
      </c>
      <c r="G329" s="17">
        <v>193800</v>
      </c>
      <c r="H329" s="1">
        <f t="shared" ca="1" si="11"/>
        <v>46207</v>
      </c>
      <c r="I329" s="5">
        <f>IFERROR(VLOOKUP(A329,'[2]Consumo SEMANAL PV '!$B:$DJ,113,0),0)</f>
        <v>1346.1538461538462</v>
      </c>
      <c r="J329" s="2" t="str">
        <f>IFERROR(VLOOKUP(A329,Hoja4!A:C,3,0),"")</f>
        <v>Etiquetas</v>
      </c>
      <c r="K329" s="9">
        <f t="shared" si="12"/>
        <v>7.4285714285714279</v>
      </c>
      <c r="L329" s="6">
        <f>IFERROR(VLOOKUP(A329,'[2]Consumo SEMANAL PV '!$B:$DQ,120,0),0)</f>
        <v>1346.1538461538462</v>
      </c>
    </row>
    <row r="330" spans="1:12" x14ac:dyDescent="0.3">
      <c r="A330" s="2">
        <v>405357</v>
      </c>
      <c r="B330" s="2" t="s">
        <v>288</v>
      </c>
      <c r="C330" s="2" t="s">
        <v>250</v>
      </c>
      <c r="D330" s="2" t="s">
        <v>251</v>
      </c>
      <c r="E330" s="5">
        <v>6000</v>
      </c>
      <c r="F330" s="17">
        <v>20.49</v>
      </c>
      <c r="G330" s="17">
        <v>122940</v>
      </c>
      <c r="H330" s="1">
        <f t="shared" ca="1" si="11"/>
        <v>46207</v>
      </c>
      <c r="I330" s="5">
        <f>IFERROR(VLOOKUP(A330,'[2]Consumo SEMANAL PV '!$B:$DJ,113,0),0)</f>
        <v>1166.6666666666667</v>
      </c>
      <c r="J330" s="2" t="str">
        <f>IFERROR(VLOOKUP(A330,Hoja4!A:C,3,0),"")</f>
        <v>Etiquetas</v>
      </c>
      <c r="K330" s="9">
        <f t="shared" si="12"/>
        <v>5.1428571428571423</v>
      </c>
      <c r="L330" s="6">
        <f>IFERROR(VLOOKUP(A330,'[2]Consumo SEMANAL PV '!$B:$DQ,120,0),0)</f>
        <v>1166.6666666666667</v>
      </c>
    </row>
    <row r="331" spans="1:12" x14ac:dyDescent="0.3">
      <c r="A331" s="2">
        <v>405718</v>
      </c>
      <c r="B331" s="2" t="s">
        <v>289</v>
      </c>
      <c r="C331" s="2" t="s">
        <v>250</v>
      </c>
      <c r="D331" s="2" t="s">
        <v>251</v>
      </c>
      <c r="E331" s="5">
        <v>8000</v>
      </c>
      <c r="F331" s="17">
        <v>22.7</v>
      </c>
      <c r="G331" s="17">
        <v>181600</v>
      </c>
      <c r="H331" s="1">
        <f t="shared" ca="1" si="11"/>
        <v>46207</v>
      </c>
      <c r="I331" s="5">
        <f>IFERROR(VLOOKUP(A331,'[2]Consumo SEMANAL PV '!$B:$DJ,113,0),0)</f>
        <v>4722.2222222222226</v>
      </c>
      <c r="J331" s="2" t="str">
        <f>IFERROR(VLOOKUP(A331,Hoja4!A:C,3,0),"")</f>
        <v>Etiquetas</v>
      </c>
      <c r="K331" s="9">
        <f t="shared" si="12"/>
        <v>1.6941176470588233</v>
      </c>
      <c r="L331" s="6">
        <f>IFERROR(VLOOKUP(A331,'[2]Consumo SEMANAL PV '!$B:$DQ,120,0),0)</f>
        <v>4722.2222222222226</v>
      </c>
    </row>
    <row r="332" spans="1:12" x14ac:dyDescent="0.3">
      <c r="A332" s="2">
        <v>405711</v>
      </c>
      <c r="B332" s="2" t="s">
        <v>292</v>
      </c>
      <c r="C332" s="2" t="s">
        <v>250</v>
      </c>
      <c r="D332" s="2" t="s">
        <v>251</v>
      </c>
      <c r="E332" s="5">
        <v>16500</v>
      </c>
      <c r="F332" s="17">
        <v>22.7</v>
      </c>
      <c r="G332" s="17">
        <v>374550</v>
      </c>
      <c r="H332" s="1">
        <f t="shared" ca="1" si="11"/>
        <v>46207</v>
      </c>
      <c r="I332" s="5">
        <f>IFERROR(VLOOKUP(A332,'[2]Consumo SEMANAL PV '!$B:$DJ,113,0),0)</f>
        <v>1071.4285714285713</v>
      </c>
      <c r="J332" s="2" t="str">
        <f>IFERROR(VLOOKUP(A332,Hoja4!A:C,3,0),"")</f>
        <v>Etiquetas</v>
      </c>
      <c r="K332" s="9">
        <f t="shared" si="12"/>
        <v>15.400000000000002</v>
      </c>
      <c r="L332" s="6">
        <f>IFERROR(VLOOKUP(A332,'[2]Consumo SEMANAL PV '!$B:$DQ,120,0),0)</f>
        <v>1071.4285714285713</v>
      </c>
    </row>
    <row r="333" spans="1:12" x14ac:dyDescent="0.3">
      <c r="A333" s="2">
        <v>405713</v>
      </c>
      <c r="B333" s="2" t="s">
        <v>293</v>
      </c>
      <c r="C333" s="2" t="s">
        <v>250</v>
      </c>
      <c r="D333" s="2" t="s">
        <v>251</v>
      </c>
      <c r="E333" s="5">
        <v>1000</v>
      </c>
      <c r="F333" s="17">
        <v>22.7</v>
      </c>
      <c r="G333" s="17">
        <v>22700</v>
      </c>
      <c r="H333" s="1">
        <f t="shared" ca="1" si="11"/>
        <v>46207</v>
      </c>
      <c r="I333" s="5">
        <f>IFERROR(VLOOKUP(A333,'[2]Consumo SEMANAL PV '!$B:$DJ,113,0),0)</f>
        <v>3083.3333333333335</v>
      </c>
      <c r="J333" s="2" t="str">
        <f>IFERROR(VLOOKUP(A333,Hoja4!A:C,3,0),"")</f>
        <v>Etiquetas</v>
      </c>
      <c r="K333" s="9">
        <f t="shared" si="12"/>
        <v>0.32432432432432429</v>
      </c>
      <c r="L333" s="6">
        <f>IFERROR(VLOOKUP(A333,'[2]Consumo SEMANAL PV '!$B:$DQ,120,0),0)</f>
        <v>3083.3333333333335</v>
      </c>
    </row>
    <row r="334" spans="1:12" x14ac:dyDescent="0.3">
      <c r="A334" s="2">
        <v>405733</v>
      </c>
      <c r="B334" s="2" t="s">
        <v>294</v>
      </c>
      <c r="C334" s="2" t="s">
        <v>250</v>
      </c>
      <c r="D334" s="2" t="s">
        <v>251</v>
      </c>
      <c r="E334" s="5">
        <v>12000</v>
      </c>
      <c r="F334" s="17">
        <v>22.7</v>
      </c>
      <c r="G334" s="17">
        <v>272400</v>
      </c>
      <c r="H334" s="1">
        <f t="shared" ca="1" si="11"/>
        <v>46207</v>
      </c>
      <c r="I334" s="5">
        <f>IFERROR(VLOOKUP(A334,'[2]Consumo SEMANAL PV '!$B:$DJ,113,0),0)</f>
        <v>5100</v>
      </c>
      <c r="J334" s="2" t="str">
        <f>IFERROR(VLOOKUP(A334,Hoja4!A:C,3,0),"")</f>
        <v>Etiquetas</v>
      </c>
      <c r="K334" s="9">
        <f t="shared" si="12"/>
        <v>2.3529411764705883</v>
      </c>
      <c r="L334" s="6">
        <f>IFERROR(VLOOKUP(A334,'[2]Consumo SEMANAL PV '!$B:$DQ,120,0),0)</f>
        <v>5100</v>
      </c>
    </row>
    <row r="335" spans="1:12" x14ac:dyDescent="0.3">
      <c r="A335" s="2">
        <v>405709</v>
      </c>
      <c r="B335" s="2" t="s">
        <v>295</v>
      </c>
      <c r="C335" s="2" t="s">
        <v>250</v>
      </c>
      <c r="D335" s="2" t="s">
        <v>251</v>
      </c>
      <c r="E335" s="5">
        <v>12000</v>
      </c>
      <c r="F335" s="17">
        <v>22.7</v>
      </c>
      <c r="G335" s="17">
        <v>272400</v>
      </c>
      <c r="H335" s="1">
        <f t="shared" ca="1" si="11"/>
        <v>46207</v>
      </c>
      <c r="I335" s="5">
        <f>IFERROR(VLOOKUP(A335,'[2]Consumo SEMANAL PV '!$B:$DJ,113,0),0)</f>
        <v>3571.4285714285716</v>
      </c>
      <c r="J335" s="2" t="str">
        <f>IFERROR(VLOOKUP(A335,Hoja4!A:C,3,0),"")</f>
        <v>Etiquetas</v>
      </c>
      <c r="K335" s="9">
        <f t="shared" si="12"/>
        <v>3.36</v>
      </c>
      <c r="L335" s="6">
        <f>IFERROR(VLOOKUP(A335,'[2]Consumo SEMANAL PV '!$B:$DQ,120,0),0)</f>
        <v>3571.4285714285716</v>
      </c>
    </row>
    <row r="336" spans="1:12" x14ac:dyDescent="0.3">
      <c r="A336" s="2">
        <v>405737</v>
      </c>
      <c r="B336" s="2" t="s">
        <v>296</v>
      </c>
      <c r="C336" s="2" t="s">
        <v>250</v>
      </c>
      <c r="D336" s="2" t="s">
        <v>251</v>
      </c>
      <c r="E336" s="5">
        <v>6000</v>
      </c>
      <c r="F336" s="17">
        <v>22.7</v>
      </c>
      <c r="G336" s="17">
        <v>136200</v>
      </c>
      <c r="H336" s="1">
        <f t="shared" ca="1" si="11"/>
        <v>46207</v>
      </c>
      <c r="I336" s="5">
        <f>IFERROR(VLOOKUP(A336,'[2]Consumo SEMANAL PV '!$B:$DJ,113,0),0)</f>
        <v>4100</v>
      </c>
      <c r="J336" s="2" t="str">
        <f>IFERROR(VLOOKUP(A336,Hoja4!A:C,3,0),"")</f>
        <v>Etiquetas</v>
      </c>
      <c r="K336" s="9">
        <f t="shared" si="12"/>
        <v>1.4634146341463414</v>
      </c>
      <c r="L336" s="6">
        <f>IFERROR(VLOOKUP(A336,'[2]Consumo SEMANAL PV '!$B:$DQ,120,0),0)</f>
        <v>4100</v>
      </c>
    </row>
    <row r="337" spans="1:12" x14ac:dyDescent="0.3">
      <c r="A337" s="2">
        <v>405734</v>
      </c>
      <c r="B337" s="2" t="s">
        <v>297</v>
      </c>
      <c r="C337" s="2" t="s">
        <v>250</v>
      </c>
      <c r="D337" s="2" t="s">
        <v>251</v>
      </c>
      <c r="E337" s="5">
        <v>12000</v>
      </c>
      <c r="F337" s="17">
        <v>22.7</v>
      </c>
      <c r="G337" s="17">
        <v>272400</v>
      </c>
      <c r="H337" s="1">
        <f t="shared" ca="1" si="11"/>
        <v>46207</v>
      </c>
      <c r="I337" s="5">
        <f>IFERROR(VLOOKUP(A337,'[2]Consumo SEMANAL PV '!$B:$DJ,113,0),0)</f>
        <v>5800</v>
      </c>
      <c r="J337" s="2" t="str">
        <f>IFERROR(VLOOKUP(A337,Hoja4!A:C,3,0),"")</f>
        <v>Etiquetas</v>
      </c>
      <c r="K337" s="9">
        <f t="shared" si="12"/>
        <v>2.0689655172413794</v>
      </c>
      <c r="L337" s="6">
        <f>IFERROR(VLOOKUP(A337,'[2]Consumo SEMANAL PV '!$B:$DQ,120,0),0)</f>
        <v>5800</v>
      </c>
    </row>
    <row r="338" spans="1:12" x14ac:dyDescent="0.3">
      <c r="A338" s="2">
        <v>405716</v>
      </c>
      <c r="B338" s="2" t="s">
        <v>298</v>
      </c>
      <c r="C338" s="2" t="s">
        <v>250</v>
      </c>
      <c r="D338" s="2" t="s">
        <v>251</v>
      </c>
      <c r="E338" s="5">
        <v>8000</v>
      </c>
      <c r="F338" s="17">
        <v>22.7</v>
      </c>
      <c r="G338" s="17">
        <v>181600</v>
      </c>
      <c r="H338" s="1">
        <f t="shared" ca="1" si="11"/>
        <v>46207</v>
      </c>
      <c r="I338" s="5">
        <f>IFERROR(VLOOKUP(A338,'[2]Consumo SEMANAL PV '!$B:$DJ,113,0),0)</f>
        <v>0</v>
      </c>
      <c r="J338" s="2" t="str">
        <f>IFERROR(VLOOKUP(A338,Hoja4!A:C,3,0),"")</f>
        <v>Etiquetas</v>
      </c>
      <c r="K338" s="9">
        <f t="shared" si="12"/>
        <v>0</v>
      </c>
      <c r="L338" s="6">
        <f>IFERROR(VLOOKUP(A338,'[2]Consumo SEMANAL PV '!$B:$DQ,120,0),0)</f>
        <v>0</v>
      </c>
    </row>
    <row r="339" spans="1:12" x14ac:dyDescent="0.3">
      <c r="A339" s="2">
        <v>405735</v>
      </c>
      <c r="B339" s="2" t="s">
        <v>301</v>
      </c>
      <c r="C339" s="2" t="s">
        <v>250</v>
      </c>
      <c r="D339" s="2" t="s">
        <v>251</v>
      </c>
      <c r="E339" s="5">
        <v>6000</v>
      </c>
      <c r="F339" s="17">
        <v>22.7</v>
      </c>
      <c r="G339" s="17">
        <v>136200</v>
      </c>
      <c r="H339" s="1">
        <f t="shared" ca="1" si="11"/>
        <v>46207</v>
      </c>
      <c r="I339" s="5">
        <f>IFERROR(VLOOKUP(A339,'[2]Consumo SEMANAL PV '!$B:$DJ,113,0),0)</f>
        <v>3600</v>
      </c>
      <c r="J339" s="2" t="str">
        <f>IFERROR(VLOOKUP(A339,Hoja4!A:C,3,0),"")</f>
        <v>Etiquetas</v>
      </c>
      <c r="K339" s="9">
        <f t="shared" si="12"/>
        <v>1.6666666666666667</v>
      </c>
      <c r="L339" s="6">
        <f>IFERROR(VLOOKUP(A339,'[2]Consumo SEMANAL PV '!$B:$DQ,120,0),0)</f>
        <v>3600</v>
      </c>
    </row>
    <row r="340" spans="1:12" x14ac:dyDescent="0.3">
      <c r="A340" s="2">
        <v>405160</v>
      </c>
      <c r="B340" s="2" t="s">
        <v>100</v>
      </c>
      <c r="C340" s="2" t="s">
        <v>250</v>
      </c>
      <c r="D340" s="2" t="s">
        <v>251</v>
      </c>
      <c r="E340" s="5">
        <v>10000</v>
      </c>
      <c r="F340" s="17">
        <v>16.16</v>
      </c>
      <c r="G340" s="17">
        <v>161600</v>
      </c>
      <c r="H340" s="1">
        <f t="shared" ca="1" si="11"/>
        <v>46207</v>
      </c>
      <c r="I340" s="5">
        <f>IFERROR(VLOOKUP(A340,'[2]Consumo SEMANAL PV '!$B:$DJ,113,0),0)</f>
        <v>7750</v>
      </c>
      <c r="J340" s="2" t="str">
        <f>IFERROR(VLOOKUP(A340,Hoja4!A:C,3,0),"")</f>
        <v>Etiquetas</v>
      </c>
      <c r="K340" s="9">
        <f t="shared" si="12"/>
        <v>1.2903225806451613</v>
      </c>
      <c r="L340" s="6">
        <f>IFERROR(VLOOKUP(A340,'[2]Consumo SEMANAL PV '!$B:$DQ,120,0),0)</f>
        <v>7750</v>
      </c>
    </row>
    <row r="341" spans="1:12" x14ac:dyDescent="0.3">
      <c r="A341" s="2">
        <v>405771</v>
      </c>
      <c r="B341" s="2" t="s">
        <v>302</v>
      </c>
      <c r="C341" s="2" t="s">
        <v>250</v>
      </c>
      <c r="D341" s="2" t="s">
        <v>251</v>
      </c>
      <c r="E341" s="5">
        <v>1500</v>
      </c>
      <c r="F341" s="17">
        <v>45.5</v>
      </c>
      <c r="G341" s="17">
        <v>68250</v>
      </c>
      <c r="H341" s="1">
        <f t="shared" ca="1" si="11"/>
        <v>46207</v>
      </c>
      <c r="I341" s="5">
        <f>IFERROR(VLOOKUP(A341,'[2]Consumo SEMANAL PV '!$B:$DJ,113,0),0)</f>
        <v>2000</v>
      </c>
      <c r="J341" s="2" t="str">
        <f>IFERROR(VLOOKUP(A341,Hoja4!A:C,3,0),"")</f>
        <v>Etiquetas</v>
      </c>
      <c r="K341" s="9">
        <f t="shared" si="12"/>
        <v>0.75</v>
      </c>
      <c r="L341" s="6">
        <f>IFERROR(VLOOKUP(A341,'[2]Consumo SEMANAL PV '!$B:$DQ,120,0),0)</f>
        <v>2000</v>
      </c>
    </row>
    <row r="342" spans="1:12" x14ac:dyDescent="0.3">
      <c r="A342" s="2">
        <v>405772</v>
      </c>
      <c r="B342" s="2" t="s">
        <v>303</v>
      </c>
      <c r="C342" s="2" t="s">
        <v>250</v>
      </c>
      <c r="D342" s="2" t="s">
        <v>251</v>
      </c>
      <c r="E342" s="5">
        <v>8500</v>
      </c>
      <c r="F342" s="17">
        <v>45.5</v>
      </c>
      <c r="G342" s="17">
        <v>386750</v>
      </c>
      <c r="H342" s="1">
        <f t="shared" ca="1" si="11"/>
        <v>46207</v>
      </c>
      <c r="I342" s="5">
        <f>IFERROR(VLOOKUP(A342,'[2]Consumo SEMANAL PV '!$B:$DJ,113,0),0)</f>
        <v>0</v>
      </c>
      <c r="J342" s="2" t="str">
        <f>IFERROR(VLOOKUP(A342,Hoja4!A:C,3,0),"")</f>
        <v>Etiquetas</v>
      </c>
      <c r="K342" s="9">
        <f t="shared" si="12"/>
        <v>0</v>
      </c>
      <c r="L342" s="6">
        <f>IFERROR(VLOOKUP(A342,'[2]Consumo SEMANAL PV '!$B:$DQ,120,0),0)</f>
        <v>0</v>
      </c>
    </row>
    <row r="343" spans="1:12" x14ac:dyDescent="0.3">
      <c r="A343" s="2">
        <v>405049</v>
      </c>
      <c r="B343" s="2" t="s">
        <v>101</v>
      </c>
      <c r="C343" s="2" t="s">
        <v>250</v>
      </c>
      <c r="D343" s="2" t="s">
        <v>251</v>
      </c>
      <c r="E343" s="5">
        <v>90000</v>
      </c>
      <c r="F343" s="17">
        <v>1.54</v>
      </c>
      <c r="G343" s="17">
        <v>138600</v>
      </c>
      <c r="H343" s="1">
        <f t="shared" ca="1" si="11"/>
        <v>46207</v>
      </c>
      <c r="I343" s="5">
        <f>IFERROR(VLOOKUP(A343,'[2]Consumo SEMANAL PV '!$B:$DJ,113,0),0)</f>
        <v>61666.666666666664</v>
      </c>
      <c r="J343" s="2" t="str">
        <f>IFERROR(VLOOKUP(A343,Hoja4!A:C,3,0),"")</f>
        <v>Etiquetas</v>
      </c>
      <c r="K343" s="9">
        <f t="shared" si="12"/>
        <v>1.4594594594594594</v>
      </c>
      <c r="L343" s="6">
        <f>IFERROR(VLOOKUP(A343,'[2]Consumo SEMANAL PV '!$B:$DQ,120,0),0)</f>
        <v>61666.666666666664</v>
      </c>
    </row>
    <row r="344" spans="1:12" x14ac:dyDescent="0.3">
      <c r="A344" s="2">
        <v>404720</v>
      </c>
      <c r="B344" s="2" t="s">
        <v>304</v>
      </c>
      <c r="C344" s="2" t="s">
        <v>250</v>
      </c>
      <c r="D344" s="2" t="s">
        <v>251</v>
      </c>
      <c r="E344" s="5">
        <v>132500</v>
      </c>
      <c r="F344" s="17">
        <v>6.56</v>
      </c>
      <c r="G344" s="17">
        <v>869200</v>
      </c>
      <c r="H344" s="1">
        <f t="shared" ca="1" si="11"/>
        <v>46207</v>
      </c>
      <c r="I344" s="5">
        <f>IFERROR(VLOOKUP(A344,'[2]Consumo SEMANAL PV '!$B:$DJ,113,0),0)</f>
        <v>34869.565217391304</v>
      </c>
      <c r="J344" s="2" t="str">
        <f>IFERROR(VLOOKUP(A344,Hoja4!A:C,3,0),"")</f>
        <v>Etiquetas</v>
      </c>
      <c r="K344" s="9">
        <f t="shared" si="12"/>
        <v>3.7998753117206983</v>
      </c>
      <c r="L344" s="6">
        <f>IFERROR(VLOOKUP(A344,'[2]Consumo SEMANAL PV '!$B:$DQ,120,0),0)</f>
        <v>34869.565217391304</v>
      </c>
    </row>
    <row r="345" spans="1:12" x14ac:dyDescent="0.3">
      <c r="A345" s="2">
        <v>404718</v>
      </c>
      <c r="B345" s="2" t="s">
        <v>103</v>
      </c>
      <c r="C345" s="2" t="s">
        <v>250</v>
      </c>
      <c r="D345" s="2" t="s">
        <v>251</v>
      </c>
      <c r="E345" s="5">
        <v>154000</v>
      </c>
      <c r="F345" s="17">
        <v>7.95</v>
      </c>
      <c r="G345" s="17">
        <v>1224300</v>
      </c>
      <c r="H345" s="1">
        <f t="shared" ca="1" si="11"/>
        <v>46207</v>
      </c>
      <c r="I345" s="5">
        <f>IFERROR(VLOOKUP(A345,'[2]Consumo SEMANAL PV '!$B:$DJ,113,0),0)</f>
        <v>18409.090909090908</v>
      </c>
      <c r="J345" s="2" t="str">
        <f>IFERROR(VLOOKUP(A345,Hoja4!A:C,3,0),"")</f>
        <v>Etiquetas</v>
      </c>
      <c r="K345" s="9">
        <f t="shared" si="12"/>
        <v>8.3654320987654334</v>
      </c>
      <c r="L345" s="6">
        <f>IFERROR(VLOOKUP(A345,'[2]Consumo SEMANAL PV '!$B:$DQ,120,0),0)</f>
        <v>18409.090909090908</v>
      </c>
    </row>
    <row r="346" spans="1:12" x14ac:dyDescent="0.3">
      <c r="A346" s="2">
        <v>405159</v>
      </c>
      <c r="B346" s="2" t="s">
        <v>104</v>
      </c>
      <c r="C346" s="2" t="s">
        <v>250</v>
      </c>
      <c r="D346" s="2" t="s">
        <v>251</v>
      </c>
      <c r="E346" s="5">
        <v>42000</v>
      </c>
      <c r="F346" s="17">
        <v>14.5</v>
      </c>
      <c r="G346" s="17">
        <v>609000</v>
      </c>
      <c r="H346" s="1">
        <f t="shared" ca="1" si="11"/>
        <v>46207</v>
      </c>
      <c r="I346" s="5">
        <f>IFERROR(VLOOKUP(A346,'[2]Consumo SEMANAL PV '!$B:$DJ,113,0),0)</f>
        <v>15041.666666666666</v>
      </c>
      <c r="J346" s="2" t="str">
        <f>IFERROR(VLOOKUP(A346,Hoja4!A:C,3,0),"")</f>
        <v>Etiquetas</v>
      </c>
      <c r="K346" s="9">
        <f t="shared" si="12"/>
        <v>2.7922437673130194</v>
      </c>
      <c r="L346" s="6">
        <f>IFERROR(VLOOKUP(A346,'[2]Consumo SEMANAL PV '!$B:$DQ,120,0),0)</f>
        <v>15041.666666666666</v>
      </c>
    </row>
    <row r="347" spans="1:12" x14ac:dyDescent="0.3">
      <c r="A347" s="2">
        <v>405479</v>
      </c>
      <c r="B347" s="2" t="s">
        <v>305</v>
      </c>
      <c r="C347" s="2" t="s">
        <v>250</v>
      </c>
      <c r="D347" s="2" t="s">
        <v>251</v>
      </c>
      <c r="E347" s="5">
        <v>42000</v>
      </c>
      <c r="F347" s="17">
        <v>10.95</v>
      </c>
      <c r="G347" s="17">
        <v>459900</v>
      </c>
      <c r="H347" s="1">
        <f t="shared" ca="1" si="11"/>
        <v>46207</v>
      </c>
      <c r="I347" s="5">
        <f>IFERROR(VLOOKUP(A347,'[2]Consumo SEMANAL PV '!$B:$DJ,113,0),0)</f>
        <v>0</v>
      </c>
      <c r="J347" s="2" t="str">
        <f>IFERROR(VLOOKUP(A347,Hoja4!A:C,3,0),"")</f>
        <v>Etiquetas</v>
      </c>
      <c r="K347" s="9">
        <f t="shared" si="12"/>
        <v>0</v>
      </c>
      <c r="L347" s="6">
        <f>IFERROR(VLOOKUP(A347,'[2]Consumo SEMANAL PV '!$B:$DQ,120,0),0)</f>
        <v>0</v>
      </c>
    </row>
    <row r="348" spans="1:12" x14ac:dyDescent="0.3">
      <c r="A348" s="2">
        <v>405103</v>
      </c>
      <c r="B348" s="2" t="s">
        <v>105</v>
      </c>
      <c r="C348" s="2" t="s">
        <v>250</v>
      </c>
      <c r="D348" s="2" t="s">
        <v>251</v>
      </c>
      <c r="E348" s="5">
        <v>72000</v>
      </c>
      <c r="F348" s="17">
        <v>17.27</v>
      </c>
      <c r="G348" s="17">
        <v>1243440</v>
      </c>
      <c r="H348" s="1">
        <f t="shared" ca="1" si="11"/>
        <v>46207</v>
      </c>
      <c r="I348" s="5">
        <f>IFERROR(VLOOKUP(A348,'[2]Consumo SEMANAL PV '!$B:$DJ,113,0),0)</f>
        <v>7236.8421052631575</v>
      </c>
      <c r="J348" s="2" t="str">
        <f>IFERROR(VLOOKUP(A348,Hoja4!A:C,3,0),"")</f>
        <v>Etiquetas</v>
      </c>
      <c r="K348" s="9">
        <f t="shared" si="12"/>
        <v>9.9490909090909092</v>
      </c>
      <c r="L348" s="6">
        <f>IFERROR(VLOOKUP(A348,'[2]Consumo SEMANAL PV '!$B:$DQ,120,0),0)</f>
        <v>7236.8421052631584</v>
      </c>
    </row>
    <row r="349" spans="1:12" x14ac:dyDescent="0.3">
      <c r="A349" s="2">
        <v>404748</v>
      </c>
      <c r="B349" s="2" t="s">
        <v>107</v>
      </c>
      <c r="C349" s="2" t="s">
        <v>250</v>
      </c>
      <c r="D349" s="2" t="s">
        <v>251</v>
      </c>
      <c r="E349" s="5">
        <v>21000</v>
      </c>
      <c r="F349" s="17">
        <v>13.64</v>
      </c>
      <c r="G349" s="17">
        <v>286440</v>
      </c>
      <c r="H349" s="1">
        <f t="shared" ca="1" si="11"/>
        <v>46207</v>
      </c>
      <c r="I349" s="5">
        <f>IFERROR(VLOOKUP(A349,'[2]Consumo SEMANAL PV '!$B:$DJ,113,0),0)</f>
        <v>4521.739130434783</v>
      </c>
      <c r="J349" s="2" t="str">
        <f>IFERROR(VLOOKUP(A349,Hoja4!A:C,3,0),"")</f>
        <v>Etiquetas</v>
      </c>
      <c r="K349" s="9">
        <f t="shared" si="12"/>
        <v>4.6442307692307692</v>
      </c>
      <c r="L349" s="6">
        <f>IFERROR(VLOOKUP(A349,'[2]Consumo SEMANAL PV '!$B:$DQ,120,0),0)</f>
        <v>4521.739130434783</v>
      </c>
    </row>
    <row r="350" spans="1:12" x14ac:dyDescent="0.3">
      <c r="A350" s="2">
        <v>405461</v>
      </c>
      <c r="B350" s="2" t="s">
        <v>108</v>
      </c>
      <c r="C350" s="2" t="s">
        <v>250</v>
      </c>
      <c r="D350" s="2" t="s">
        <v>251</v>
      </c>
      <c r="E350" s="5">
        <v>20000</v>
      </c>
      <c r="F350" s="17">
        <v>5</v>
      </c>
      <c r="G350" s="17">
        <v>100000</v>
      </c>
      <c r="H350" s="1">
        <f t="shared" ca="1" si="11"/>
        <v>46207</v>
      </c>
      <c r="I350" s="5">
        <f>IFERROR(VLOOKUP(A350,'[2]Consumo SEMANAL PV '!$B:$DJ,113,0),0)</f>
        <v>9571.4285714285706</v>
      </c>
      <c r="J350" s="2" t="str">
        <f>IFERROR(VLOOKUP(A350,Hoja4!A:C,3,0),"")</f>
        <v>Etiquetas</v>
      </c>
      <c r="K350" s="9">
        <f t="shared" si="12"/>
        <v>2.0895522388059704</v>
      </c>
      <c r="L350" s="6">
        <f>IFERROR(VLOOKUP(A350,'[2]Consumo SEMANAL PV '!$B:$DQ,120,0),0)</f>
        <v>9571.4285714285706</v>
      </c>
    </row>
    <row r="351" spans="1:12" x14ac:dyDescent="0.3">
      <c r="A351" s="2">
        <v>404733</v>
      </c>
      <c r="B351" s="2" t="s">
        <v>573</v>
      </c>
      <c r="C351" s="2" t="s">
        <v>250</v>
      </c>
      <c r="D351" s="2" t="s">
        <v>251</v>
      </c>
      <c r="E351" s="5">
        <v>2000</v>
      </c>
      <c r="F351" s="17">
        <v>17.170000000000002</v>
      </c>
      <c r="G351" s="17">
        <v>34340</v>
      </c>
      <c r="H351" s="1">
        <f t="shared" ca="1" si="11"/>
        <v>46207</v>
      </c>
      <c r="I351" s="5">
        <f>IFERROR(VLOOKUP(A351,'[2]Consumo SEMANAL PV '!$B:$DJ,113,0),0)</f>
        <v>2894.7368421052633</v>
      </c>
      <c r="J351" s="2" t="str">
        <f>IFERROR(VLOOKUP(A351,Hoja4!A:C,3,0),"")</f>
        <v>Etiquetas</v>
      </c>
      <c r="K351" s="9">
        <f t="shared" si="12"/>
        <v>0.69090909090909092</v>
      </c>
      <c r="L351" s="6">
        <f>IFERROR(VLOOKUP(A351,'[2]Consumo SEMANAL PV '!$B:$DQ,120,0),0)</f>
        <v>2894.7368421052633</v>
      </c>
    </row>
    <row r="352" spans="1:12" x14ac:dyDescent="0.3">
      <c r="A352" s="2">
        <v>404735</v>
      </c>
      <c r="B352" s="2" t="s">
        <v>110</v>
      </c>
      <c r="C352" s="2" t="s">
        <v>250</v>
      </c>
      <c r="D352" s="2" t="s">
        <v>251</v>
      </c>
      <c r="E352" s="5">
        <v>10000</v>
      </c>
      <c r="F352" s="17">
        <v>17.170000000000002</v>
      </c>
      <c r="G352" s="17">
        <v>171700</v>
      </c>
      <c r="H352" s="1">
        <f t="shared" ca="1" si="11"/>
        <v>46207</v>
      </c>
      <c r="I352" s="5">
        <f>IFERROR(VLOOKUP(A352,'[2]Consumo SEMANAL PV '!$B:$DJ,113,0),0)</f>
        <v>1615.3846153846155</v>
      </c>
      <c r="J352" s="2" t="str">
        <f>IFERROR(VLOOKUP(A352,Hoja4!A:C,3,0),"")</f>
        <v>Etiquetas</v>
      </c>
      <c r="K352" s="9">
        <f t="shared" si="12"/>
        <v>6.1904761904761898</v>
      </c>
      <c r="L352" s="6">
        <f>IFERROR(VLOOKUP(A352,'[2]Consumo SEMANAL PV '!$B:$DQ,120,0),0)</f>
        <v>1615.3846153846152</v>
      </c>
    </row>
    <row r="353" spans="1:12" x14ac:dyDescent="0.3">
      <c r="A353" s="2">
        <v>405721</v>
      </c>
      <c r="B353" s="2" t="s">
        <v>306</v>
      </c>
      <c r="C353" s="2" t="s">
        <v>250</v>
      </c>
      <c r="D353" s="2" t="s">
        <v>251</v>
      </c>
      <c r="E353" s="5">
        <v>144000</v>
      </c>
      <c r="F353" s="17">
        <v>20.7</v>
      </c>
      <c r="G353" s="17">
        <v>2980800</v>
      </c>
      <c r="H353" s="1">
        <f t="shared" ca="1" si="11"/>
        <v>46207</v>
      </c>
      <c r="I353" s="5">
        <f>IFERROR(VLOOKUP(A353,'[2]Consumo SEMANAL PV '!$B:$DJ,113,0),0)</f>
        <v>49692.307692307695</v>
      </c>
      <c r="J353" s="2" t="str">
        <f>IFERROR(VLOOKUP(A353,Hoja4!A:C,3,0),"")</f>
        <v>Etiquetas</v>
      </c>
      <c r="K353" s="9">
        <f t="shared" si="12"/>
        <v>2.897832817337461</v>
      </c>
      <c r="L353" s="6">
        <f>IFERROR(VLOOKUP(A353,'[2]Consumo SEMANAL PV '!$B:$DQ,120,0),0)</f>
        <v>49692.307692307702</v>
      </c>
    </row>
    <row r="354" spans="1:12" x14ac:dyDescent="0.3">
      <c r="A354" s="2">
        <v>405722</v>
      </c>
      <c r="B354" s="2" t="s">
        <v>307</v>
      </c>
      <c r="C354" s="2" t="s">
        <v>250</v>
      </c>
      <c r="D354" s="2" t="s">
        <v>251</v>
      </c>
      <c r="E354" s="5">
        <v>120000</v>
      </c>
      <c r="F354" s="17">
        <v>14.2</v>
      </c>
      <c r="G354" s="17">
        <v>1704000</v>
      </c>
      <c r="H354" s="1">
        <f t="shared" ca="1" si="11"/>
        <v>46207</v>
      </c>
      <c r="I354" s="5">
        <f>IFERROR(VLOOKUP(A354,'[2]Consumo SEMANAL PV '!$B:$DJ,113,0),0)</f>
        <v>23153.846153846152</v>
      </c>
      <c r="J354" s="2" t="str">
        <f>IFERROR(VLOOKUP(A354,Hoja4!A:C,3,0),"")</f>
        <v>Etiquetas</v>
      </c>
      <c r="K354" s="9">
        <f t="shared" si="12"/>
        <v>5.1827242524916945</v>
      </c>
      <c r="L354" s="6">
        <f>IFERROR(VLOOKUP(A354,'[2]Consumo SEMANAL PV '!$B:$DQ,120,0),0)</f>
        <v>23153.846153846152</v>
      </c>
    </row>
    <row r="355" spans="1:12" x14ac:dyDescent="0.3">
      <c r="A355" s="2">
        <v>405199</v>
      </c>
      <c r="B355" s="2" t="s">
        <v>308</v>
      </c>
      <c r="C355" s="2" t="s">
        <v>250</v>
      </c>
      <c r="D355" s="2" t="s">
        <v>251</v>
      </c>
      <c r="E355" s="5">
        <v>28000</v>
      </c>
      <c r="F355" s="17">
        <v>9.8699999999999992</v>
      </c>
      <c r="G355" s="17">
        <v>276360</v>
      </c>
      <c r="H355" s="1">
        <f t="shared" ca="1" si="11"/>
        <v>46207</v>
      </c>
      <c r="I355" s="5">
        <f>IFERROR(VLOOKUP(A355,'[2]Consumo SEMANAL PV '!$B:$DJ,113,0),0)</f>
        <v>14181.818181818182</v>
      </c>
      <c r="J355" s="2" t="str">
        <f>IFERROR(VLOOKUP(A355,Hoja4!A:C,3,0),"")</f>
        <v>Etiquetas</v>
      </c>
      <c r="K355" s="9">
        <f t="shared" si="12"/>
        <v>1.9743589743589742</v>
      </c>
      <c r="L355" s="6">
        <f>IFERROR(VLOOKUP(A355,'[2]Consumo SEMANAL PV '!$B:$DQ,120,0),0)</f>
        <v>14181.81818181818</v>
      </c>
    </row>
    <row r="356" spans="1:12" x14ac:dyDescent="0.3">
      <c r="A356" s="2">
        <v>405738</v>
      </c>
      <c r="B356" s="2" t="s">
        <v>309</v>
      </c>
      <c r="C356" s="2" t="s">
        <v>250</v>
      </c>
      <c r="D356" s="2" t="s">
        <v>251</v>
      </c>
      <c r="E356" s="5">
        <v>130000</v>
      </c>
      <c r="F356" s="17">
        <v>14.2</v>
      </c>
      <c r="G356" s="17">
        <v>1846000</v>
      </c>
      <c r="H356" s="1">
        <f t="shared" ca="1" si="11"/>
        <v>46207</v>
      </c>
      <c r="I356" s="5">
        <f>IFERROR(VLOOKUP(A356,'[2]Consumo SEMANAL PV '!$B:$DJ,113,0),0)</f>
        <v>21166.666666666668</v>
      </c>
      <c r="J356" s="2" t="str">
        <f>IFERROR(VLOOKUP(A356,Hoja4!A:C,3,0),"")</f>
        <v>Etiquetas</v>
      </c>
      <c r="K356" s="9">
        <f t="shared" si="12"/>
        <v>6.1417322834645667</v>
      </c>
      <c r="L356" s="6">
        <f>IFERROR(VLOOKUP(A356,'[2]Consumo SEMANAL PV '!$B:$DQ,120,0),0)</f>
        <v>21166.666666666668</v>
      </c>
    </row>
    <row r="357" spans="1:12" x14ac:dyDescent="0.3">
      <c r="A357" s="2">
        <v>405493</v>
      </c>
      <c r="B357" s="2" t="s">
        <v>310</v>
      </c>
      <c r="C357" s="2" t="s">
        <v>250</v>
      </c>
      <c r="D357" s="2" t="s">
        <v>251</v>
      </c>
      <c r="E357" s="5">
        <v>7500</v>
      </c>
      <c r="F357" s="17">
        <v>7.74</v>
      </c>
      <c r="G357" s="17">
        <v>58050</v>
      </c>
      <c r="H357" s="1">
        <f t="shared" ca="1" si="11"/>
        <v>46207</v>
      </c>
      <c r="I357" s="5">
        <f>IFERROR(VLOOKUP(A357,'[2]Consumo SEMANAL PV '!$B:$DJ,113,0),0)</f>
        <v>0</v>
      </c>
      <c r="J357" s="2" t="str">
        <f>IFERROR(VLOOKUP(A357,Hoja4!A:C,3,0),"")</f>
        <v>Etiquetas</v>
      </c>
      <c r="K357" s="9">
        <f t="shared" si="12"/>
        <v>0</v>
      </c>
      <c r="L357" s="6">
        <f>IFERROR(VLOOKUP(A357,'[2]Consumo SEMANAL PV '!$B:$DQ,120,0),0)</f>
        <v>0</v>
      </c>
    </row>
    <row r="358" spans="1:12" x14ac:dyDescent="0.3">
      <c r="A358" s="2">
        <v>405494</v>
      </c>
      <c r="B358" s="2" t="s">
        <v>311</v>
      </c>
      <c r="C358" s="2" t="s">
        <v>250</v>
      </c>
      <c r="D358" s="2" t="s">
        <v>251</v>
      </c>
      <c r="E358" s="5">
        <v>17500</v>
      </c>
      <c r="F358" s="17">
        <v>7.74</v>
      </c>
      <c r="G358" s="17">
        <v>135450</v>
      </c>
      <c r="H358" s="1">
        <f t="shared" ca="1" si="11"/>
        <v>46207</v>
      </c>
      <c r="I358" s="5">
        <f>IFERROR(VLOOKUP(A358,'[2]Consumo SEMANAL PV '!$B:$DJ,113,0),0)</f>
        <v>0</v>
      </c>
      <c r="J358" s="2" t="str">
        <f>IFERROR(VLOOKUP(A358,Hoja4!A:C,3,0),"")</f>
        <v>Etiquetas</v>
      </c>
      <c r="K358" s="9">
        <f t="shared" si="12"/>
        <v>0</v>
      </c>
      <c r="L358" s="6">
        <f>IFERROR(VLOOKUP(A358,'[2]Consumo SEMANAL PV '!$B:$DQ,120,0),0)</f>
        <v>0</v>
      </c>
    </row>
    <row r="359" spans="1:12" x14ac:dyDescent="0.3">
      <c r="A359" s="2">
        <v>405497</v>
      </c>
      <c r="B359" s="2" t="s">
        <v>312</v>
      </c>
      <c r="C359" s="2" t="s">
        <v>250</v>
      </c>
      <c r="D359" s="2" t="s">
        <v>251</v>
      </c>
      <c r="E359" s="5">
        <v>20000</v>
      </c>
      <c r="F359" s="17">
        <v>7.74</v>
      </c>
      <c r="G359" s="17">
        <v>154800</v>
      </c>
      <c r="H359" s="1">
        <f t="shared" ca="1" si="11"/>
        <v>46207</v>
      </c>
      <c r="I359" s="5">
        <f>IFERROR(VLOOKUP(A359,'[2]Consumo SEMANAL PV '!$B:$DJ,113,0),0)</f>
        <v>0</v>
      </c>
      <c r="J359" s="2" t="str">
        <f>IFERROR(VLOOKUP(A359,Hoja4!A:C,3,0),"")</f>
        <v>Etiquetas</v>
      </c>
      <c r="K359" s="9">
        <f t="shared" si="12"/>
        <v>0</v>
      </c>
      <c r="L359" s="6">
        <f>IFERROR(VLOOKUP(A359,'[2]Consumo SEMANAL PV '!$B:$DQ,120,0),0)</f>
        <v>0</v>
      </c>
    </row>
    <row r="360" spans="1:12" x14ac:dyDescent="0.3">
      <c r="A360" s="2">
        <v>405495</v>
      </c>
      <c r="B360" s="2" t="s">
        <v>313</v>
      </c>
      <c r="C360" s="2" t="s">
        <v>250</v>
      </c>
      <c r="D360" s="2" t="s">
        <v>251</v>
      </c>
      <c r="E360" s="2">
        <v>17500</v>
      </c>
      <c r="F360" s="17">
        <v>7.74</v>
      </c>
      <c r="G360" s="17">
        <v>135450</v>
      </c>
      <c r="H360" s="1">
        <f t="shared" ca="1" si="11"/>
        <v>46207</v>
      </c>
      <c r="I360" s="5">
        <f>IFERROR(VLOOKUP(A360,'[2]Consumo SEMANAL PV '!$B:$DJ,113,0),0)</f>
        <v>0</v>
      </c>
      <c r="J360" s="2" t="str">
        <f>IFERROR(VLOOKUP(A360,Hoja4!A:C,3,0),"")</f>
        <v>Etiquetas</v>
      </c>
      <c r="K360" s="9">
        <f t="shared" si="12"/>
        <v>0</v>
      </c>
      <c r="L360" s="6">
        <f>IFERROR(VLOOKUP(A360,'[2]Consumo SEMANAL PV '!$B:$DQ,120,0),0)</f>
        <v>0</v>
      </c>
    </row>
    <row r="361" spans="1:12" x14ac:dyDescent="0.3">
      <c r="A361" s="2">
        <v>405498</v>
      </c>
      <c r="B361" s="2" t="s">
        <v>314</v>
      </c>
      <c r="C361" s="2" t="s">
        <v>250</v>
      </c>
      <c r="D361" s="2" t="s">
        <v>251</v>
      </c>
      <c r="E361" s="2">
        <v>17500</v>
      </c>
      <c r="F361" s="17">
        <v>7.74</v>
      </c>
      <c r="G361" s="17">
        <v>135450</v>
      </c>
      <c r="H361" s="1">
        <f t="shared" ca="1" si="11"/>
        <v>46207</v>
      </c>
      <c r="I361" s="5">
        <f>IFERROR(VLOOKUP(A361,'[2]Consumo SEMANAL PV '!$B:$DJ,113,0),0)</f>
        <v>0</v>
      </c>
      <c r="J361" s="2" t="str">
        <f>IFERROR(VLOOKUP(A361,Hoja4!A:C,3,0),"")</f>
        <v>Etiquetas</v>
      </c>
      <c r="K361" s="9">
        <f t="shared" si="12"/>
        <v>0</v>
      </c>
      <c r="L361" s="6">
        <f>IFERROR(VLOOKUP(A361,'[2]Consumo SEMANAL PV '!$B:$DQ,120,0),0)</f>
        <v>0</v>
      </c>
    </row>
    <row r="362" spans="1:12" x14ac:dyDescent="0.3">
      <c r="A362" s="2">
        <v>405310</v>
      </c>
      <c r="B362" s="2" t="s">
        <v>132</v>
      </c>
      <c r="C362" s="2" t="s">
        <v>250</v>
      </c>
      <c r="D362" s="2" t="s">
        <v>251</v>
      </c>
      <c r="E362" s="2">
        <v>130000</v>
      </c>
      <c r="F362" s="17">
        <v>7.3</v>
      </c>
      <c r="G362" s="17">
        <v>949000</v>
      </c>
      <c r="H362" s="1">
        <f t="shared" ca="1" si="11"/>
        <v>46207</v>
      </c>
      <c r="I362" s="5">
        <f>IFERROR(VLOOKUP(A362,'[2]Consumo SEMANAL PV '!$B:$DJ,113,0),0)</f>
        <v>16666.666666666668</v>
      </c>
      <c r="J362" s="2" t="str">
        <f>IFERROR(VLOOKUP(A362,Hoja4!A:C,3,0),"")</f>
        <v>Etiquetas</v>
      </c>
      <c r="K362" s="9">
        <f t="shared" si="12"/>
        <v>7.8</v>
      </c>
      <c r="L362" s="6">
        <f>IFERROR(VLOOKUP(A362,'[2]Consumo SEMANAL PV '!$B:$DQ,120,0),0)</f>
        <v>16666.666666666668</v>
      </c>
    </row>
    <row r="363" spans="1:12" x14ac:dyDescent="0.3">
      <c r="A363" s="2">
        <v>405491</v>
      </c>
      <c r="B363" s="2" t="s">
        <v>316</v>
      </c>
      <c r="C363" s="2" t="s">
        <v>250</v>
      </c>
      <c r="D363" s="2" t="s">
        <v>251</v>
      </c>
      <c r="E363" s="2">
        <v>368</v>
      </c>
      <c r="F363" s="17">
        <v>2767.73</v>
      </c>
      <c r="G363" s="17">
        <v>1018524.64</v>
      </c>
      <c r="H363" s="1">
        <f t="shared" ca="1" si="11"/>
        <v>46207</v>
      </c>
      <c r="I363" s="5">
        <f>IFERROR(VLOOKUP(A363,'[2]Consumo SEMANAL PV '!$B:$DJ,113,0),0)</f>
        <v>281.66800000000001</v>
      </c>
      <c r="J363" s="2" t="str">
        <f>IFERROR(VLOOKUP(A363,Hoja4!A:C,3,0),"")</f>
        <v>Mermelada</v>
      </c>
      <c r="K363" s="9">
        <f t="shared" si="12"/>
        <v>1.3065026911115214</v>
      </c>
      <c r="L363" s="6">
        <f>IFERROR(VLOOKUP(A363,'[2]Consumo SEMANAL PV '!$B:$DQ,120,0),0)</f>
        <v>93.88933333333334</v>
      </c>
    </row>
    <row r="364" spans="1:12" x14ac:dyDescent="0.3">
      <c r="A364" s="2">
        <v>402132</v>
      </c>
      <c r="B364" s="2" t="s">
        <v>156</v>
      </c>
      <c r="C364" s="2" t="s">
        <v>250</v>
      </c>
      <c r="D364" s="2" t="s">
        <v>251</v>
      </c>
      <c r="E364" s="2">
        <v>92</v>
      </c>
      <c r="F364" s="17">
        <v>5870</v>
      </c>
      <c r="G364" s="17">
        <v>540040</v>
      </c>
      <c r="H364" s="1">
        <f t="shared" ca="1" si="11"/>
        <v>46207</v>
      </c>
      <c r="I364" s="5">
        <f>IFERROR(VLOOKUP(A364,'[2]Consumo SEMANAL PV '!$B:$DJ,113,0),0)</f>
        <v>160.79523809523809</v>
      </c>
      <c r="J364" s="2" t="str">
        <f>IFERROR(VLOOKUP(A364,Hoja4!A:C,3,0),"")</f>
        <v>Fruta Congelada</v>
      </c>
      <c r="K364" s="9">
        <f t="shared" si="12"/>
        <v>0.57215624722362068</v>
      </c>
      <c r="L364" s="6">
        <f>IFERROR(VLOOKUP(A364,'[2]Consumo SEMANAL PV '!$B:$DQ,120,0),0)</f>
        <v>80.397619047619045</v>
      </c>
    </row>
    <row r="365" spans="1:12" x14ac:dyDescent="0.3">
      <c r="A365" s="2">
        <v>107183</v>
      </c>
      <c r="B365" s="2" t="s">
        <v>317</v>
      </c>
      <c r="C365" s="2" t="s">
        <v>250</v>
      </c>
      <c r="D365" s="2" t="s">
        <v>251</v>
      </c>
      <c r="E365" s="2">
        <v>416.05</v>
      </c>
      <c r="F365" s="17">
        <v>2300</v>
      </c>
      <c r="G365" s="17">
        <v>956915</v>
      </c>
      <c r="H365" s="1">
        <f t="shared" ca="1" si="11"/>
        <v>46207</v>
      </c>
      <c r="I365" s="5">
        <f>IFERROR(VLOOKUP(A365,'[2]Consumo SEMANAL PV '!$B:$DJ,113,0),0)</f>
        <v>352.33333333333337</v>
      </c>
      <c r="J365" s="2" t="str">
        <f>IFERROR(VLOOKUP(A365,Hoja4!A:C,3,0),"")</f>
        <v>fruta Conserva</v>
      </c>
      <c r="K365" s="9">
        <f t="shared" si="12"/>
        <v>1.1808420056764426</v>
      </c>
      <c r="L365" s="6">
        <f>IFERROR(VLOOKUP(A365,'[2]Consumo SEMANAL PV '!$B:$DQ,120,0),0)</f>
        <v>293.61111111111114</v>
      </c>
    </row>
    <row r="366" spans="1:12" x14ac:dyDescent="0.3">
      <c r="A366" s="2">
        <v>107335</v>
      </c>
      <c r="B366" s="2" t="s">
        <v>318</v>
      </c>
      <c r="C366" s="2" t="s">
        <v>250</v>
      </c>
      <c r="D366" s="2" t="s">
        <v>251</v>
      </c>
      <c r="E366" s="5">
        <v>277.83999999999997</v>
      </c>
      <c r="F366" s="17">
        <v>4290.32</v>
      </c>
      <c r="G366" s="17">
        <v>1192022.5088</v>
      </c>
      <c r="H366" s="1">
        <f t="shared" ca="1" si="11"/>
        <v>46207</v>
      </c>
      <c r="I366" s="5">
        <f>IFERROR(VLOOKUP(A366,'[2]Consumo SEMANAL PV '!$B:$DJ,113,0),0)</f>
        <v>67.14</v>
      </c>
      <c r="J366" s="2" t="str">
        <f>IFERROR(VLOOKUP(A366,Hoja4!A:C,3,0),"")</f>
        <v>Galleta</v>
      </c>
      <c r="K366" s="9">
        <f t="shared" si="12"/>
        <v>4.1382186476020255</v>
      </c>
      <c r="L366" s="6">
        <f>IFERROR(VLOOKUP(A366,'[2]Consumo SEMANAL PV '!$B:$DQ,120,0),0)</f>
        <v>22.38</v>
      </c>
    </row>
    <row r="367" spans="1:12" x14ac:dyDescent="0.3">
      <c r="A367" s="2">
        <v>107160</v>
      </c>
      <c r="B367" s="2" t="s">
        <v>159</v>
      </c>
      <c r="C367" s="2" t="s">
        <v>250</v>
      </c>
      <c r="D367" s="2" t="s">
        <v>251</v>
      </c>
      <c r="E367" s="5">
        <v>74</v>
      </c>
      <c r="F367" s="17">
        <v>5349.93</v>
      </c>
      <c r="G367" s="17">
        <v>395894.82</v>
      </c>
      <c r="H367" s="1">
        <f t="shared" ca="1" si="11"/>
        <v>46207</v>
      </c>
      <c r="I367" s="5">
        <f>IFERROR(VLOOKUP(A367,'[2]Consumo SEMANAL PV '!$B:$DJ,113,0),0)</f>
        <v>21.333333333333332</v>
      </c>
      <c r="J367" s="2" t="str">
        <f>IFERROR(VLOOKUP(A367,Hoja4!A:C,3,0),"")</f>
        <v>Gelatina</v>
      </c>
      <c r="K367" s="9">
        <f t="shared" si="12"/>
        <v>3.46875</v>
      </c>
      <c r="L367" s="6">
        <f>IFERROR(VLOOKUP(A367,'[2]Consumo SEMANAL PV '!$B:$DQ,120,0),0)</f>
        <v>10.666666666666666</v>
      </c>
    </row>
    <row r="368" spans="1:12" x14ac:dyDescent="0.3">
      <c r="A368" s="2">
        <v>107159</v>
      </c>
      <c r="B368" s="2" t="s">
        <v>161</v>
      </c>
      <c r="C368" s="2" t="s">
        <v>250</v>
      </c>
      <c r="D368" s="2" t="s">
        <v>251</v>
      </c>
      <c r="E368" s="5">
        <v>61</v>
      </c>
      <c r="F368" s="17">
        <v>9800</v>
      </c>
      <c r="G368" s="17">
        <v>597800</v>
      </c>
      <c r="H368" s="1">
        <f t="shared" ca="1" si="11"/>
        <v>46207</v>
      </c>
      <c r="I368" s="5">
        <f>IFERROR(VLOOKUP(A368,'[2]Consumo SEMANAL PV '!$B:$DJ,113,0),0)</f>
        <v>15.625</v>
      </c>
      <c r="J368" s="2" t="str">
        <f>IFERROR(VLOOKUP(A368,Hoja4!A:C,3,0),"")</f>
        <v>Gelatina</v>
      </c>
      <c r="K368" s="9">
        <f t="shared" si="12"/>
        <v>3.9039999999999999</v>
      </c>
      <c r="L368" s="6">
        <f>IFERROR(VLOOKUP(A368,'[2]Consumo SEMANAL PV '!$B:$DQ,120,0),0)</f>
        <v>7.8125</v>
      </c>
    </row>
    <row r="369" spans="1:12" x14ac:dyDescent="0.3">
      <c r="A369" s="2">
        <v>107311</v>
      </c>
      <c r="B369" s="2" t="s">
        <v>319</v>
      </c>
      <c r="C369" s="2" t="s">
        <v>250</v>
      </c>
      <c r="D369" s="2" t="s">
        <v>251</v>
      </c>
      <c r="E369" s="5">
        <v>1575</v>
      </c>
      <c r="F369" s="17">
        <v>540</v>
      </c>
      <c r="G369" s="17">
        <v>850500</v>
      </c>
      <c r="H369" s="1">
        <f t="shared" ca="1" si="11"/>
        <v>46207</v>
      </c>
      <c r="I369" s="5">
        <f>IFERROR(VLOOKUP(A369,'[2]Consumo SEMANAL PV '!$B:$DJ,113,0),0)</f>
        <v>1608.8</v>
      </c>
      <c r="J369" s="2" t="str">
        <f>IFERROR(VLOOKUP(A369,Hoja4!A:C,3,0),"")</f>
        <v>Mix</v>
      </c>
      <c r="K369" s="9">
        <f t="shared" si="12"/>
        <v>0.97899055196419693</v>
      </c>
      <c r="L369" s="6">
        <f>IFERROR(VLOOKUP(A369,'[2]Consumo SEMANAL PV '!$B:$DQ,120,0),0)</f>
        <v>804.4</v>
      </c>
    </row>
    <row r="370" spans="1:12" x14ac:dyDescent="0.3">
      <c r="A370" s="2">
        <v>393322</v>
      </c>
      <c r="B370" s="2" t="s">
        <v>168</v>
      </c>
      <c r="C370" s="2" t="s">
        <v>250</v>
      </c>
      <c r="D370" s="2" t="s">
        <v>251</v>
      </c>
      <c r="E370" s="5">
        <v>6000</v>
      </c>
      <c r="F370" s="17">
        <v>150.65</v>
      </c>
      <c r="G370" s="17">
        <v>903900</v>
      </c>
      <c r="H370" s="1">
        <f t="shared" ca="1" si="11"/>
        <v>46207</v>
      </c>
      <c r="I370" s="5">
        <f>IFERROR(VLOOKUP(A370,'[2]Consumo SEMANAL PV '!$B:$DJ,113,0),0)</f>
        <v>2208.3333333333335</v>
      </c>
      <c r="J370" s="2" t="str">
        <f>IFERROR(VLOOKUP(A370,Hoja4!A:C,3,0),"")</f>
        <v>Carton</v>
      </c>
      <c r="K370" s="9">
        <f t="shared" si="12"/>
        <v>2.7169811320754715</v>
      </c>
      <c r="L370" s="6">
        <f>IFERROR(VLOOKUP(A370,'[2]Consumo SEMANAL PV '!$B:$DQ,120,0),0)</f>
        <v>5520.8333333333339</v>
      </c>
    </row>
    <row r="371" spans="1:12" x14ac:dyDescent="0.3">
      <c r="A371" s="2">
        <v>402257</v>
      </c>
      <c r="B371" s="2" t="s">
        <v>321</v>
      </c>
      <c r="C371" s="2" t="s">
        <v>250</v>
      </c>
      <c r="D371" s="2" t="s">
        <v>251</v>
      </c>
      <c r="E371" s="5">
        <v>2400</v>
      </c>
      <c r="F371" s="17">
        <v>145</v>
      </c>
      <c r="G371" s="17">
        <v>348000</v>
      </c>
      <c r="H371" s="1">
        <f t="shared" ca="1" si="11"/>
        <v>46207</v>
      </c>
      <c r="I371" s="5">
        <f>IFERROR(VLOOKUP(A371,'[2]Consumo SEMANAL PV '!$B:$DJ,113,0),0)</f>
        <v>5546.666666666667</v>
      </c>
      <c r="J371" s="2" t="str">
        <f>IFERROR(VLOOKUP(A371,Hoja4!A:C,3,0),"")</f>
        <v>Carton</v>
      </c>
      <c r="K371" s="9">
        <f t="shared" si="12"/>
        <v>0.43269230769230765</v>
      </c>
      <c r="L371" s="6">
        <f>IFERROR(VLOOKUP(A371,'[2]Consumo SEMANAL PV '!$B:$DQ,120,0),0)</f>
        <v>13866.666666666666</v>
      </c>
    </row>
    <row r="372" spans="1:12" x14ac:dyDescent="0.3">
      <c r="A372" s="2">
        <v>405789</v>
      </c>
      <c r="B372" s="2" t="s">
        <v>814</v>
      </c>
      <c r="C372" s="2" t="s">
        <v>250</v>
      </c>
      <c r="D372" s="2" t="s">
        <v>251</v>
      </c>
      <c r="E372" s="2">
        <v>11400</v>
      </c>
      <c r="F372" s="17">
        <v>145</v>
      </c>
      <c r="G372" s="17">
        <v>1653000</v>
      </c>
      <c r="H372" s="1">
        <f t="shared" ca="1" si="11"/>
        <v>46207</v>
      </c>
      <c r="I372" s="5">
        <f>IFERROR(VLOOKUP(A372,'[2]Consumo SEMANAL PV '!$B:$DJ,113,0),0)</f>
        <v>2400</v>
      </c>
      <c r="J372" s="2" t="str">
        <f>IFERROR(VLOOKUP(A372,Hoja4!A:C,3,0),"")</f>
        <v>Carton</v>
      </c>
      <c r="K372" s="9">
        <f t="shared" si="12"/>
        <v>4.75</v>
      </c>
      <c r="L372" s="6">
        <f>IFERROR(VLOOKUP(A372,'[2]Consumo SEMANAL PV '!$B:$DQ,120,0),0)</f>
        <v>6000</v>
      </c>
    </row>
    <row r="373" spans="1:12" x14ac:dyDescent="0.3">
      <c r="A373" s="2">
        <v>362105</v>
      </c>
      <c r="B373" s="2" t="s">
        <v>171</v>
      </c>
      <c r="C373" s="2" t="s">
        <v>250</v>
      </c>
      <c r="D373" s="2" t="s">
        <v>251</v>
      </c>
      <c r="E373" s="5">
        <v>24408</v>
      </c>
      <c r="F373" s="17">
        <v>178.44</v>
      </c>
      <c r="G373" s="17">
        <v>4355363.5199999996</v>
      </c>
      <c r="H373" s="1">
        <f t="shared" ca="1" si="11"/>
        <v>46207</v>
      </c>
      <c r="I373" s="5">
        <f>IFERROR(VLOOKUP(A373,'[2]Consumo SEMANAL PV '!$B:$DJ,113,0),0)</f>
        <v>53908.681818181816</v>
      </c>
      <c r="J373" s="2" t="str">
        <f>IFERROR(VLOOKUP(A373,Hoja4!A:C,3,0),"")</f>
        <v>Insumo</v>
      </c>
      <c r="K373" s="9">
        <f t="shared" si="12"/>
        <v>0.45276566179675903</v>
      </c>
      <c r="L373" s="6">
        <f>IFERROR(VLOOKUP(A373,'[2]Consumo SEMANAL PV '!$B:$DQ,120,0),0)</f>
        <v>26954.340909090904</v>
      </c>
    </row>
    <row r="374" spans="1:12" x14ac:dyDescent="0.3">
      <c r="A374" s="2">
        <v>107226</v>
      </c>
      <c r="B374" s="2" t="s">
        <v>812</v>
      </c>
      <c r="C374" s="2" t="s">
        <v>250</v>
      </c>
      <c r="D374" s="2" t="s">
        <v>251</v>
      </c>
      <c r="E374" s="5">
        <v>1040</v>
      </c>
      <c r="F374" s="17">
        <v>2300</v>
      </c>
      <c r="G374" s="17">
        <v>2392000</v>
      </c>
      <c r="H374" s="1">
        <f t="shared" ca="1" si="11"/>
        <v>46207</v>
      </c>
      <c r="I374" s="5">
        <f>IFERROR(VLOOKUP(A374,'[2]Consumo SEMANAL PV '!$B:$DJ,113,0),0)</f>
        <v>2055.5555555555557</v>
      </c>
      <c r="J374" s="2" t="str">
        <f>IFERROR(VLOOKUP(A374,Hoja4!A:C,3,0),"")</f>
        <v>Huevo</v>
      </c>
      <c r="K374" s="9">
        <f t="shared" si="12"/>
        <v>0.50594594594594589</v>
      </c>
      <c r="L374" s="6">
        <f>IFERROR(VLOOKUP(A374,'[2]Consumo SEMANAL PV '!$B:$DQ,120,0),0)</f>
        <v>685.18518518518522</v>
      </c>
    </row>
    <row r="375" spans="1:12" x14ac:dyDescent="0.3">
      <c r="A375" s="2">
        <v>107259</v>
      </c>
      <c r="B375" s="2" t="s">
        <v>180</v>
      </c>
      <c r="C375" s="2" t="s">
        <v>250</v>
      </c>
      <c r="D375" s="2" t="s">
        <v>251</v>
      </c>
      <c r="E375" s="2">
        <v>650</v>
      </c>
      <c r="F375" s="17">
        <v>2190</v>
      </c>
      <c r="G375" s="17">
        <v>1423500</v>
      </c>
      <c r="H375" s="1">
        <f t="shared" ca="1" si="11"/>
        <v>46207</v>
      </c>
      <c r="I375" s="5">
        <f>IFERROR(VLOOKUP(A375,'[2]Consumo SEMANAL PV '!$B:$DJ,113,0),0)</f>
        <v>176</v>
      </c>
      <c r="J375" s="2" t="str">
        <f>IFERROR(VLOOKUP(A375,Hoja4!A:C,3,0),"")</f>
        <v>Remojo</v>
      </c>
      <c r="K375" s="9">
        <f t="shared" si="12"/>
        <v>3.6931818181818183</v>
      </c>
      <c r="L375" s="6">
        <f>IFERROR(VLOOKUP(A375,'[2]Consumo SEMANAL PV '!$B:$DQ,120,0),0)</f>
        <v>58.666666666666664</v>
      </c>
    </row>
    <row r="376" spans="1:12" x14ac:dyDescent="0.3">
      <c r="A376" s="2">
        <v>501147</v>
      </c>
      <c r="B376" s="2" t="s">
        <v>322</v>
      </c>
      <c r="C376" s="2" t="s">
        <v>250</v>
      </c>
      <c r="D376" s="2" t="s">
        <v>251</v>
      </c>
      <c r="E376" s="2">
        <v>5425</v>
      </c>
      <c r="F376" s="17">
        <v>689</v>
      </c>
      <c r="G376" s="17">
        <v>3737825</v>
      </c>
      <c r="H376" s="1">
        <f t="shared" ca="1" si="11"/>
        <v>46207</v>
      </c>
      <c r="I376" s="5">
        <f>IFERROR(VLOOKUP(A376,'[2]Consumo SEMANAL PV '!$B:$DJ,113,0),0)</f>
        <v>1881.25</v>
      </c>
      <c r="J376" s="2" t="str">
        <f>IFERROR(VLOOKUP(A376,Hoja4!A:C,3,0),"")</f>
        <v>Remojo</v>
      </c>
      <c r="K376" s="9">
        <f t="shared" si="12"/>
        <v>2.8837209302325579</v>
      </c>
      <c r="L376" s="6">
        <f>IFERROR(VLOOKUP(A376,'[2]Consumo SEMANAL PV '!$B:$DQ,120,0),0)</f>
        <v>627.08333333333337</v>
      </c>
    </row>
    <row r="377" spans="1:12" x14ac:dyDescent="0.3">
      <c r="A377" s="2">
        <v>100303</v>
      </c>
      <c r="B377" s="2" t="s">
        <v>323</v>
      </c>
      <c r="C377" s="2" t="s">
        <v>250</v>
      </c>
      <c r="D377" s="2" t="s">
        <v>251</v>
      </c>
      <c r="E377" s="2">
        <v>1000</v>
      </c>
      <c r="F377" s="17">
        <v>689</v>
      </c>
      <c r="G377" s="17">
        <v>689000</v>
      </c>
      <c r="H377" s="1">
        <f t="shared" ca="1" si="11"/>
        <v>46207</v>
      </c>
      <c r="I377" s="5">
        <f>IFERROR(VLOOKUP(A377,'[2]Consumo SEMANAL PV '!$B:$DJ,113,0),0)</f>
        <v>3640.6</v>
      </c>
      <c r="J377" s="2" t="str">
        <f>IFERROR(VLOOKUP(A377,Hoja4!A:C,3,0),"")</f>
        <v>Remojo</v>
      </c>
      <c r="K377" s="9">
        <f t="shared" si="12"/>
        <v>0.27467999780256003</v>
      </c>
      <c r="L377" s="6">
        <f>IFERROR(VLOOKUP(A377,'[2]Consumo SEMANAL PV '!$B:$DQ,120,0),0)</f>
        <v>1213.5333333333333</v>
      </c>
    </row>
    <row r="378" spans="1:12" x14ac:dyDescent="0.3">
      <c r="A378" s="2">
        <v>107278</v>
      </c>
      <c r="B378" s="2" t="s">
        <v>182</v>
      </c>
      <c r="C378" s="2" t="s">
        <v>250</v>
      </c>
      <c r="D378" s="2" t="s">
        <v>251</v>
      </c>
      <c r="E378" s="2">
        <v>480</v>
      </c>
      <c r="F378" s="17">
        <v>720.8</v>
      </c>
      <c r="G378" s="17">
        <v>345984</v>
      </c>
      <c r="H378" s="1">
        <f t="shared" ca="1" si="11"/>
        <v>46207</v>
      </c>
      <c r="I378" s="5">
        <f>IFERROR(VLOOKUP(A378,'[2]Consumo SEMANAL PV '!$B:$DJ,113,0),0)</f>
        <v>1304.8</v>
      </c>
      <c r="J378" s="2" t="str">
        <f>IFERROR(VLOOKUP(A378,Hoja4!A:C,3,0),"")</f>
        <v>Remojo</v>
      </c>
      <c r="K378" s="9">
        <f t="shared" si="12"/>
        <v>0.36787247087676272</v>
      </c>
      <c r="L378" s="6">
        <f>IFERROR(VLOOKUP(A378,'[2]Consumo SEMANAL PV '!$B:$DQ,120,0),0)</f>
        <v>434.93333333333334</v>
      </c>
    </row>
    <row r="379" spans="1:12" x14ac:dyDescent="0.3">
      <c r="A379" s="2">
        <v>405593</v>
      </c>
      <c r="B379" s="2" t="s">
        <v>324</v>
      </c>
      <c r="C379" s="2" t="s">
        <v>250</v>
      </c>
      <c r="D379" s="2" t="s">
        <v>251</v>
      </c>
      <c r="E379" s="2">
        <v>10.67</v>
      </c>
      <c r="F379" s="17">
        <v>7398.78</v>
      </c>
      <c r="G379" s="17">
        <v>78944.982600000003</v>
      </c>
      <c r="H379" s="1">
        <f t="shared" ca="1" si="11"/>
        <v>46207</v>
      </c>
      <c r="I379" s="5">
        <f>IFERROR(VLOOKUP(A379,'[2]Consumo SEMANAL PV '!$B:$DJ,113,0),0)</f>
        <v>2.2421999999999995</v>
      </c>
      <c r="J379" s="2" t="str">
        <f>IFERROR(VLOOKUP(A379,Hoja4!A:C,3,0),"")</f>
        <v>Jugo</v>
      </c>
      <c r="K379" s="9">
        <f t="shared" si="12"/>
        <v>4.7587191151547596</v>
      </c>
      <c r="L379" s="6">
        <f>IFERROR(VLOOKUP(A379,'[2]Consumo SEMANAL PV '!$B:$DQ,120,0),0)</f>
        <v>1.1210999999999998</v>
      </c>
    </row>
    <row r="380" spans="1:12" x14ac:dyDescent="0.3">
      <c r="A380" s="2">
        <v>107109</v>
      </c>
      <c r="B380" s="2" t="s">
        <v>188</v>
      </c>
      <c r="C380" s="2" t="s">
        <v>250</v>
      </c>
      <c r="D380" s="2" t="s">
        <v>251</v>
      </c>
      <c r="E380" s="2">
        <v>175</v>
      </c>
      <c r="F380" s="17">
        <v>2323</v>
      </c>
      <c r="G380" s="17">
        <v>406525</v>
      </c>
      <c r="H380" s="1">
        <f t="shared" ca="1" si="11"/>
        <v>46207</v>
      </c>
      <c r="I380" s="5">
        <f>IFERROR(VLOOKUP(A380,'[2]Consumo SEMANAL PV '!$B:$DJ,113,0),0)</f>
        <v>1475.8</v>
      </c>
      <c r="J380" s="2" t="str">
        <f>IFERROR(VLOOKUP(A380,Hoja4!A:C,3,0),"")</f>
        <v>Manjar</v>
      </c>
      <c r="K380" s="9">
        <f t="shared" si="12"/>
        <v>0.11857975335411303</v>
      </c>
      <c r="L380" s="6">
        <f>IFERROR(VLOOKUP(A380,'[2]Consumo SEMANAL PV '!$B:$DQ,120,0),0)</f>
        <v>491.93333333333334</v>
      </c>
    </row>
    <row r="381" spans="1:12" x14ac:dyDescent="0.3">
      <c r="A381" s="2">
        <v>107147</v>
      </c>
      <c r="B381" s="2" t="s">
        <v>325</v>
      </c>
      <c r="C381" s="2" t="s">
        <v>250</v>
      </c>
      <c r="D381" s="2" t="s">
        <v>251</v>
      </c>
      <c r="E381" s="2">
        <v>648</v>
      </c>
      <c r="F381" s="17">
        <v>1530</v>
      </c>
      <c r="G381" s="17">
        <v>991440</v>
      </c>
      <c r="H381" s="1">
        <f t="shared" ca="1" si="11"/>
        <v>46207</v>
      </c>
      <c r="I381" s="5">
        <f>IFERROR(VLOOKUP(A381,'[2]Consumo SEMANAL PV '!$B:$DJ,113,0),0)</f>
        <v>2612.16</v>
      </c>
      <c r="J381" s="2" t="str">
        <f>IFERROR(VLOOKUP(A381,Hoja4!A:C,3,0),"")</f>
        <v>Manjar</v>
      </c>
      <c r="K381" s="9">
        <f t="shared" si="12"/>
        <v>0.24807056229327454</v>
      </c>
      <c r="L381" s="6">
        <f>IFERROR(VLOOKUP(A381,'[2]Consumo SEMANAL PV '!$B:$DQ,120,0),0)</f>
        <v>1306.08</v>
      </c>
    </row>
    <row r="382" spans="1:12" x14ac:dyDescent="0.3">
      <c r="A382" s="2">
        <v>405745</v>
      </c>
      <c r="B382" s="2" t="s">
        <v>326</v>
      </c>
      <c r="C382" s="2" t="s">
        <v>250</v>
      </c>
      <c r="D382" s="2" t="s">
        <v>251</v>
      </c>
      <c r="E382" s="5">
        <v>250</v>
      </c>
      <c r="F382" s="17">
        <v>6200</v>
      </c>
      <c r="G382" s="17">
        <v>1550000</v>
      </c>
      <c r="H382" s="1">
        <f t="shared" ca="1" si="11"/>
        <v>46207</v>
      </c>
      <c r="I382" s="5">
        <f>IFERROR(VLOOKUP(A382,'[2]Consumo SEMANAL PV '!$B:$DJ,113,0),0)</f>
        <v>133.125</v>
      </c>
      <c r="J382" s="2" t="str">
        <f>IFERROR(VLOOKUP(A382,Hoja4!A:C,3,0),"")</f>
        <v>Margarina</v>
      </c>
      <c r="K382" s="9">
        <f t="shared" si="12"/>
        <v>1.8779342723004695</v>
      </c>
      <c r="L382" s="6">
        <f>IFERROR(VLOOKUP(A382,'[2]Consumo SEMANAL PV '!$B:$DQ,120,0),0)</f>
        <v>66.5625</v>
      </c>
    </row>
    <row r="383" spans="1:12" x14ac:dyDescent="0.3">
      <c r="A383" s="2">
        <v>107331</v>
      </c>
      <c r="B383" s="2" t="s">
        <v>189</v>
      </c>
      <c r="C383" s="2" t="s">
        <v>250</v>
      </c>
      <c r="D383" s="2" t="s">
        <v>251</v>
      </c>
      <c r="E383" s="2">
        <v>380</v>
      </c>
      <c r="F383" s="17">
        <v>5799.71</v>
      </c>
      <c r="G383" s="17">
        <v>2203889.7999999998</v>
      </c>
      <c r="H383" s="1">
        <f t="shared" ca="1" si="11"/>
        <v>46207</v>
      </c>
      <c r="I383" s="5">
        <f>IFERROR(VLOOKUP(A383,'[2]Consumo SEMANAL PV '!$B:$DJ,113,0),0)</f>
        <v>88.944444444444443</v>
      </c>
      <c r="J383" s="2" t="str">
        <f>IFERROR(VLOOKUP(A383,Hoja4!A:C,3,0),"")</f>
        <v>Margarina</v>
      </c>
      <c r="K383" s="9">
        <f t="shared" si="12"/>
        <v>4.2723297938788258</v>
      </c>
      <c r="L383" s="6">
        <f>IFERROR(VLOOKUP(A383,'[2]Consumo SEMANAL PV '!$B:$DQ,120,0),0)</f>
        <v>29.648148148148149</v>
      </c>
    </row>
    <row r="384" spans="1:12" x14ac:dyDescent="0.3">
      <c r="A384" s="2">
        <v>107144</v>
      </c>
      <c r="B384" s="2" t="s">
        <v>190</v>
      </c>
      <c r="C384" s="2" t="s">
        <v>250</v>
      </c>
      <c r="D384" s="2" t="s">
        <v>251</v>
      </c>
      <c r="E384" s="2">
        <v>454.1</v>
      </c>
      <c r="F384" s="17">
        <v>3082.5</v>
      </c>
      <c r="G384" s="17">
        <v>1399763.25</v>
      </c>
      <c r="H384" s="1">
        <f t="shared" ca="1" si="11"/>
        <v>46207</v>
      </c>
      <c r="I384" s="5">
        <f>IFERROR(VLOOKUP(A384,'[2]Consumo SEMANAL PV '!$B:$DJ,113,0),0)</f>
        <v>335.98400000000009</v>
      </c>
      <c r="J384" s="2" t="str">
        <f>IFERROR(VLOOKUP(A384,Hoja4!A:C,3,0),"")</f>
        <v>fruta Conserva</v>
      </c>
      <c r="K384" s="9">
        <f t="shared" si="12"/>
        <v>1.3515524548788034</v>
      </c>
      <c r="L384" s="6">
        <f>IFERROR(VLOOKUP(A384,'[2]Consumo SEMANAL PV '!$B:$DQ,120,0),0)</f>
        <v>111.9946666666667</v>
      </c>
    </row>
    <row r="385" spans="1:12" x14ac:dyDescent="0.3">
      <c r="A385" s="2">
        <v>103007</v>
      </c>
      <c r="B385" s="2" t="s">
        <v>327</v>
      </c>
      <c r="C385" s="2" t="s">
        <v>250</v>
      </c>
      <c r="D385" s="2" t="s">
        <v>251</v>
      </c>
      <c r="E385" s="2">
        <v>1025</v>
      </c>
      <c r="F385" s="17">
        <v>1750</v>
      </c>
      <c r="G385" s="17">
        <v>1793750</v>
      </c>
      <c r="H385" s="1">
        <f t="shared" ca="1" si="11"/>
        <v>46207</v>
      </c>
      <c r="I385" s="5">
        <f>IFERROR(VLOOKUP(A385,'[2]Consumo SEMANAL PV '!$B:$DJ,113,0),0)</f>
        <v>1220.48</v>
      </c>
      <c r="J385" s="2" t="s">
        <v>365</v>
      </c>
      <c r="K385" s="9">
        <f t="shared" si="12"/>
        <v>0.83983350812794966</v>
      </c>
      <c r="L385" s="6">
        <f>IFERROR(VLOOKUP(A385,'[2]Consumo SEMANAL PV '!$B:$DQ,120,0),0)</f>
        <v>406.82666666666665</v>
      </c>
    </row>
    <row r="386" spans="1:12" x14ac:dyDescent="0.3">
      <c r="A386" s="2">
        <v>107001</v>
      </c>
      <c r="B386" s="2" t="s">
        <v>191</v>
      </c>
      <c r="C386" s="2" t="s">
        <v>250</v>
      </c>
      <c r="D386" s="2" t="s">
        <v>251</v>
      </c>
      <c r="E386" s="2">
        <v>233</v>
      </c>
      <c r="F386" s="17">
        <v>5888.37</v>
      </c>
      <c r="G386" s="17">
        <v>1371990.21</v>
      </c>
      <c r="H386" s="1">
        <f t="shared" ca="1" si="11"/>
        <v>46207</v>
      </c>
      <c r="I386" s="5">
        <f>IFERROR(VLOOKUP(A386,'[2]Consumo SEMANAL PV '!$B:$DJ,113,0),0)</f>
        <v>130.0333333333333</v>
      </c>
      <c r="J386" s="2" t="str">
        <f>IFERROR(VLOOKUP(A386,Hoja4!A:C,3,0),"")</f>
        <v>Fruta conserva</v>
      </c>
      <c r="K386" s="9">
        <f t="shared" si="12"/>
        <v>1.7918482440399901</v>
      </c>
      <c r="L386" s="6">
        <f>IFERROR(VLOOKUP(A386,'[2]Consumo SEMANAL PV '!$B:$DQ,120,0),0)</f>
        <v>65.016666666666652</v>
      </c>
    </row>
    <row r="387" spans="1:12" x14ac:dyDescent="0.3">
      <c r="A387" s="2">
        <v>107324</v>
      </c>
      <c r="B387" s="2" t="s">
        <v>328</v>
      </c>
      <c r="C387" s="2" t="s">
        <v>250</v>
      </c>
      <c r="D387" s="2" t="s">
        <v>251</v>
      </c>
      <c r="E387" s="5">
        <v>453.6</v>
      </c>
      <c r="F387" s="17">
        <v>5177.66</v>
      </c>
      <c r="G387" s="17">
        <v>2348586.5759999999</v>
      </c>
      <c r="H387" s="1">
        <f t="shared" ref="H387:H450" ca="1" si="13">TODAY()</f>
        <v>46207</v>
      </c>
      <c r="I387" s="5">
        <f>IFERROR(VLOOKUP(A387,'[2]Consumo SEMANAL PV '!$B:$DJ,113,0),0)</f>
        <v>298.74916666666672</v>
      </c>
      <c r="J387" s="2" t="str">
        <f>IFERROR(VLOOKUP(A387,Hoja4!A:C,3,0),"")</f>
        <v>Fruta Conserva</v>
      </c>
      <c r="K387" s="9">
        <f t="shared" ref="K387:K450" si="14">IFERROR(+E387/I387,0)</f>
        <v>1.5183305950644213</v>
      </c>
      <c r="L387" s="6">
        <f>IFERROR(VLOOKUP(A387,'[2]Consumo SEMANAL PV '!$B:$DQ,120,0),0)</f>
        <v>248.95763888888894</v>
      </c>
    </row>
    <row r="388" spans="1:12" x14ac:dyDescent="0.3">
      <c r="A388" s="2">
        <v>405694</v>
      </c>
      <c r="B388" s="2" t="s">
        <v>838</v>
      </c>
      <c r="C388" s="2" t="s">
        <v>250</v>
      </c>
      <c r="D388" s="2" t="s">
        <v>251</v>
      </c>
      <c r="E388" s="2">
        <v>49</v>
      </c>
      <c r="F388" s="17">
        <v>6290</v>
      </c>
      <c r="G388" s="17">
        <v>308210</v>
      </c>
      <c r="H388" s="1">
        <f t="shared" ca="1" si="13"/>
        <v>46207</v>
      </c>
      <c r="I388" s="5">
        <f>IFERROR(VLOOKUP(A388,'[2]Consumo SEMANAL PV '!$B:$DJ,113,0),0)</f>
        <v>0</v>
      </c>
      <c r="J388" s="2" t="str">
        <f>IFERROR(VLOOKUP(A388,Hoja4!A:C,3,0),"")</f>
        <v/>
      </c>
      <c r="K388" s="9">
        <f t="shared" si="14"/>
        <v>0</v>
      </c>
      <c r="L388" s="6">
        <f>IFERROR(VLOOKUP(A388,'[2]Consumo SEMANAL PV '!$B:$DQ,120,0),0)</f>
        <v>0</v>
      </c>
    </row>
    <row r="389" spans="1:12" x14ac:dyDescent="0.3">
      <c r="A389" s="2">
        <v>107158</v>
      </c>
      <c r="B389" s="2" t="s">
        <v>194</v>
      </c>
      <c r="C389" s="2" t="s">
        <v>250</v>
      </c>
      <c r="D389" s="2" t="s">
        <v>251</v>
      </c>
      <c r="E389" s="2">
        <v>530</v>
      </c>
      <c r="F389" s="17">
        <v>3390.94</v>
      </c>
      <c r="G389" s="17">
        <v>1797198.2</v>
      </c>
      <c r="H389" s="1">
        <f t="shared" ca="1" si="13"/>
        <v>46207</v>
      </c>
      <c r="I389" s="5">
        <f>IFERROR(VLOOKUP(A389,'[2]Consumo SEMANAL PV '!$B:$DJ,113,0),0)</f>
        <v>190.74</v>
      </c>
      <c r="J389" s="2" t="str">
        <f>IFERROR(VLOOKUP(A389,Hoja4!A:C,3,0),"")</f>
        <v>Mermelada</v>
      </c>
      <c r="K389" s="9">
        <f t="shared" si="14"/>
        <v>2.778651567578903</v>
      </c>
      <c r="L389" s="6">
        <f>IFERROR(VLOOKUP(A389,'[2]Consumo SEMANAL PV '!$B:$DQ,120,0),0)</f>
        <v>63.580000000000005</v>
      </c>
    </row>
    <row r="390" spans="1:12" x14ac:dyDescent="0.3">
      <c r="A390" s="2">
        <v>107321</v>
      </c>
      <c r="B390" s="2" t="s">
        <v>330</v>
      </c>
      <c r="C390" s="2" t="s">
        <v>250</v>
      </c>
      <c r="D390" s="2" t="s">
        <v>251</v>
      </c>
      <c r="E390" s="2">
        <v>935</v>
      </c>
      <c r="F390" s="17">
        <v>2630</v>
      </c>
      <c r="G390" s="17">
        <v>2459050</v>
      </c>
      <c r="H390" s="1">
        <f t="shared" ca="1" si="13"/>
        <v>46207</v>
      </c>
      <c r="I390" s="5">
        <f>IFERROR(VLOOKUP(A390,'[2]Consumo SEMANAL PV '!$B:$DJ,113,0),0)</f>
        <v>643.6</v>
      </c>
      <c r="J390" s="2" t="str">
        <f>IFERROR(VLOOKUP(A390,Hoja4!A:C,3,0),"")</f>
        <v>Insumo</v>
      </c>
      <c r="K390" s="9">
        <f t="shared" si="14"/>
        <v>1.4527656929770043</v>
      </c>
      <c r="L390" s="6">
        <f>IFERROR(VLOOKUP(A390,'[2]Consumo SEMANAL PV '!$B:$DQ,120,0),0)</f>
        <v>429.06666666666666</v>
      </c>
    </row>
    <row r="391" spans="1:12" x14ac:dyDescent="0.3">
      <c r="A391" s="2">
        <v>107112</v>
      </c>
      <c r="B391" s="2" t="s">
        <v>195</v>
      </c>
      <c r="C391" s="2" t="s">
        <v>250</v>
      </c>
      <c r="D391" s="2" t="s">
        <v>251</v>
      </c>
      <c r="E391" s="5">
        <v>210</v>
      </c>
      <c r="F391" s="17">
        <v>2713</v>
      </c>
      <c r="G391" s="17">
        <v>569730</v>
      </c>
      <c r="H391" s="1">
        <f t="shared" ca="1" si="13"/>
        <v>46207</v>
      </c>
      <c r="I391" s="5">
        <f>IFERROR(VLOOKUP(A391,'[2]Consumo SEMANAL PV '!$B:$DJ,113,0),0)</f>
        <v>103.2</v>
      </c>
      <c r="J391" s="2" t="str">
        <f>IFERROR(VLOOKUP(A391,Hoja4!A:C,3,0),"")</f>
        <v>Insumo</v>
      </c>
      <c r="K391" s="9">
        <f t="shared" si="14"/>
        <v>2.0348837209302326</v>
      </c>
      <c r="L391" s="6">
        <f>IFERROR(VLOOKUP(A391,'[2]Consumo SEMANAL PV '!$B:$DQ,120,0),0)</f>
        <v>68.8</v>
      </c>
    </row>
    <row r="392" spans="1:12" x14ac:dyDescent="0.3">
      <c r="A392" s="2">
        <v>405318</v>
      </c>
      <c r="B392" s="2" t="s">
        <v>331</v>
      </c>
      <c r="C392" s="2" t="s">
        <v>250</v>
      </c>
      <c r="D392" s="2" t="s">
        <v>251</v>
      </c>
      <c r="E392" s="2">
        <v>625</v>
      </c>
      <c r="F392" s="17">
        <v>2862</v>
      </c>
      <c r="G392" s="17">
        <v>1788750</v>
      </c>
      <c r="H392" s="1">
        <f t="shared" ca="1" si="13"/>
        <v>46207</v>
      </c>
      <c r="I392" s="5">
        <f>IFERROR(VLOOKUP(A392,'[2]Consumo SEMANAL PV '!$B:$DJ,113,0),0)</f>
        <v>232.77777777777777</v>
      </c>
      <c r="J392" s="2" t="str">
        <f>IFERROR(VLOOKUP(A392,Hoja4!A:C,3,0),"")</f>
        <v>Mermelada</v>
      </c>
      <c r="K392" s="9">
        <f t="shared" si="14"/>
        <v>2.6849642004773271</v>
      </c>
      <c r="L392" s="6">
        <f>IFERROR(VLOOKUP(A392,'[2]Consumo SEMANAL PV '!$B:$DQ,120,0),0)</f>
        <v>77.592592592592595</v>
      </c>
    </row>
    <row r="393" spans="1:12" x14ac:dyDescent="0.3">
      <c r="A393" s="2">
        <v>170173</v>
      </c>
      <c r="B393" s="2" t="s">
        <v>197</v>
      </c>
      <c r="C393" s="2" t="s">
        <v>250</v>
      </c>
      <c r="D393" s="2" t="s">
        <v>251</v>
      </c>
      <c r="E393" s="2">
        <v>555</v>
      </c>
      <c r="F393" s="17">
        <v>2035.33</v>
      </c>
      <c r="G393" s="17">
        <v>1129608.1499999999</v>
      </c>
      <c r="H393" s="1">
        <f t="shared" ca="1" si="13"/>
        <v>46207</v>
      </c>
      <c r="I393" s="5">
        <f>IFERROR(VLOOKUP(A393,'[2]Consumo SEMANAL PV '!$B:$DJ,113,0),0)</f>
        <v>74.791666666666671</v>
      </c>
      <c r="J393" s="2" t="str">
        <f>IFERROR(VLOOKUP(A393,Hoja4!A:C,3,0),"")</f>
        <v>Mermelada</v>
      </c>
      <c r="K393" s="9">
        <f t="shared" si="14"/>
        <v>7.4206128133704734</v>
      </c>
      <c r="L393" s="6">
        <f>IFERROR(VLOOKUP(A393,'[2]Consumo SEMANAL PV '!$B:$DQ,120,0),0)</f>
        <v>24.930555555555557</v>
      </c>
    </row>
    <row r="394" spans="1:12" x14ac:dyDescent="0.3">
      <c r="A394" s="2">
        <v>107157</v>
      </c>
      <c r="B394" s="2" t="s">
        <v>198</v>
      </c>
      <c r="C394" s="2" t="s">
        <v>250</v>
      </c>
      <c r="D394" s="2" t="s">
        <v>251</v>
      </c>
      <c r="E394" s="5">
        <v>1050</v>
      </c>
      <c r="F394" s="17">
        <v>2098.69</v>
      </c>
      <c r="G394" s="17">
        <v>2203624.5</v>
      </c>
      <c r="H394" s="1">
        <f t="shared" ca="1" si="13"/>
        <v>46207</v>
      </c>
      <c r="I394" s="5">
        <f>IFERROR(VLOOKUP(A394,'[2]Consumo SEMANAL PV '!$B:$DJ,113,0),0)</f>
        <v>832.6</v>
      </c>
      <c r="J394" s="2" t="str">
        <f>IFERROR(VLOOKUP(A394,Hoja4!A:C,3,0),"")</f>
        <v>Mermelada</v>
      </c>
      <c r="K394" s="9">
        <f t="shared" si="14"/>
        <v>1.2611097766034109</v>
      </c>
      <c r="L394" s="6">
        <f>IFERROR(VLOOKUP(A394,'[2]Consumo SEMANAL PV '!$B:$DQ,120,0),0)</f>
        <v>277.53333333333336</v>
      </c>
    </row>
    <row r="395" spans="1:12" x14ac:dyDescent="0.3">
      <c r="A395" s="2">
        <v>403391</v>
      </c>
      <c r="B395" s="2" t="s">
        <v>332</v>
      </c>
      <c r="C395" s="2" t="s">
        <v>250</v>
      </c>
      <c r="D395" s="2" t="s">
        <v>251</v>
      </c>
      <c r="E395" s="2">
        <v>610</v>
      </c>
      <c r="F395" s="17">
        <v>1611.52</v>
      </c>
      <c r="G395" s="17">
        <v>983027.19999999995</v>
      </c>
      <c r="H395" s="1">
        <f t="shared" ca="1" si="13"/>
        <v>46207</v>
      </c>
      <c r="I395" s="5">
        <f>IFERROR(VLOOKUP(A395,'[2]Consumo SEMANAL PV '!$B:$DJ,113,0),0)</f>
        <v>802.91666666666663</v>
      </c>
      <c r="J395" s="2" t="str">
        <f>IFERROR(VLOOKUP(A395,Hoja4!A:C,3,0),"")</f>
        <v>Mermelada</v>
      </c>
      <c r="K395" s="9">
        <f t="shared" si="14"/>
        <v>0.75973015049299431</v>
      </c>
      <c r="L395" s="6">
        <f>IFERROR(VLOOKUP(A395,'[2]Consumo SEMANAL PV '!$B:$DQ,120,0),0)</f>
        <v>267.63888888888886</v>
      </c>
    </row>
    <row r="396" spans="1:12" x14ac:dyDescent="0.3">
      <c r="A396" s="2">
        <v>403408</v>
      </c>
      <c r="B396" s="2" t="s">
        <v>333</v>
      </c>
      <c r="C396" s="2" t="s">
        <v>250</v>
      </c>
      <c r="D396" s="2" t="s">
        <v>251</v>
      </c>
      <c r="E396" s="2">
        <v>315</v>
      </c>
      <c r="F396" s="17">
        <v>1705.48</v>
      </c>
      <c r="G396" s="17">
        <v>537226.19999999995</v>
      </c>
      <c r="H396" s="1">
        <f t="shared" ca="1" si="13"/>
        <v>46207</v>
      </c>
      <c r="I396" s="5">
        <f>IFERROR(VLOOKUP(A396,'[2]Consumo SEMANAL PV '!$B:$DJ,113,0),0)</f>
        <v>137</v>
      </c>
      <c r="J396" s="2" t="str">
        <f>IFERROR(VLOOKUP(A396,Hoja4!A:C,3,0),"")</f>
        <v>Mermelada</v>
      </c>
      <c r="K396" s="9">
        <f t="shared" si="14"/>
        <v>2.2992700729927007</v>
      </c>
      <c r="L396" s="6">
        <f>IFERROR(VLOOKUP(A396,'[2]Consumo SEMANAL PV '!$B:$DQ,120,0),0)</f>
        <v>45.666666666666664</v>
      </c>
    </row>
    <row r="397" spans="1:12" x14ac:dyDescent="0.3">
      <c r="A397" s="2">
        <v>403407</v>
      </c>
      <c r="B397" s="2" t="s">
        <v>334</v>
      </c>
      <c r="C397" s="2" t="s">
        <v>250</v>
      </c>
      <c r="D397" s="2" t="s">
        <v>251</v>
      </c>
      <c r="E397" s="2">
        <v>1165</v>
      </c>
      <c r="F397" s="17">
        <v>2346.84</v>
      </c>
      <c r="G397" s="17">
        <v>2734068.6</v>
      </c>
      <c r="H397" s="1">
        <f t="shared" ca="1" si="13"/>
        <v>46207</v>
      </c>
      <c r="I397" s="5">
        <f>IFERROR(VLOOKUP(A397,'[2]Consumo SEMANAL PV '!$B:$DJ,113,0),0)</f>
        <v>1235.8</v>
      </c>
      <c r="J397" s="2" t="str">
        <f>IFERROR(VLOOKUP(A397,Hoja4!A:C,3,0),"")</f>
        <v>Mermelada</v>
      </c>
      <c r="K397" s="9">
        <f t="shared" si="14"/>
        <v>0.94270917624211037</v>
      </c>
      <c r="L397" s="6">
        <f>IFERROR(VLOOKUP(A397,'[2]Consumo SEMANAL PV '!$B:$DQ,120,0),0)</f>
        <v>411.93333333333334</v>
      </c>
    </row>
    <row r="398" spans="1:12" x14ac:dyDescent="0.3">
      <c r="A398" s="2">
        <v>107131</v>
      </c>
      <c r="B398" s="2" t="s">
        <v>335</v>
      </c>
      <c r="C398" s="2" t="s">
        <v>250</v>
      </c>
      <c r="D398" s="2" t="s">
        <v>251</v>
      </c>
      <c r="E398" s="2">
        <v>405</v>
      </c>
      <c r="F398" s="17">
        <v>2473.38</v>
      </c>
      <c r="G398" s="17">
        <v>1001718.9</v>
      </c>
      <c r="H398" s="1">
        <f t="shared" ca="1" si="13"/>
        <v>46207</v>
      </c>
      <c r="I398" s="5">
        <f>IFERROR(VLOOKUP(A398,'[2]Consumo SEMANAL PV '!$B:$DJ,113,0),0)</f>
        <v>172.8</v>
      </c>
      <c r="J398" s="2" t="str">
        <f>IFERROR(VLOOKUP(A398,Hoja4!A:C,3,0),"")</f>
        <v>Mermelada</v>
      </c>
      <c r="K398" s="9">
        <f t="shared" si="14"/>
        <v>2.34375</v>
      </c>
      <c r="L398" s="6">
        <f>IFERROR(VLOOKUP(A398,'[2]Consumo SEMANAL PV '!$B:$DQ,120,0),0)</f>
        <v>57.6</v>
      </c>
    </row>
    <row r="399" spans="1:12" x14ac:dyDescent="0.3">
      <c r="A399" s="2">
        <v>107172</v>
      </c>
      <c r="B399" s="2" t="s">
        <v>200</v>
      </c>
      <c r="C399" s="2" t="s">
        <v>250</v>
      </c>
      <c r="D399" s="2" t="s">
        <v>251</v>
      </c>
      <c r="E399" s="2">
        <v>240</v>
      </c>
      <c r="F399" s="17">
        <v>2018.03</v>
      </c>
      <c r="G399" s="17">
        <v>484327.2</v>
      </c>
      <c r="H399" s="1">
        <f t="shared" ca="1" si="13"/>
        <v>46207</v>
      </c>
      <c r="I399" s="5">
        <f>IFERROR(VLOOKUP(A399,'[2]Consumo SEMANAL PV '!$B:$DJ,113,0),0)</f>
        <v>99.8</v>
      </c>
      <c r="J399" s="2" t="str">
        <f>IFERROR(VLOOKUP(A399,Hoja4!A:C,3,0),"")</f>
        <v>Mermelada</v>
      </c>
      <c r="K399" s="9">
        <f t="shared" si="14"/>
        <v>2.4048096192384771</v>
      </c>
      <c r="L399" s="6">
        <f>IFERROR(VLOOKUP(A399,'[2]Consumo SEMANAL PV '!$B:$DQ,120,0),0)</f>
        <v>33.266666666666666</v>
      </c>
    </row>
    <row r="400" spans="1:12" x14ac:dyDescent="0.3">
      <c r="A400" s="2">
        <v>107129</v>
      </c>
      <c r="B400" s="2" t="s">
        <v>201</v>
      </c>
      <c r="C400" s="2" t="s">
        <v>250</v>
      </c>
      <c r="D400" s="2" t="s">
        <v>251</v>
      </c>
      <c r="E400" s="2">
        <v>590</v>
      </c>
      <c r="F400" s="17">
        <v>4316.3</v>
      </c>
      <c r="G400" s="17">
        <v>2546617</v>
      </c>
      <c r="H400" s="1">
        <f t="shared" ca="1" si="13"/>
        <v>46207</v>
      </c>
      <c r="I400" s="5">
        <f>IFERROR(VLOOKUP(A400,'[2]Consumo SEMANAL PV '!$B:$DJ,113,0),0)</f>
        <v>373.8</v>
      </c>
      <c r="J400" s="2" t="str">
        <f>IFERROR(VLOOKUP(A400,Hoja4!A:C,3,0),"")</f>
        <v>Mermelada</v>
      </c>
      <c r="K400" s="9">
        <f t="shared" si="14"/>
        <v>1.5783841626538255</v>
      </c>
      <c r="L400" s="6">
        <f>IFERROR(VLOOKUP(A400,'[2]Consumo SEMANAL PV '!$B:$DQ,120,0),0)</f>
        <v>124.60000000000001</v>
      </c>
    </row>
    <row r="401" spans="1:12" x14ac:dyDescent="0.3">
      <c r="A401" s="2">
        <v>107113</v>
      </c>
      <c r="B401" s="2" t="s">
        <v>202</v>
      </c>
      <c r="C401" s="2" t="s">
        <v>250</v>
      </c>
      <c r="D401" s="2" t="s">
        <v>251</v>
      </c>
      <c r="E401" s="5">
        <v>510</v>
      </c>
      <c r="F401" s="17">
        <v>3294.48</v>
      </c>
      <c r="G401" s="17">
        <v>1680184.8</v>
      </c>
      <c r="H401" s="1">
        <f t="shared" ca="1" si="13"/>
        <v>46207</v>
      </c>
      <c r="I401" s="5">
        <f>IFERROR(VLOOKUP(A401,'[2]Consumo SEMANAL PV '!$B:$DJ,113,0),0)</f>
        <v>1106.4000000000001</v>
      </c>
      <c r="J401" s="2" t="str">
        <f>IFERROR(VLOOKUP(A401,Hoja4!A:C,3,0),"")</f>
        <v>Mermelada</v>
      </c>
      <c r="K401" s="9">
        <f t="shared" si="14"/>
        <v>0.46095444685466375</v>
      </c>
      <c r="L401" s="6">
        <f>IFERROR(VLOOKUP(A401,'[2]Consumo SEMANAL PV '!$B:$DQ,120,0),0)</f>
        <v>368.8</v>
      </c>
    </row>
    <row r="402" spans="1:12" x14ac:dyDescent="0.3">
      <c r="A402" s="2">
        <v>107359</v>
      </c>
      <c r="B402" s="2" t="s">
        <v>336</v>
      </c>
      <c r="C402" s="2" t="s">
        <v>250</v>
      </c>
      <c r="D402" s="2" t="s">
        <v>251</v>
      </c>
      <c r="E402" s="2">
        <v>310</v>
      </c>
      <c r="F402" s="17">
        <v>2114.0500000000002</v>
      </c>
      <c r="G402" s="17">
        <v>655355.5</v>
      </c>
      <c r="H402" s="1">
        <f t="shared" ca="1" si="13"/>
        <v>46207</v>
      </c>
      <c r="I402" s="5">
        <f>IFERROR(VLOOKUP(A402,'[2]Consumo SEMANAL PV '!$B:$DJ,113,0),0)</f>
        <v>95.6</v>
      </c>
      <c r="J402" s="2" t="str">
        <f>IFERROR(VLOOKUP(A402,Hoja4!A:C,3,0),"")</f>
        <v>Mermelada</v>
      </c>
      <c r="K402" s="9">
        <f t="shared" si="14"/>
        <v>3.2426778242677825</v>
      </c>
      <c r="L402" s="6">
        <f>IFERROR(VLOOKUP(A402,'[2]Consumo SEMANAL PV '!$B:$DQ,120,0),0)</f>
        <v>31.866666666666664</v>
      </c>
    </row>
    <row r="403" spans="1:12" x14ac:dyDescent="0.3">
      <c r="A403" s="2">
        <v>107193</v>
      </c>
      <c r="B403" s="2" t="s">
        <v>203</v>
      </c>
      <c r="C403" s="2" t="s">
        <v>250</v>
      </c>
      <c r="D403" s="2" t="s">
        <v>251</v>
      </c>
      <c r="E403" s="5">
        <v>340</v>
      </c>
      <c r="F403" s="17">
        <v>3837.2</v>
      </c>
      <c r="G403" s="17">
        <v>1304648</v>
      </c>
      <c r="H403" s="1">
        <f t="shared" ca="1" si="13"/>
        <v>46207</v>
      </c>
      <c r="I403" s="5">
        <f>IFERROR(VLOOKUP(A403,'[2]Consumo SEMANAL PV '!$B:$DJ,113,0),0)</f>
        <v>192.6</v>
      </c>
      <c r="J403" s="2" t="str">
        <f>IFERROR(VLOOKUP(A403,Hoja4!A:C,3,0),"")</f>
        <v>Mermelada</v>
      </c>
      <c r="K403" s="9">
        <f t="shared" si="14"/>
        <v>1.7653167185877467</v>
      </c>
      <c r="L403" s="6">
        <f>IFERROR(VLOOKUP(A403,'[2]Consumo SEMANAL PV '!$B:$DQ,120,0),0)</f>
        <v>64.2</v>
      </c>
    </row>
    <row r="404" spans="1:12" x14ac:dyDescent="0.3">
      <c r="A404" s="2">
        <v>100105</v>
      </c>
      <c r="B404" s="2" t="s">
        <v>337</v>
      </c>
      <c r="C404" s="2" t="s">
        <v>250</v>
      </c>
      <c r="D404" s="2" t="s">
        <v>251</v>
      </c>
      <c r="E404" s="5">
        <v>1060</v>
      </c>
      <c r="F404" s="17">
        <v>2223</v>
      </c>
      <c r="G404" s="17">
        <v>2356380</v>
      </c>
      <c r="H404" s="1">
        <f t="shared" ca="1" si="13"/>
        <v>46207</v>
      </c>
      <c r="I404" s="5">
        <f>IFERROR(VLOOKUP(A404,'[2]Consumo SEMANAL PV '!$B:$DJ,113,0),0)</f>
        <v>289.60000000000002</v>
      </c>
      <c r="J404" s="2" t="str">
        <f>IFERROR(VLOOKUP(A404,Hoja4!A:C,3,0),"")</f>
        <v>Mix</v>
      </c>
      <c r="K404" s="9">
        <f t="shared" si="14"/>
        <v>3.660220994475138</v>
      </c>
      <c r="L404" s="6">
        <f>IFERROR(VLOOKUP(A404,'[2]Consumo SEMANAL PV '!$B:$DQ,120,0),0)</f>
        <v>193.06666666666669</v>
      </c>
    </row>
    <row r="405" spans="1:12" x14ac:dyDescent="0.3">
      <c r="A405" s="2">
        <v>100207</v>
      </c>
      <c r="B405" s="2" t="s">
        <v>338</v>
      </c>
      <c r="C405" s="2" t="s">
        <v>250</v>
      </c>
      <c r="D405" s="2" t="s">
        <v>251</v>
      </c>
      <c r="E405" s="2">
        <v>4554</v>
      </c>
      <c r="F405" s="17">
        <v>1426</v>
      </c>
      <c r="G405" s="17">
        <v>6494004</v>
      </c>
      <c r="H405" s="1">
        <f t="shared" ca="1" si="13"/>
        <v>46207</v>
      </c>
      <c r="I405" s="5">
        <f>IFERROR(VLOOKUP(A405,'[2]Consumo SEMANAL PV '!$B:$DJ,113,0),0)</f>
        <v>10094.16</v>
      </c>
      <c r="J405" s="2" t="str">
        <f>IFERROR(VLOOKUP(A405,Hoja4!A:C,3,0),"")</f>
        <v>Mix</v>
      </c>
      <c r="K405" s="9">
        <f t="shared" si="14"/>
        <v>0.45115195320858792</v>
      </c>
      <c r="L405" s="6">
        <f>IFERROR(VLOOKUP(A405,'[2]Consumo SEMANAL PV '!$B:$DQ,120,0),0)</f>
        <v>5047.08</v>
      </c>
    </row>
    <row r="406" spans="1:12" x14ac:dyDescent="0.3">
      <c r="A406" s="2">
        <v>403331</v>
      </c>
      <c r="B406" s="2" t="s">
        <v>339</v>
      </c>
      <c r="C406" s="2" t="s">
        <v>250</v>
      </c>
      <c r="D406" s="2" t="s">
        <v>251</v>
      </c>
      <c r="E406" s="2">
        <v>1818</v>
      </c>
      <c r="F406" s="17">
        <v>1600</v>
      </c>
      <c r="G406" s="17">
        <v>2908800</v>
      </c>
      <c r="H406" s="1">
        <f t="shared" ca="1" si="13"/>
        <v>46207</v>
      </c>
      <c r="I406" s="5">
        <f>IFERROR(VLOOKUP(A406,'[2]Consumo SEMANAL PV '!$B:$DJ,113,0),0)</f>
        <v>6818.166666666667</v>
      </c>
      <c r="J406" s="2" t="str">
        <f>IFERROR(VLOOKUP(A406,Hoja4!A:C,3,0),"")</f>
        <v>Mix</v>
      </c>
      <c r="K406" s="9">
        <f t="shared" si="14"/>
        <v>0.26664059253465006</v>
      </c>
      <c r="L406" s="6">
        <f>IFERROR(VLOOKUP(A406,'[2]Consumo SEMANAL PV '!$B:$DQ,120,0),0)</f>
        <v>4545.4444444444443</v>
      </c>
    </row>
    <row r="407" spans="1:12" x14ac:dyDescent="0.3">
      <c r="A407" s="2">
        <v>100221</v>
      </c>
      <c r="B407" s="2" t="s">
        <v>340</v>
      </c>
      <c r="C407" s="2" t="s">
        <v>250</v>
      </c>
      <c r="D407" s="2" t="s">
        <v>251</v>
      </c>
      <c r="E407" s="5">
        <v>2826</v>
      </c>
      <c r="F407" s="17">
        <v>1624</v>
      </c>
      <c r="G407" s="17">
        <v>4589424</v>
      </c>
      <c r="H407" s="1">
        <f t="shared" ca="1" si="13"/>
        <v>46207</v>
      </c>
      <c r="I407" s="5">
        <f>IFERROR(VLOOKUP(A407,'[2]Consumo SEMANAL PV '!$B:$DJ,113,0),0)</f>
        <v>5634</v>
      </c>
      <c r="J407" s="2" t="str">
        <f>IFERROR(VLOOKUP(A407,Hoja4!A:C,3,0),"")</f>
        <v>Mix</v>
      </c>
      <c r="K407" s="9">
        <f t="shared" si="14"/>
        <v>0.50159744408945683</v>
      </c>
      <c r="L407" s="6">
        <f>IFERROR(VLOOKUP(A407,'[2]Consumo SEMANAL PV '!$B:$DQ,120,0),0)</f>
        <v>2817</v>
      </c>
    </row>
    <row r="408" spans="1:12" x14ac:dyDescent="0.3">
      <c r="A408" s="2">
        <v>402128</v>
      </c>
      <c r="B408" s="2" t="s">
        <v>341</v>
      </c>
      <c r="C408" s="2" t="s">
        <v>250</v>
      </c>
      <c r="D408" s="2" t="s">
        <v>251</v>
      </c>
      <c r="E408" s="2">
        <v>380</v>
      </c>
      <c r="F408" s="17">
        <v>2800.01</v>
      </c>
      <c r="G408" s="17">
        <v>1064003.8</v>
      </c>
      <c r="H408" s="1">
        <f t="shared" ca="1" si="13"/>
        <v>46207</v>
      </c>
      <c r="I408" s="5">
        <f>IFERROR(VLOOKUP(A408,'[2]Consumo SEMANAL PV '!$B:$DJ,113,0),0)</f>
        <v>73.239999999999995</v>
      </c>
      <c r="J408" s="2" t="str">
        <f>IFERROR(VLOOKUP(A408,Hoja4!A:C,3,0),"")</f>
        <v>Mix</v>
      </c>
      <c r="K408" s="9">
        <f t="shared" si="14"/>
        <v>5.1884216275259423</v>
      </c>
      <c r="L408" s="6">
        <f>IFERROR(VLOOKUP(A408,'[2]Consumo SEMANAL PV '!$B:$DQ,120,0),0)</f>
        <v>48.826666666666661</v>
      </c>
    </row>
    <row r="409" spans="1:12" x14ac:dyDescent="0.3">
      <c r="A409" s="2">
        <v>100200</v>
      </c>
      <c r="B409" s="2" t="s">
        <v>342</v>
      </c>
      <c r="C409" s="2" t="s">
        <v>250</v>
      </c>
      <c r="D409" s="2" t="s">
        <v>251</v>
      </c>
      <c r="E409" s="5">
        <v>2280</v>
      </c>
      <c r="F409" s="17">
        <v>1180</v>
      </c>
      <c r="G409" s="17">
        <v>2690400</v>
      </c>
      <c r="H409" s="1">
        <f t="shared" ca="1" si="13"/>
        <v>46207</v>
      </c>
      <c r="I409" s="5">
        <f>IFERROR(VLOOKUP(A409,'[2]Consumo SEMANAL PV '!$B:$DJ,113,0),0)</f>
        <v>2513.44</v>
      </c>
      <c r="J409" s="2" t="str">
        <f>IFERROR(VLOOKUP(A409,Hoja4!A:C,3,0),"")</f>
        <v>Mix</v>
      </c>
      <c r="K409" s="9">
        <f t="shared" si="14"/>
        <v>0.90712330511171935</v>
      </c>
      <c r="L409" s="6">
        <f>IFERROR(VLOOKUP(A409,'[2]Consumo SEMANAL PV '!$B:$DQ,120,0),0)</f>
        <v>1256.72</v>
      </c>
    </row>
    <row r="410" spans="1:12" x14ac:dyDescent="0.3">
      <c r="A410" s="2">
        <v>405422</v>
      </c>
      <c r="B410" s="2" t="s">
        <v>343</v>
      </c>
      <c r="C410" s="2" t="s">
        <v>250</v>
      </c>
      <c r="D410" s="2" t="s">
        <v>251</v>
      </c>
      <c r="E410" s="2">
        <v>33540</v>
      </c>
      <c r="F410" s="17">
        <v>166</v>
      </c>
      <c r="G410" s="17">
        <v>5567640</v>
      </c>
      <c r="H410" s="1">
        <f t="shared" ca="1" si="13"/>
        <v>46207</v>
      </c>
      <c r="I410" s="5">
        <f>IFERROR(VLOOKUP(A410,'[2]Consumo SEMANAL PV '!$B:$DJ,113,0),0)</f>
        <v>12392</v>
      </c>
      <c r="J410" s="2" t="str">
        <f>IFERROR(VLOOKUP(A410,Hoja4!A:C,3,0),"")</f>
        <v>Carton</v>
      </c>
      <c r="K410" s="9">
        <f t="shared" si="14"/>
        <v>2.7065848934796644</v>
      </c>
      <c r="L410" s="6">
        <f>IFERROR(VLOOKUP(A410,'[2]Consumo SEMANAL PV '!$B:$DQ,120,0),0)</f>
        <v>4130.666666666667</v>
      </c>
    </row>
    <row r="411" spans="1:12" x14ac:dyDescent="0.3">
      <c r="A411" s="2">
        <v>405732</v>
      </c>
      <c r="B411" s="2" t="s">
        <v>344</v>
      </c>
      <c r="C411" s="2" t="s">
        <v>250</v>
      </c>
      <c r="D411" s="2" t="s">
        <v>251</v>
      </c>
      <c r="E411" s="2">
        <v>55</v>
      </c>
      <c r="F411" s="17">
        <v>17000</v>
      </c>
      <c r="G411" s="17">
        <v>935000</v>
      </c>
      <c r="H411" s="1">
        <f t="shared" ca="1" si="13"/>
        <v>46207</v>
      </c>
      <c r="I411" s="5">
        <f>IFERROR(VLOOKUP(A411,'[2]Consumo SEMANAL PV '!$B:$DJ,113,0),0)</f>
        <v>57.5</v>
      </c>
      <c r="J411" s="2" t="str">
        <f>IFERROR(VLOOKUP(A411,Hoja4!A:C,3,0),"")</f>
        <v>Chocolate</v>
      </c>
      <c r="K411" s="9">
        <f t="shared" si="14"/>
        <v>0.95652173913043481</v>
      </c>
      <c r="L411" s="6">
        <f>IFERROR(VLOOKUP(A411,'[2]Consumo SEMANAL PV '!$B:$DQ,120,0),0)</f>
        <v>57.5</v>
      </c>
    </row>
    <row r="412" spans="1:12" x14ac:dyDescent="0.3">
      <c r="A412" s="2">
        <v>107280</v>
      </c>
      <c r="B412" s="2" t="s">
        <v>205</v>
      </c>
      <c r="C412" s="2" t="s">
        <v>250</v>
      </c>
      <c r="D412" s="2" t="s">
        <v>251</v>
      </c>
      <c r="E412" s="5">
        <v>972</v>
      </c>
      <c r="F412" s="17">
        <v>2750</v>
      </c>
      <c r="G412" s="17">
        <v>2673000</v>
      </c>
      <c r="H412" s="1">
        <f t="shared" ca="1" si="13"/>
        <v>46207</v>
      </c>
      <c r="I412" s="5">
        <f>IFERROR(VLOOKUP(A412,'[2]Consumo SEMANAL PV '!$B:$DJ,113,0),0)</f>
        <v>427.02</v>
      </c>
      <c r="J412" s="2" t="str">
        <f>IFERROR(VLOOKUP(A412,Hoja4!A:C,3,0),"")</f>
        <v>Mermelada</v>
      </c>
      <c r="K412" s="9">
        <f t="shared" si="14"/>
        <v>2.276239988759309</v>
      </c>
      <c r="L412" s="6">
        <f>IFERROR(VLOOKUP(A412,'[2]Consumo SEMANAL PV '!$B:$DQ,120,0),0)</f>
        <v>284.68</v>
      </c>
    </row>
    <row r="413" spans="1:12" x14ac:dyDescent="0.3">
      <c r="A413" s="2">
        <v>402130</v>
      </c>
      <c r="B413" s="2" t="s">
        <v>208</v>
      </c>
      <c r="C413" s="2" t="s">
        <v>250</v>
      </c>
      <c r="D413" s="2" t="s">
        <v>251</v>
      </c>
      <c r="E413" s="2">
        <v>40</v>
      </c>
      <c r="F413" s="17">
        <v>5000</v>
      </c>
      <c r="G413" s="17">
        <v>200000</v>
      </c>
      <c r="H413" s="1">
        <f t="shared" ca="1" si="13"/>
        <v>46207</v>
      </c>
      <c r="I413" s="5">
        <f>IFERROR(VLOOKUP(A413,'[2]Consumo SEMANAL PV '!$B:$DJ,113,0),0)</f>
        <v>49.333333333333336</v>
      </c>
      <c r="J413" s="2" t="str">
        <f>IFERROR(VLOOKUP(A413,Hoja4!A:C,3,0),"")</f>
        <v>Esencia</v>
      </c>
      <c r="K413" s="9">
        <f t="shared" si="14"/>
        <v>0.81081081081081074</v>
      </c>
      <c r="L413" s="6">
        <f>IFERROR(VLOOKUP(A413,'[2]Consumo SEMANAL PV '!$B:$DQ,120,0),0)</f>
        <v>24.666666666666671</v>
      </c>
    </row>
    <row r="414" spans="1:12" x14ac:dyDescent="0.3">
      <c r="A414" s="2">
        <v>405507</v>
      </c>
      <c r="B414" s="2" t="s">
        <v>209</v>
      </c>
      <c r="C414" s="2" t="s">
        <v>250</v>
      </c>
      <c r="D414" s="2" t="s">
        <v>251</v>
      </c>
      <c r="E414" s="2">
        <v>4</v>
      </c>
      <c r="F414" s="17">
        <v>5312.5</v>
      </c>
      <c r="G414" s="17">
        <v>21250</v>
      </c>
      <c r="H414" s="1">
        <f t="shared" ca="1" si="13"/>
        <v>46207</v>
      </c>
      <c r="I414" s="5">
        <f>IFERROR(VLOOKUP(A414,'[2]Consumo SEMANAL PV '!$B:$DJ,113,0),0)</f>
        <v>69.743333333333339</v>
      </c>
      <c r="J414" s="2" t="str">
        <f>IFERROR(VLOOKUP(A414,Hoja4!A:C,3,0),"")</f>
        <v>Galleta</v>
      </c>
      <c r="K414" s="9">
        <f t="shared" si="14"/>
        <v>5.735315203364718E-2</v>
      </c>
      <c r="L414" s="6">
        <f>IFERROR(VLOOKUP(A414,'[2]Consumo SEMANAL PV '!$B:$DQ,120,0),0)</f>
        <v>34.87166666666667</v>
      </c>
    </row>
    <row r="415" spans="1:12" x14ac:dyDescent="0.3">
      <c r="A415" s="2">
        <v>403015</v>
      </c>
      <c r="B415" s="2" t="s">
        <v>345</v>
      </c>
      <c r="C415" s="2" t="s">
        <v>250</v>
      </c>
      <c r="D415" s="2" t="s">
        <v>251</v>
      </c>
      <c r="E415" s="2">
        <v>18000</v>
      </c>
      <c r="F415" s="17">
        <v>14.9</v>
      </c>
      <c r="G415" s="17">
        <v>268200</v>
      </c>
      <c r="H415" s="1">
        <f t="shared" ca="1" si="13"/>
        <v>46207</v>
      </c>
      <c r="I415" s="5">
        <f>IFERROR(VLOOKUP(A415,'[2]Consumo SEMANAL PV '!$B:$DJ,113,0),0)</f>
        <v>2166.6666666666665</v>
      </c>
      <c r="J415" s="2" t="str">
        <f>IFERROR(VLOOKUP(A415,Hoja4!A:C,3,0),"")</f>
        <v>Carton</v>
      </c>
      <c r="K415" s="9">
        <f t="shared" si="14"/>
        <v>8.3076923076923084</v>
      </c>
      <c r="L415" s="6">
        <f>IFERROR(VLOOKUP(A415,'[2]Consumo SEMANAL PV '!$B:$DQ,120,0),0)</f>
        <v>1444.4444444444443</v>
      </c>
    </row>
    <row r="416" spans="1:12" x14ac:dyDescent="0.3">
      <c r="A416" s="2">
        <v>107351</v>
      </c>
      <c r="B416" s="2" t="s">
        <v>346</v>
      </c>
      <c r="C416" s="2" t="s">
        <v>250</v>
      </c>
      <c r="D416" s="2" t="s">
        <v>251</v>
      </c>
      <c r="E416" s="2">
        <v>143</v>
      </c>
      <c r="F416" s="17">
        <v>3199.99</v>
      </c>
      <c r="G416" s="17">
        <v>457598.57</v>
      </c>
      <c r="H416" s="1">
        <f t="shared" ca="1" si="13"/>
        <v>46207</v>
      </c>
      <c r="I416" s="5">
        <f>IFERROR(VLOOKUP(A416,'[2]Consumo SEMANAL PV '!$B:$DJ,113,0),0)</f>
        <v>55.64</v>
      </c>
      <c r="J416" s="2" t="str">
        <f>IFERROR(VLOOKUP(A416,Hoja4!A:C,3,0),"")</f>
        <v>Esencia</v>
      </c>
      <c r="K416" s="9">
        <f t="shared" si="14"/>
        <v>2.5700934579439254</v>
      </c>
      <c r="L416" s="6">
        <f>IFERROR(VLOOKUP(A416,'[2]Consumo SEMANAL PV '!$B:$DQ,120,0),0)</f>
        <v>27.82</v>
      </c>
    </row>
    <row r="417" spans="1:12" x14ac:dyDescent="0.3">
      <c r="A417" s="2">
        <v>107346</v>
      </c>
      <c r="B417" s="2" t="s">
        <v>211</v>
      </c>
      <c r="C417" s="2" t="s">
        <v>250</v>
      </c>
      <c r="D417" s="2" t="s">
        <v>251</v>
      </c>
      <c r="E417" s="5">
        <v>813.28</v>
      </c>
      <c r="F417" s="17">
        <v>3045.24</v>
      </c>
      <c r="G417" s="17">
        <v>2476632.7872000001</v>
      </c>
      <c r="H417" s="1">
        <f t="shared" ca="1" si="13"/>
        <v>46207</v>
      </c>
      <c r="I417" s="5">
        <f>IFERROR(VLOOKUP(A417,'[2]Consumo SEMANAL PV '!$B:$DJ,113,0),0)</f>
        <v>614.78727272727281</v>
      </c>
      <c r="J417" s="2" t="str">
        <f>IFERROR(VLOOKUP(A417,Hoja4!A:C,3,0),"")</f>
        <v>Fruta conserva</v>
      </c>
      <c r="K417" s="9">
        <f t="shared" si="14"/>
        <v>1.3228640801104889</v>
      </c>
      <c r="L417" s="6">
        <f>IFERROR(VLOOKUP(A417,'[2]Consumo SEMANAL PV '!$B:$DQ,120,0),0)</f>
        <v>204.92909090909095</v>
      </c>
    </row>
    <row r="418" spans="1:12" x14ac:dyDescent="0.3">
      <c r="A418" s="2">
        <v>107117</v>
      </c>
      <c r="B418" s="2" t="s">
        <v>443</v>
      </c>
      <c r="C418" s="2" t="s">
        <v>250</v>
      </c>
      <c r="D418" s="2" t="s">
        <v>251</v>
      </c>
      <c r="E418" s="2">
        <v>716.32</v>
      </c>
      <c r="F418" s="17">
        <v>2570.2800000000002</v>
      </c>
      <c r="G418" s="17">
        <v>1841142.9696</v>
      </c>
      <c r="H418" s="1">
        <f t="shared" ca="1" si="13"/>
        <v>46207</v>
      </c>
      <c r="I418" s="5">
        <f>IFERROR(VLOOKUP(A418,'[2]Consumo SEMANAL PV '!$B:$DJ,113,0),0)</f>
        <v>140.03249999999997</v>
      </c>
      <c r="J418" s="2" t="str">
        <f>IFERROR(VLOOKUP(A418,Hoja4!A:C,3,0),"")</f>
        <v>Fruta Conserva</v>
      </c>
      <c r="K418" s="9">
        <f t="shared" si="14"/>
        <v>5.1153839287308314</v>
      </c>
      <c r="L418" s="6">
        <f>IFERROR(VLOOKUP(A418,'[2]Consumo SEMANAL PV '!$B:$DQ,120,0),0)</f>
        <v>70.016249999999985</v>
      </c>
    </row>
    <row r="419" spans="1:12" x14ac:dyDescent="0.3">
      <c r="A419" s="2">
        <v>405730</v>
      </c>
      <c r="B419" s="2" t="s">
        <v>347</v>
      </c>
      <c r="C419" s="2" t="s">
        <v>250</v>
      </c>
      <c r="D419" s="2" t="s">
        <v>251</v>
      </c>
      <c r="E419" s="2">
        <v>3230</v>
      </c>
      <c r="F419" s="17">
        <v>155</v>
      </c>
      <c r="G419" s="17">
        <v>500650</v>
      </c>
      <c r="H419" s="1">
        <f t="shared" ca="1" si="13"/>
        <v>46207</v>
      </c>
      <c r="I419" s="5">
        <f>IFERROR(VLOOKUP(A419,'[2]Consumo SEMANAL PV '!$B:$DJ,113,0),0)</f>
        <v>2871</v>
      </c>
      <c r="J419" s="2" t="str">
        <f>IFERROR(VLOOKUP(A419,Hoja4!A:C,3,0),"")</f>
        <v>Chocolate</v>
      </c>
      <c r="K419" s="9">
        <f t="shared" si="14"/>
        <v>1.1250435388366422</v>
      </c>
      <c r="L419" s="6">
        <f>IFERROR(VLOOKUP(A419,'[2]Consumo SEMANAL PV '!$B:$DQ,120,0),0)</f>
        <v>2871</v>
      </c>
    </row>
    <row r="420" spans="1:12" x14ac:dyDescent="0.3">
      <c r="A420" s="2">
        <v>405793</v>
      </c>
      <c r="B420" s="2" t="s">
        <v>815</v>
      </c>
      <c r="C420" s="2" t="s">
        <v>250</v>
      </c>
      <c r="D420" s="2" t="s">
        <v>251</v>
      </c>
      <c r="E420" s="2">
        <v>1500</v>
      </c>
      <c r="F420" s="17">
        <v>617.33000000000004</v>
      </c>
      <c r="G420" s="17">
        <v>925995</v>
      </c>
      <c r="H420" s="1">
        <f t="shared" ca="1" si="13"/>
        <v>46207</v>
      </c>
      <c r="I420" s="5">
        <f>IFERROR(VLOOKUP(A420,'[2]Consumo SEMANAL PV '!$B:$DJ,113,0),0)</f>
        <v>500</v>
      </c>
      <c r="J420" s="2" t="str">
        <f>IFERROR(VLOOKUP(A420,Hoja4!A:C,3,0),"")</f>
        <v>Carton</v>
      </c>
      <c r="K420" s="9">
        <f t="shared" si="14"/>
        <v>3</v>
      </c>
      <c r="L420" s="6">
        <f>IFERROR(VLOOKUP(A420,'[2]Consumo SEMANAL PV '!$B:$DQ,120,0),0)</f>
        <v>1250</v>
      </c>
    </row>
    <row r="421" spans="1:12" x14ac:dyDescent="0.3">
      <c r="A421" s="2">
        <v>362029</v>
      </c>
      <c r="B421" s="2" t="s">
        <v>348</v>
      </c>
      <c r="C421" s="2" t="s">
        <v>250</v>
      </c>
      <c r="D421" s="2" t="s">
        <v>251</v>
      </c>
      <c r="E421" s="2">
        <v>440</v>
      </c>
      <c r="F421" s="17">
        <v>1068.05</v>
      </c>
      <c r="G421" s="17">
        <v>469942</v>
      </c>
      <c r="H421" s="1">
        <f t="shared" ca="1" si="13"/>
        <v>46207</v>
      </c>
      <c r="I421" s="5">
        <f>IFERROR(VLOOKUP(A421,'[2]Consumo SEMANAL PV '!$B:$DJ,113,0),0)</f>
        <v>932.16666666666663</v>
      </c>
      <c r="J421" s="2" t="s">
        <v>384</v>
      </c>
      <c r="K421" s="9">
        <f t="shared" si="14"/>
        <v>0.47201859467191132</v>
      </c>
      <c r="L421" s="6">
        <f>IFERROR(VLOOKUP(A421,'[2]Consumo SEMANAL PV '!$B:$DQ,120,0),0)</f>
        <v>310.72222222222223</v>
      </c>
    </row>
    <row r="422" spans="1:12" x14ac:dyDescent="0.3">
      <c r="A422" s="2">
        <v>393222</v>
      </c>
      <c r="B422" s="2" t="s">
        <v>349</v>
      </c>
      <c r="C422" s="2" t="s">
        <v>250</v>
      </c>
      <c r="D422" s="2" t="s">
        <v>251</v>
      </c>
      <c r="E422" s="2">
        <v>80</v>
      </c>
      <c r="F422" s="17">
        <v>2444.4</v>
      </c>
      <c r="G422" s="17">
        <v>195552</v>
      </c>
      <c r="H422" s="1">
        <f t="shared" ca="1" si="13"/>
        <v>46207</v>
      </c>
      <c r="I422" s="5">
        <f>IFERROR(VLOOKUP(A422,'[2]Consumo SEMANAL PV '!$B:$DJ,113,0),0)</f>
        <v>769.2</v>
      </c>
      <c r="J422" s="2" t="str">
        <f>IFERROR(VLOOKUP(A422,Hoja4!A:C,3,0),"")</f>
        <v>Insumo</v>
      </c>
      <c r="K422" s="9">
        <f t="shared" si="14"/>
        <v>0.10400416016640665</v>
      </c>
      <c r="L422" s="6">
        <f>IFERROR(VLOOKUP(A422,'[2]Consumo SEMANAL PV '!$B:$DQ,120,0),0)</f>
        <v>384.6</v>
      </c>
    </row>
    <row r="423" spans="1:12" x14ac:dyDescent="0.3">
      <c r="A423" s="2">
        <v>405570</v>
      </c>
      <c r="B423" s="2" t="s">
        <v>215</v>
      </c>
      <c r="C423" s="2" t="s">
        <v>250</v>
      </c>
      <c r="D423" s="2" t="s">
        <v>251</v>
      </c>
      <c r="E423" s="2">
        <v>340</v>
      </c>
      <c r="F423" s="17">
        <v>1500</v>
      </c>
      <c r="G423" s="17">
        <v>510000</v>
      </c>
      <c r="H423" s="1">
        <f t="shared" ca="1" si="13"/>
        <v>46207</v>
      </c>
      <c r="I423" s="5">
        <f>IFERROR(VLOOKUP(A423,'[2]Consumo SEMANAL PV '!$B:$DJ,113,0),0)</f>
        <v>565.21739130434787</v>
      </c>
      <c r="J423" s="2" t="str">
        <f>IFERROR(VLOOKUP(A423,Hoja4!A:C,3,0),"")</f>
        <v>mix</v>
      </c>
      <c r="K423" s="9">
        <f t="shared" si="14"/>
        <v>0.60153846153846147</v>
      </c>
      <c r="L423" s="6">
        <f>IFERROR(VLOOKUP(A423,'[2]Consumo SEMANAL PV '!$B:$DQ,120,0),0)</f>
        <v>282.60869565217394</v>
      </c>
    </row>
    <row r="424" spans="1:12" x14ac:dyDescent="0.3">
      <c r="A424" s="2">
        <v>405811</v>
      </c>
      <c r="B424" s="2" t="s">
        <v>839</v>
      </c>
      <c r="C424" s="2" t="s">
        <v>250</v>
      </c>
      <c r="D424" s="2" t="s">
        <v>251</v>
      </c>
      <c r="E424" s="5">
        <v>50</v>
      </c>
      <c r="F424" s="17">
        <v>3750</v>
      </c>
      <c r="G424" s="17">
        <v>187500</v>
      </c>
      <c r="H424" s="1">
        <f t="shared" ca="1" si="13"/>
        <v>46207</v>
      </c>
      <c r="I424" s="5">
        <f>IFERROR(VLOOKUP(A424,'[2]Consumo SEMANAL PV '!$B:$DJ,113,0),0)</f>
        <v>0</v>
      </c>
      <c r="J424" s="2" t="str">
        <f>IFERROR(VLOOKUP(A424,Hoja4!A:C,3,0),"")</f>
        <v/>
      </c>
      <c r="K424" s="9">
        <f t="shared" si="14"/>
        <v>0</v>
      </c>
      <c r="L424" s="6">
        <f>IFERROR(VLOOKUP(A424,'[2]Consumo SEMANAL PV '!$B:$DQ,120,0),0)</f>
        <v>0</v>
      </c>
    </row>
    <row r="425" spans="1:12" x14ac:dyDescent="0.3">
      <c r="A425" s="2">
        <v>403269</v>
      </c>
      <c r="B425" s="2" t="s">
        <v>350</v>
      </c>
      <c r="C425" s="2" t="s">
        <v>250</v>
      </c>
      <c r="D425" s="2" t="s">
        <v>251</v>
      </c>
      <c r="E425" s="2">
        <v>5.72</v>
      </c>
      <c r="F425" s="17">
        <v>3688.46</v>
      </c>
      <c r="G425" s="17">
        <v>21097.9912</v>
      </c>
      <c r="H425" s="1">
        <f t="shared" ca="1" si="13"/>
        <v>46207</v>
      </c>
      <c r="I425" s="5">
        <f>IFERROR(VLOOKUP(A425,'[2]Consumo SEMANAL PV '!$B:$DJ,113,0),0)</f>
        <v>2.5166666666666662</v>
      </c>
      <c r="J425" s="2" t="str">
        <f>IFERROR(VLOOKUP(A425,Hoja4!A:C,3,0),"")</f>
        <v>Propionato</v>
      </c>
      <c r="K425" s="9">
        <f t="shared" si="14"/>
        <v>2.2728476821192056</v>
      </c>
      <c r="L425" s="6">
        <f>IFERROR(VLOOKUP(A425,'[2]Consumo SEMANAL PV '!$B:$DQ,120,0),0)</f>
        <v>1.2583333333333331</v>
      </c>
    </row>
    <row r="426" spans="1:12" x14ac:dyDescent="0.3">
      <c r="A426" s="2">
        <v>201103</v>
      </c>
      <c r="B426" s="2" t="s">
        <v>351</v>
      </c>
      <c r="C426" s="2" t="s">
        <v>250</v>
      </c>
      <c r="D426" s="2" t="s">
        <v>251</v>
      </c>
      <c r="E426" s="2">
        <v>60</v>
      </c>
      <c r="F426" s="17">
        <v>5673</v>
      </c>
      <c r="G426" s="17">
        <v>340380</v>
      </c>
      <c r="H426" s="1">
        <f t="shared" ca="1" si="13"/>
        <v>46207</v>
      </c>
      <c r="I426" s="5">
        <f>IFERROR(VLOOKUP(A426,'[2]Consumo SEMANAL PV '!$B:$DJ,113,0),0)</f>
        <v>7.1304347826086953</v>
      </c>
      <c r="J426" s="2" t="str">
        <f>IFERROR(VLOOKUP(A426,Hoja4!A:C,3,0),"")</f>
        <v>Remojo</v>
      </c>
      <c r="K426" s="9">
        <f t="shared" si="14"/>
        <v>8.4146341463414629</v>
      </c>
      <c r="L426" s="6">
        <f>IFERROR(VLOOKUP(A426,'[2]Consumo SEMANAL PV '!$B:$DQ,120,0),0)</f>
        <v>4.7536231884057969</v>
      </c>
    </row>
    <row r="427" spans="1:12" x14ac:dyDescent="0.3">
      <c r="A427" s="2">
        <v>107095</v>
      </c>
      <c r="B427" s="2" t="s">
        <v>217</v>
      </c>
      <c r="C427" s="2" t="s">
        <v>250</v>
      </c>
      <c r="D427" s="2" t="s">
        <v>251</v>
      </c>
      <c r="E427" s="2">
        <v>1107</v>
      </c>
      <c r="F427" s="17">
        <v>4446.7</v>
      </c>
      <c r="G427" s="17">
        <v>4922496.9000000004</v>
      </c>
      <c r="H427" s="1">
        <f t="shared" ca="1" si="13"/>
        <v>46207</v>
      </c>
      <c r="I427" s="5">
        <f>IFERROR(VLOOKUP(A427,'[2]Consumo SEMANAL PV '!$B:$DJ,113,0),0)</f>
        <v>638.24</v>
      </c>
      <c r="J427" s="2" t="str">
        <f>IFERROR(VLOOKUP(A427,Hoja4!A:C,3,0),"")</f>
        <v>Mermelada</v>
      </c>
      <c r="K427" s="9">
        <f t="shared" si="14"/>
        <v>1.7344572574580095</v>
      </c>
      <c r="L427" s="6">
        <f>IFERROR(VLOOKUP(A427,'[2]Consumo SEMANAL PV '!$B:$DQ,120,0),0)</f>
        <v>212.74666666666667</v>
      </c>
    </row>
    <row r="428" spans="1:12" x14ac:dyDescent="0.3">
      <c r="A428" s="2">
        <v>405436</v>
      </c>
      <c r="B428" s="2" t="s">
        <v>218</v>
      </c>
      <c r="C428" s="2" t="s">
        <v>250</v>
      </c>
      <c r="D428" s="2" t="s">
        <v>251</v>
      </c>
      <c r="E428" s="5">
        <v>451.5</v>
      </c>
      <c r="F428" s="17">
        <v>2428.54</v>
      </c>
      <c r="G428" s="17">
        <v>1096485.81</v>
      </c>
      <c r="H428" s="1">
        <f t="shared" ca="1" si="13"/>
        <v>46207</v>
      </c>
      <c r="I428" s="5">
        <f>IFERROR(VLOOKUP(A428,'[2]Consumo SEMANAL PV '!$B:$DJ,113,0),0)</f>
        <v>206.3125</v>
      </c>
      <c r="J428" s="2" t="str">
        <f>IFERROR(VLOOKUP(A428,Hoja4!A:C,3,0),"")</f>
        <v>Mermelada</v>
      </c>
      <c r="K428" s="9">
        <f t="shared" si="14"/>
        <v>2.1884277491669191</v>
      </c>
      <c r="L428" s="6">
        <f>IFERROR(VLOOKUP(A428,'[2]Consumo SEMANAL PV '!$B:$DQ,120,0),0)</f>
        <v>68.770833333333329</v>
      </c>
    </row>
    <row r="429" spans="1:12" x14ac:dyDescent="0.3">
      <c r="A429" s="2">
        <v>405133</v>
      </c>
      <c r="B429" s="2" t="s">
        <v>219</v>
      </c>
      <c r="C429" s="2" t="s">
        <v>250</v>
      </c>
      <c r="D429" s="2" t="s">
        <v>251</v>
      </c>
      <c r="E429" s="2">
        <v>5</v>
      </c>
      <c r="F429" s="17">
        <v>5887</v>
      </c>
      <c r="G429" s="17">
        <v>29435</v>
      </c>
      <c r="H429" s="1">
        <f t="shared" ca="1" si="13"/>
        <v>46207</v>
      </c>
      <c r="I429" s="5">
        <f>IFERROR(VLOOKUP(A429,'[2]Consumo SEMANAL PV '!$B:$DJ,113,0),0)</f>
        <v>204.64</v>
      </c>
      <c r="J429" s="2" t="str">
        <f>IFERROR(VLOOKUP(A429,Hoja4!A:C,3,0),"")</f>
        <v>Chocolate</v>
      </c>
      <c r="K429" s="9">
        <f t="shared" si="14"/>
        <v>2.4433150899139954E-2</v>
      </c>
      <c r="L429" s="6">
        <f>IFERROR(VLOOKUP(A429,'[2]Consumo SEMANAL PV '!$B:$DQ,120,0),0)</f>
        <v>204.64</v>
      </c>
    </row>
    <row r="430" spans="1:12" x14ac:dyDescent="0.3">
      <c r="A430" s="2">
        <v>405558</v>
      </c>
      <c r="B430" s="2" t="s">
        <v>352</v>
      </c>
      <c r="C430" s="2" t="s">
        <v>250</v>
      </c>
      <c r="D430" s="2" t="s">
        <v>251</v>
      </c>
      <c r="E430" s="2">
        <v>144</v>
      </c>
      <c r="F430" s="17">
        <v>2750</v>
      </c>
      <c r="G430" s="17">
        <v>396000</v>
      </c>
      <c r="H430" s="1">
        <f t="shared" ca="1" si="13"/>
        <v>46207</v>
      </c>
      <c r="I430" s="5">
        <f>IFERROR(VLOOKUP(A430,'[2]Consumo SEMANAL PV '!$B:$DJ,113,0),0)</f>
        <v>310.18181818181819</v>
      </c>
      <c r="J430" s="2" t="str">
        <f>IFERROR(VLOOKUP(A430,Hoja4!A:C,3,0),"")</f>
        <v>Mermelada</v>
      </c>
      <c r="K430" s="9">
        <f t="shared" si="14"/>
        <v>0.46424384525205159</v>
      </c>
      <c r="L430" s="6">
        <f>IFERROR(VLOOKUP(A430,'[2]Consumo SEMANAL PV '!$B:$DQ,120,0),0)</f>
        <v>155.09090909090909</v>
      </c>
    </row>
    <row r="431" spans="1:12" x14ac:dyDescent="0.3">
      <c r="A431" s="2">
        <v>107263</v>
      </c>
      <c r="B431" s="2" t="s">
        <v>353</v>
      </c>
      <c r="C431" s="2" t="s">
        <v>250</v>
      </c>
      <c r="D431" s="2" t="s">
        <v>251</v>
      </c>
      <c r="E431" s="2">
        <v>625.5</v>
      </c>
      <c r="F431" s="17">
        <v>1391</v>
      </c>
      <c r="G431" s="17">
        <v>870070.5</v>
      </c>
      <c r="H431" s="1">
        <f t="shared" ca="1" si="13"/>
        <v>46207</v>
      </c>
      <c r="I431" s="5">
        <f>IFERROR(VLOOKUP(A431,'[2]Consumo SEMANAL PV '!$B:$DJ,113,0),0)</f>
        <v>1350.14</v>
      </c>
      <c r="J431" s="2" t="str">
        <f>IFERROR(VLOOKUP(A431,Hoja4!A:C,3,0),"")</f>
        <v>Mermelada</v>
      </c>
      <c r="K431" s="9">
        <f t="shared" si="14"/>
        <v>0.46328528893299953</v>
      </c>
      <c r="L431" s="6">
        <f>IFERROR(VLOOKUP(A431,'[2]Consumo SEMANAL PV '!$B:$DQ,120,0),0)</f>
        <v>900.09333333333336</v>
      </c>
    </row>
    <row r="432" spans="1:12" x14ac:dyDescent="0.3">
      <c r="A432" s="2">
        <v>107262</v>
      </c>
      <c r="B432" s="2" t="s">
        <v>223</v>
      </c>
      <c r="C432" s="2" t="s">
        <v>250</v>
      </c>
      <c r="D432" s="2" t="s">
        <v>251</v>
      </c>
      <c r="E432" s="2">
        <v>519</v>
      </c>
      <c r="F432" s="17">
        <v>1987.87</v>
      </c>
      <c r="G432" s="17">
        <v>1031704.53</v>
      </c>
      <c r="H432" s="1">
        <f t="shared" ca="1" si="13"/>
        <v>46207</v>
      </c>
      <c r="I432" s="5">
        <f>IFERROR(VLOOKUP(A432,'[2]Consumo SEMANAL PV '!$B:$DJ,113,0),0)</f>
        <v>1594.84</v>
      </c>
      <c r="J432" s="2" t="str">
        <f>IFERROR(VLOOKUP(A432,Hoja4!A:C,3,0),"")</f>
        <v>Remojo</v>
      </c>
      <c r="K432" s="9">
        <f t="shared" si="14"/>
        <v>0.32542449399312784</v>
      </c>
      <c r="L432" s="6">
        <f>IFERROR(VLOOKUP(A432,'[2]Consumo SEMANAL PV '!$B:$DQ,120,0),0)</f>
        <v>797.42000000000007</v>
      </c>
    </row>
    <row r="433" spans="1:12" x14ac:dyDescent="0.3">
      <c r="A433" s="2">
        <v>107148</v>
      </c>
      <c r="B433" s="2" t="s">
        <v>225</v>
      </c>
      <c r="C433" s="2" t="s">
        <v>250</v>
      </c>
      <c r="D433" s="2" t="s">
        <v>251</v>
      </c>
      <c r="E433" s="2">
        <v>40</v>
      </c>
      <c r="F433" s="17">
        <v>20900</v>
      </c>
      <c r="G433" s="17">
        <v>836000</v>
      </c>
      <c r="H433" s="1">
        <f t="shared" ca="1" si="13"/>
        <v>46207</v>
      </c>
      <c r="I433" s="5">
        <f>IFERROR(VLOOKUP(A433,'[2]Consumo SEMANAL PV '!$B:$DJ,113,0),0)</f>
        <v>20</v>
      </c>
      <c r="J433" s="2" t="str">
        <f>IFERROR(VLOOKUP(A433,Hoja4!A:C,3,0),"")</f>
        <v>Esencia</v>
      </c>
      <c r="K433" s="9">
        <f t="shared" si="14"/>
        <v>2</v>
      </c>
      <c r="L433" s="6">
        <f>IFERROR(VLOOKUP(A433,'[2]Consumo SEMANAL PV '!$B:$DQ,120,0),0)</f>
        <v>20</v>
      </c>
    </row>
    <row r="434" spans="1:12" x14ac:dyDescent="0.3">
      <c r="A434" s="2">
        <v>405612</v>
      </c>
      <c r="B434" s="2" t="s">
        <v>354</v>
      </c>
      <c r="C434" s="2" t="s">
        <v>250</v>
      </c>
      <c r="D434" s="2" t="s">
        <v>251</v>
      </c>
      <c r="E434" s="2">
        <v>340</v>
      </c>
      <c r="F434" s="17">
        <v>1645</v>
      </c>
      <c r="G434" s="17">
        <v>559300</v>
      </c>
      <c r="H434" s="1">
        <f t="shared" ca="1" si="13"/>
        <v>46207</v>
      </c>
      <c r="I434" s="5">
        <f>IFERROR(VLOOKUP(A434,'[2]Consumo SEMANAL PV '!$B:$DJ,113,0),0)</f>
        <v>211.2</v>
      </c>
      <c r="J434" s="2" t="str">
        <f>IFERROR(VLOOKUP(A434,Hoja4!A:C,3,0),"")</f>
        <v>Mermelada</v>
      </c>
      <c r="K434" s="9">
        <f t="shared" si="14"/>
        <v>1.6098484848484849</v>
      </c>
      <c r="L434" s="6">
        <f>IFERROR(VLOOKUP(A434,'[2]Consumo SEMANAL PV '!$B:$DQ,120,0),0)</f>
        <v>140.79999999999998</v>
      </c>
    </row>
    <row r="435" spans="1:12" x14ac:dyDescent="0.3">
      <c r="A435" s="2">
        <v>405651</v>
      </c>
      <c r="B435" s="2" t="s">
        <v>228</v>
      </c>
      <c r="C435" s="2" t="s">
        <v>250</v>
      </c>
      <c r="D435" s="2" t="s">
        <v>251</v>
      </c>
      <c r="E435" s="2">
        <v>10</v>
      </c>
      <c r="F435" s="17">
        <v>6990</v>
      </c>
      <c r="G435" s="17">
        <v>69900</v>
      </c>
      <c r="H435" s="1">
        <f t="shared" ca="1" si="13"/>
        <v>46207</v>
      </c>
      <c r="I435" s="5">
        <f>IFERROR(VLOOKUP(A435,'[2]Consumo SEMANAL PV '!$B:$DJ,113,0),0)</f>
        <v>0</v>
      </c>
      <c r="J435" s="2" t="str">
        <f>IFERROR(VLOOKUP(A435,Hoja4!A:C,3,0),"")</f>
        <v>Esencia</v>
      </c>
      <c r="K435" s="9">
        <f t="shared" si="14"/>
        <v>0</v>
      </c>
      <c r="L435" s="6">
        <f>IFERROR(VLOOKUP(A435,'[2]Consumo SEMANAL PV '!$B:$DQ,120,0),0)</f>
        <v>0</v>
      </c>
    </row>
    <row r="436" spans="1:12" x14ac:dyDescent="0.3">
      <c r="A436" s="2">
        <v>401015</v>
      </c>
      <c r="B436" s="2" t="s">
        <v>229</v>
      </c>
      <c r="C436" s="2" t="s">
        <v>250</v>
      </c>
      <c r="D436" s="2" t="s">
        <v>251</v>
      </c>
      <c r="E436" s="2">
        <v>203</v>
      </c>
      <c r="F436" s="17">
        <v>3931.25</v>
      </c>
      <c r="G436" s="17">
        <v>798043.75</v>
      </c>
      <c r="H436" s="1">
        <f t="shared" ca="1" si="13"/>
        <v>46207</v>
      </c>
      <c r="I436" s="5">
        <f>IFERROR(VLOOKUP(A436,'[2]Consumo SEMANAL PV '!$B:$DJ,113,0),0)</f>
        <v>6.583333333333333</v>
      </c>
      <c r="J436" s="2" t="str">
        <f>IFERROR(VLOOKUP(A436,Hoja4!A:C,3,0),"")</f>
        <v>Film</v>
      </c>
      <c r="K436" s="9">
        <f t="shared" si="14"/>
        <v>30.835443037974684</v>
      </c>
      <c r="L436" s="6">
        <f>IFERROR(VLOOKUP(A436,'[2]Consumo SEMANAL PV '!$B:$DQ,120,0),0)</f>
        <v>3.2916666666666661</v>
      </c>
    </row>
    <row r="437" spans="1:12" x14ac:dyDescent="0.3">
      <c r="A437" s="2">
        <v>401014</v>
      </c>
      <c r="B437" s="2" t="s">
        <v>230</v>
      </c>
      <c r="C437" s="2" t="s">
        <v>250</v>
      </c>
      <c r="D437" s="2" t="s">
        <v>251</v>
      </c>
      <c r="E437" s="2">
        <v>133</v>
      </c>
      <c r="F437" s="17">
        <v>3841.97</v>
      </c>
      <c r="G437" s="17">
        <v>510982.01</v>
      </c>
      <c r="H437" s="1">
        <f t="shared" ca="1" si="13"/>
        <v>46207</v>
      </c>
      <c r="I437" s="5">
        <f>IFERROR(VLOOKUP(A437,'[2]Consumo SEMANAL PV '!$B:$DJ,113,0),0)</f>
        <v>8.1111111111111107</v>
      </c>
      <c r="J437" s="2" t="str">
        <f>IFERROR(VLOOKUP(A437,Hoja4!A:C,3,0),"")</f>
        <v>Film</v>
      </c>
      <c r="K437" s="9">
        <f t="shared" si="14"/>
        <v>16.397260273972602</v>
      </c>
      <c r="L437" s="6">
        <f>IFERROR(VLOOKUP(A437,'[2]Consumo SEMANAL PV '!$B:$DQ,120,0),0)</f>
        <v>4.0555555555555554</v>
      </c>
    </row>
    <row r="438" spans="1:12" x14ac:dyDescent="0.3">
      <c r="A438" s="2">
        <v>401013</v>
      </c>
      <c r="B438" s="2" t="s">
        <v>231</v>
      </c>
      <c r="C438" s="2" t="s">
        <v>250</v>
      </c>
      <c r="D438" s="2" t="s">
        <v>251</v>
      </c>
      <c r="E438" s="2">
        <v>83</v>
      </c>
      <c r="F438" s="17">
        <v>3959.49</v>
      </c>
      <c r="G438" s="17">
        <v>328637.67</v>
      </c>
      <c r="H438" s="1">
        <f t="shared" ca="1" si="13"/>
        <v>46207</v>
      </c>
      <c r="I438" s="5">
        <f>IFERROR(VLOOKUP(A438,'[2]Consumo SEMANAL PV '!$B:$DJ,113,0),0)</f>
        <v>15.565217391304348</v>
      </c>
      <c r="J438" s="2" t="str">
        <f>IFERROR(VLOOKUP(A438,Hoja4!A:C,3,0),"")</f>
        <v>Film</v>
      </c>
      <c r="K438" s="9">
        <f t="shared" si="14"/>
        <v>5.3324022346368718</v>
      </c>
      <c r="L438" s="6">
        <f>IFERROR(VLOOKUP(A438,'[2]Consumo SEMANAL PV '!$B:$DQ,120,0),0)</f>
        <v>7.7826086956521738</v>
      </c>
    </row>
    <row r="439" spans="1:12" x14ac:dyDescent="0.3">
      <c r="A439" s="2">
        <v>401010</v>
      </c>
      <c r="B439" s="2" t="s">
        <v>232</v>
      </c>
      <c r="C439" s="2" t="s">
        <v>250</v>
      </c>
      <c r="D439" s="2" t="s">
        <v>251</v>
      </c>
      <c r="E439" s="2">
        <v>224</v>
      </c>
      <c r="F439" s="17">
        <v>3955.21</v>
      </c>
      <c r="G439" s="17">
        <v>885967.04</v>
      </c>
      <c r="H439" s="1">
        <f t="shared" ca="1" si="13"/>
        <v>46207</v>
      </c>
      <c r="I439" s="5">
        <f>IFERROR(VLOOKUP(A439,'[2]Consumo SEMANAL PV '!$B:$DJ,113,0),0)</f>
        <v>13.285714285714286</v>
      </c>
      <c r="J439" s="2" t="str">
        <f>IFERROR(VLOOKUP(A439,Hoja4!A:C,3,0),"")</f>
        <v>Film</v>
      </c>
      <c r="K439" s="9">
        <f t="shared" si="14"/>
        <v>16.86021505376344</v>
      </c>
      <c r="L439" s="6">
        <f>IFERROR(VLOOKUP(A439,'[2]Consumo SEMANAL PV '!$B:$DQ,120,0),0)</f>
        <v>6.6428571428571432</v>
      </c>
    </row>
    <row r="440" spans="1:12" x14ac:dyDescent="0.3">
      <c r="A440" s="2">
        <v>401011</v>
      </c>
      <c r="B440" s="2" t="s">
        <v>233</v>
      </c>
      <c r="C440" s="2" t="s">
        <v>250</v>
      </c>
      <c r="D440" s="2" t="s">
        <v>251</v>
      </c>
      <c r="E440" s="2">
        <v>60</v>
      </c>
      <c r="F440" s="17">
        <v>3960</v>
      </c>
      <c r="G440" s="17">
        <v>237600</v>
      </c>
      <c r="H440" s="1">
        <f t="shared" ca="1" si="13"/>
        <v>46207</v>
      </c>
      <c r="I440" s="5">
        <f>IFERROR(VLOOKUP(A440,'[2]Consumo SEMANAL PV '!$B:$DJ,113,0),0)</f>
        <v>2.3333333333333335</v>
      </c>
      <c r="J440" s="2" t="str">
        <f>IFERROR(VLOOKUP(A440,Hoja4!A:C,3,0),"")</f>
        <v>Film</v>
      </c>
      <c r="K440" s="9">
        <f t="shared" si="14"/>
        <v>25.714285714285712</v>
      </c>
      <c r="L440" s="6">
        <f>IFERROR(VLOOKUP(A440,'[2]Consumo SEMANAL PV '!$B:$DQ,120,0),0)</f>
        <v>1.1666666666666667</v>
      </c>
    </row>
    <row r="441" spans="1:12" x14ac:dyDescent="0.3">
      <c r="A441" s="2">
        <v>405335</v>
      </c>
      <c r="B441" s="2" t="s">
        <v>355</v>
      </c>
      <c r="C441" s="2" t="s">
        <v>250</v>
      </c>
      <c r="D441" s="2" t="s">
        <v>251</v>
      </c>
      <c r="E441" s="2">
        <v>720</v>
      </c>
      <c r="F441" s="17">
        <v>2320</v>
      </c>
      <c r="G441" s="17">
        <v>1670400</v>
      </c>
      <c r="H441" s="1">
        <f t="shared" ca="1" si="13"/>
        <v>46207</v>
      </c>
      <c r="I441" s="5">
        <f>IFERROR(VLOOKUP(A441,'[2]Consumo SEMANAL PV '!$B:$DJ,113,0),0)</f>
        <v>0</v>
      </c>
      <c r="J441" s="2" t="str">
        <f>IFERROR(VLOOKUP(A441,Hoja4!A:C,3,0),"")</f>
        <v>Film</v>
      </c>
      <c r="K441" s="9">
        <f t="shared" si="14"/>
        <v>0</v>
      </c>
      <c r="L441" s="6">
        <f>IFERROR(VLOOKUP(A441,'[2]Consumo SEMANAL PV '!$B:$DQ,120,0),0)</f>
        <v>0</v>
      </c>
    </row>
    <row r="442" spans="1:12" x14ac:dyDescent="0.3">
      <c r="A442" s="2">
        <v>401019</v>
      </c>
      <c r="B442" s="2" t="s">
        <v>234</v>
      </c>
      <c r="C442" s="2" t="s">
        <v>250</v>
      </c>
      <c r="D442" s="2" t="s">
        <v>251</v>
      </c>
      <c r="E442" s="2">
        <v>104</v>
      </c>
      <c r="F442" s="17">
        <v>3840</v>
      </c>
      <c r="G442" s="17">
        <v>399360</v>
      </c>
      <c r="H442" s="1">
        <f t="shared" ca="1" si="13"/>
        <v>46207</v>
      </c>
      <c r="I442" s="5">
        <f>IFERROR(VLOOKUP(A442,'[2]Consumo SEMANAL PV '!$B:$DJ,113,0),0)</f>
        <v>11.428571428571429</v>
      </c>
      <c r="J442" s="2" t="str">
        <f>IFERROR(VLOOKUP(A442,Hoja4!A:C,3,0),"")</f>
        <v>Film</v>
      </c>
      <c r="K442" s="9">
        <f t="shared" si="14"/>
        <v>9.1</v>
      </c>
      <c r="L442" s="6">
        <f>IFERROR(VLOOKUP(A442,'[2]Consumo SEMANAL PV '!$B:$DQ,120,0),0)</f>
        <v>5.7142857142857144</v>
      </c>
    </row>
    <row r="443" spans="1:12" x14ac:dyDescent="0.3">
      <c r="A443" s="2">
        <v>401012</v>
      </c>
      <c r="B443" s="2" t="s">
        <v>235</v>
      </c>
      <c r="C443" s="2" t="s">
        <v>250</v>
      </c>
      <c r="D443" s="2" t="s">
        <v>251</v>
      </c>
      <c r="E443" s="2">
        <v>184</v>
      </c>
      <c r="F443" s="17">
        <v>3934.14</v>
      </c>
      <c r="G443" s="17">
        <v>723881.76</v>
      </c>
      <c r="H443" s="1">
        <f t="shared" ca="1" si="13"/>
        <v>46207</v>
      </c>
      <c r="I443" s="5">
        <f>IFERROR(VLOOKUP(A443,'[2]Consumo SEMANAL PV '!$B:$DJ,113,0),0)</f>
        <v>5.75</v>
      </c>
      <c r="J443" s="2" t="str">
        <f>IFERROR(VLOOKUP(A443,Hoja4!A:C,3,0),"")</f>
        <v>Film</v>
      </c>
      <c r="K443" s="9">
        <f t="shared" si="14"/>
        <v>32</v>
      </c>
      <c r="L443" s="6">
        <f>IFERROR(VLOOKUP(A443,'[2]Consumo SEMANAL PV '!$B:$DQ,120,0),0)</f>
        <v>2.875</v>
      </c>
    </row>
    <row r="444" spans="1:12" x14ac:dyDescent="0.3">
      <c r="A444" s="2">
        <v>393253</v>
      </c>
      <c r="B444" s="2" t="s">
        <v>356</v>
      </c>
      <c r="C444" s="2" t="s">
        <v>250</v>
      </c>
      <c r="D444" s="2" t="s">
        <v>251</v>
      </c>
      <c r="E444" s="5">
        <v>270</v>
      </c>
      <c r="F444" s="17">
        <v>141.82</v>
      </c>
      <c r="G444" s="17">
        <v>38291.4</v>
      </c>
      <c r="H444" s="1">
        <f t="shared" ca="1" si="13"/>
        <v>46207</v>
      </c>
      <c r="I444" s="5">
        <f>IFERROR(VLOOKUP(A444,'[2]Consumo SEMANAL PV '!$B:$DJ,113,0),0)</f>
        <v>5538.666666666667</v>
      </c>
      <c r="J444" s="2" t="str">
        <f>IFERROR(VLOOKUP(A444,Hoja4!A:C,3,0),"")</f>
        <v>Insumo</v>
      </c>
      <c r="K444" s="9">
        <f t="shared" si="14"/>
        <v>4.8748194511314395E-2</v>
      </c>
      <c r="L444" s="6">
        <f>IFERROR(VLOOKUP(A444,'[2]Consumo SEMANAL PV '!$B:$DQ,120,0),0)</f>
        <v>1846.2222222222224</v>
      </c>
    </row>
    <row r="445" spans="1:12" x14ac:dyDescent="0.3">
      <c r="A445" s="2">
        <v>393040</v>
      </c>
      <c r="B445" s="2" t="s">
        <v>236</v>
      </c>
      <c r="C445" s="2" t="s">
        <v>250</v>
      </c>
      <c r="D445" s="2" t="s">
        <v>251</v>
      </c>
      <c r="E445" s="5">
        <v>225</v>
      </c>
      <c r="F445" s="17">
        <v>181.29</v>
      </c>
      <c r="G445" s="17">
        <v>40790.25</v>
      </c>
      <c r="H445" s="1">
        <f t="shared" ca="1" si="13"/>
        <v>46207</v>
      </c>
      <c r="I445" s="5">
        <f>IFERROR(VLOOKUP(A445,'[2]Consumo SEMANAL PV '!$B:$DJ,113,0),0)</f>
        <v>7071.8666666666668</v>
      </c>
      <c r="J445" s="2" t="str">
        <f>IFERROR(VLOOKUP(A445,Hoja4!A:C,3,0),"")</f>
        <v>Insumo</v>
      </c>
      <c r="K445" s="9">
        <f t="shared" si="14"/>
        <v>3.1816210712871662E-2</v>
      </c>
      <c r="L445" s="6">
        <f>IFERROR(VLOOKUP(A445,'[2]Consumo SEMANAL PV '!$B:$DQ,120,0),0)</f>
        <v>2357.2888888888888</v>
      </c>
    </row>
    <row r="446" spans="1:12" x14ac:dyDescent="0.3">
      <c r="A446" s="2">
        <v>405658</v>
      </c>
      <c r="B446" s="2" t="s">
        <v>357</v>
      </c>
      <c r="C446" s="2" t="s">
        <v>250</v>
      </c>
      <c r="D446" s="2" t="s">
        <v>251</v>
      </c>
      <c r="E446" s="2">
        <v>360</v>
      </c>
      <c r="F446" s="17">
        <v>143.19</v>
      </c>
      <c r="G446" s="17">
        <v>51548.4</v>
      </c>
      <c r="H446" s="1">
        <f t="shared" ca="1" si="13"/>
        <v>46207</v>
      </c>
      <c r="I446" s="5">
        <f>IFERROR(VLOOKUP(A446,'[2]Consumo SEMANAL PV '!$B:$DJ,113,0),0)</f>
        <v>8128.4285714285716</v>
      </c>
      <c r="J446" s="2" t="str">
        <f>IFERROR(VLOOKUP(A446,Hoja4!A:C,3,0),"")</f>
        <v>Insumo</v>
      </c>
      <c r="K446" s="9">
        <f t="shared" si="14"/>
        <v>4.4289003321675249E-2</v>
      </c>
      <c r="L446" s="6">
        <f>IFERROR(VLOOKUP(A446,'[2]Consumo SEMANAL PV '!$B:$DQ,120,0),0)</f>
        <v>2709.4761904761904</v>
      </c>
    </row>
    <row r="447" spans="1:12" x14ac:dyDescent="0.3">
      <c r="A447" s="2">
        <v>107301</v>
      </c>
      <c r="B447" s="2" t="s">
        <v>548</v>
      </c>
      <c r="C447" s="2" t="s">
        <v>250</v>
      </c>
      <c r="D447" s="2" t="s">
        <v>251</v>
      </c>
      <c r="E447" s="2">
        <v>695</v>
      </c>
      <c r="F447" s="17">
        <v>3312</v>
      </c>
      <c r="G447" s="17">
        <v>2301840</v>
      </c>
      <c r="H447" s="1">
        <f t="shared" ca="1" si="13"/>
        <v>46207</v>
      </c>
      <c r="I447" s="5">
        <f>IFERROR(VLOOKUP(A447,'[2]Consumo SEMANAL PV '!$B:$DJ,113,0),0)</f>
        <v>407.61904761904759</v>
      </c>
      <c r="J447" s="2" t="str">
        <f>IFERROR(VLOOKUP(A447,Hoja4!A:C,3,0),"")</f>
        <v>Mix</v>
      </c>
      <c r="K447" s="9">
        <f t="shared" si="14"/>
        <v>1.7050233644859814</v>
      </c>
      <c r="L447" s="6">
        <f>IFERROR(VLOOKUP(A447,'[2]Consumo SEMANAL PV '!$B:$DQ,120,0),0)</f>
        <v>271.74603174603175</v>
      </c>
    </row>
    <row r="448" spans="1:12" x14ac:dyDescent="0.3">
      <c r="A448" s="2">
        <v>405311</v>
      </c>
      <c r="B448" s="2" t="s">
        <v>358</v>
      </c>
      <c r="C448" s="2" t="s">
        <v>250</v>
      </c>
      <c r="D448" s="2" t="s">
        <v>251</v>
      </c>
      <c r="E448" s="2">
        <v>5624</v>
      </c>
      <c r="F448" s="17">
        <v>104</v>
      </c>
      <c r="G448" s="17">
        <v>584896</v>
      </c>
      <c r="H448" s="1">
        <f t="shared" ca="1" si="13"/>
        <v>46207</v>
      </c>
      <c r="I448" s="5">
        <f>IFERROR(VLOOKUP(A448,'[2]Consumo SEMANAL PV '!$B:$DJ,113,0),0)</f>
        <v>2515.75</v>
      </c>
      <c r="J448" s="2" t="str">
        <f>IFERROR(VLOOKUP(A448,Hoja4!A:C,3,0),"")</f>
        <v>Chocolate</v>
      </c>
      <c r="K448" s="9">
        <f t="shared" si="14"/>
        <v>2.2355162476398687</v>
      </c>
      <c r="L448" s="6">
        <f>IFERROR(VLOOKUP(A448,'[2]Consumo SEMANAL PV '!$B:$DQ,120,0),0)</f>
        <v>2515.75</v>
      </c>
    </row>
    <row r="449" spans="1:12" x14ac:dyDescent="0.3">
      <c r="A449" s="2">
        <v>405134</v>
      </c>
      <c r="B449" s="2" t="s">
        <v>239</v>
      </c>
      <c r="C449" s="2" t="s">
        <v>250</v>
      </c>
      <c r="D449" s="2" t="s">
        <v>251</v>
      </c>
      <c r="E449" s="2">
        <v>17200</v>
      </c>
      <c r="F449" s="17">
        <v>36</v>
      </c>
      <c r="G449" s="17">
        <v>619200</v>
      </c>
      <c r="H449" s="1">
        <f t="shared" ca="1" si="13"/>
        <v>46207</v>
      </c>
      <c r="I449" s="5">
        <f>IFERROR(VLOOKUP(A449,'[2]Consumo SEMANAL PV '!$B:$DJ,113,0),0)</f>
        <v>11624</v>
      </c>
      <c r="J449" s="2" t="str">
        <f>IFERROR(VLOOKUP(A449,Hoja4!A:C,3,0),"")</f>
        <v>Chocolate</v>
      </c>
      <c r="K449" s="9">
        <f t="shared" si="14"/>
        <v>1.4796971782518926</v>
      </c>
      <c r="L449" s="6">
        <f>IFERROR(VLOOKUP(A449,'[2]Consumo SEMANAL PV '!$B:$DQ,120,0),0)</f>
        <v>11624</v>
      </c>
    </row>
    <row r="450" spans="1:12" x14ac:dyDescent="0.3">
      <c r="A450" s="2">
        <v>107102</v>
      </c>
      <c r="B450" s="2" t="s">
        <v>241</v>
      </c>
      <c r="C450" s="2" t="s">
        <v>250</v>
      </c>
      <c r="D450" s="2" t="s">
        <v>251</v>
      </c>
      <c r="E450" s="2">
        <v>504</v>
      </c>
      <c r="F450" s="17">
        <v>3122.85</v>
      </c>
      <c r="G450" s="17">
        <v>1573916.4</v>
      </c>
      <c r="H450" s="1">
        <f t="shared" ca="1" si="13"/>
        <v>46207</v>
      </c>
      <c r="I450" s="5">
        <f>IFERROR(VLOOKUP(A450,'[2]Consumo SEMANAL PV '!$B:$DJ,113,0),0)</f>
        <v>153.4</v>
      </c>
      <c r="J450" s="2" t="str">
        <f>IFERROR(VLOOKUP(A450,Hoja4!A:C,3,0),"")</f>
        <v>Fruta Conserva</v>
      </c>
      <c r="K450" s="9">
        <f t="shared" si="14"/>
        <v>3.2855280312907431</v>
      </c>
      <c r="L450" s="6">
        <f>IFERROR(VLOOKUP(A450,'[2]Consumo SEMANAL PV '!$B:$DQ,120,0),0)</f>
        <v>102.26666666666667</v>
      </c>
    </row>
    <row r="451" spans="1:12" x14ac:dyDescent="0.3">
      <c r="A451" s="2">
        <v>405533</v>
      </c>
      <c r="B451" s="2" t="s">
        <v>242</v>
      </c>
      <c r="C451" s="2" t="s">
        <v>250</v>
      </c>
      <c r="D451" s="2" t="s">
        <v>251</v>
      </c>
      <c r="E451" s="2">
        <v>1171</v>
      </c>
      <c r="F451" s="17">
        <v>2266</v>
      </c>
      <c r="G451" s="17">
        <v>2653486</v>
      </c>
      <c r="H451" s="1">
        <f t="shared" ref="H451:H514" ca="1" si="15">TODAY()</f>
        <v>46207</v>
      </c>
      <c r="I451" s="5">
        <f>IFERROR(VLOOKUP(A451,'[2]Consumo SEMANAL PV '!$B:$DJ,113,0),0)</f>
        <v>310.375</v>
      </c>
      <c r="J451" s="2" t="str">
        <f>IFERROR(VLOOKUP(A451,Hoja4!A:C,3,0),"")</f>
        <v>cremas</v>
      </c>
      <c r="K451" s="9">
        <f t="shared" ref="K451:K452" si="16">IFERROR(+E451/I451,0)</f>
        <v>3.7728554168344743</v>
      </c>
      <c r="L451" s="6">
        <f>IFERROR(VLOOKUP(A451,'[2]Consumo SEMANAL PV '!$B:$DQ,120,0),0)</f>
        <v>155.1875</v>
      </c>
    </row>
    <row r="452" spans="1:12" x14ac:dyDescent="0.3">
      <c r="A452" s="2">
        <v>107164</v>
      </c>
      <c r="B452" s="2" t="s">
        <v>243</v>
      </c>
      <c r="C452" s="2" t="s">
        <v>250</v>
      </c>
      <c r="D452" s="2" t="s">
        <v>251</v>
      </c>
      <c r="E452" s="5">
        <v>394</v>
      </c>
      <c r="F452" s="17">
        <v>1129</v>
      </c>
      <c r="G452" s="17">
        <v>444826</v>
      </c>
      <c r="H452" s="1">
        <f t="shared" ca="1" si="15"/>
        <v>46207</v>
      </c>
      <c r="I452" s="5">
        <f>IFERROR(VLOOKUP(A452,'[2]Consumo SEMANAL PV '!$B:$DJ,113,0),0)</f>
        <v>313.95833333333331</v>
      </c>
      <c r="J452" s="2" t="str">
        <f>IFERROR(VLOOKUP(A452,Hoja4!A:C,3,0),"")</f>
        <v>Yogurt</v>
      </c>
      <c r="K452" s="9">
        <f t="shared" si="16"/>
        <v>1.254943596549436</v>
      </c>
      <c r="L452" s="6">
        <f>IFERROR(VLOOKUP(A452,'[2]Consumo SEMANAL PV '!$B:$DQ,120,0),0)</f>
        <v>104.65277777777777</v>
      </c>
    </row>
    <row r="453" spans="1:12" x14ac:dyDescent="0.3">
      <c r="A453" s="2">
        <v>405445</v>
      </c>
      <c r="B453" s="2" t="s">
        <v>6</v>
      </c>
      <c r="C453" s="2" t="s">
        <v>396</v>
      </c>
      <c r="D453" s="2" t="s">
        <v>397</v>
      </c>
      <c r="E453" s="5">
        <v>98</v>
      </c>
      <c r="F453" s="17">
        <v>93.6</v>
      </c>
      <c r="G453" s="17">
        <v>9172.7999999999993</v>
      </c>
      <c r="H453" s="1">
        <f t="shared" ca="1" si="15"/>
        <v>46207</v>
      </c>
      <c r="J453" s="2" t="str">
        <f>IFERROR(VLOOKUP(A453,Hoja4!A:C,3,0),"")</f>
        <v>Cupula</v>
      </c>
      <c r="K453" s="9">
        <v>7</v>
      </c>
    </row>
    <row r="454" spans="1:12" x14ac:dyDescent="0.3">
      <c r="A454" s="2">
        <v>400104</v>
      </c>
      <c r="B454" s="2" t="s">
        <v>398</v>
      </c>
      <c r="C454" s="2" t="s">
        <v>396</v>
      </c>
      <c r="D454" s="2" t="s">
        <v>397</v>
      </c>
      <c r="E454" s="2">
        <v>77936</v>
      </c>
      <c r="F454" s="17">
        <v>26.75</v>
      </c>
      <c r="G454" s="17">
        <v>2084788</v>
      </c>
      <c r="H454" s="1">
        <f t="shared" ca="1" si="15"/>
        <v>46207</v>
      </c>
      <c r="J454" s="2" t="str">
        <f>IFERROR(VLOOKUP(A454,Hoja4!A:C,3,0),"")</f>
        <v>Bolsas</v>
      </c>
      <c r="K454" s="9">
        <v>7</v>
      </c>
    </row>
    <row r="455" spans="1:12" x14ac:dyDescent="0.3">
      <c r="A455" s="2">
        <v>400202</v>
      </c>
      <c r="B455" s="2" t="s">
        <v>255</v>
      </c>
      <c r="C455" s="2" t="s">
        <v>396</v>
      </c>
      <c r="D455" s="2" t="s">
        <v>397</v>
      </c>
      <c r="E455" s="2">
        <v>118.87</v>
      </c>
      <c r="F455" s="17">
        <v>2741.43</v>
      </c>
      <c r="G455" s="17">
        <v>325873.78409999999</v>
      </c>
      <c r="H455" s="1">
        <f t="shared" ca="1" si="15"/>
        <v>46207</v>
      </c>
      <c r="J455" s="2" t="str">
        <f>IFERROR(VLOOKUP(A455,Hoja4!A:C,3,0),"")</f>
        <v>Bolsas</v>
      </c>
      <c r="K455" s="9">
        <v>7</v>
      </c>
    </row>
    <row r="456" spans="1:12" x14ac:dyDescent="0.3">
      <c r="A456" s="2">
        <v>400203</v>
      </c>
      <c r="B456" s="2" t="s">
        <v>11</v>
      </c>
      <c r="C456" s="2" t="s">
        <v>396</v>
      </c>
      <c r="D456" s="2" t="s">
        <v>397</v>
      </c>
      <c r="E456" s="2">
        <v>529.28868</v>
      </c>
      <c r="F456" s="17">
        <v>2733.09</v>
      </c>
      <c r="G456" s="17">
        <v>1446593.5984</v>
      </c>
      <c r="H456" s="1">
        <f t="shared" ca="1" si="15"/>
        <v>46207</v>
      </c>
      <c r="J456" s="2" t="str">
        <f>IFERROR(VLOOKUP(A456,Hoja4!A:C,3,0),"")</f>
        <v>Bolsas</v>
      </c>
      <c r="K456" s="9">
        <v>7</v>
      </c>
    </row>
    <row r="457" spans="1:12" x14ac:dyDescent="0.3">
      <c r="A457" s="2">
        <v>107366</v>
      </c>
      <c r="B457" s="2" t="s">
        <v>17</v>
      </c>
      <c r="C457" s="2" t="s">
        <v>396</v>
      </c>
      <c r="D457" s="2" t="s">
        <v>397</v>
      </c>
      <c r="E457" s="5">
        <v>108</v>
      </c>
      <c r="F457" s="17">
        <v>721.97</v>
      </c>
      <c r="G457" s="17">
        <v>77972.759999999995</v>
      </c>
      <c r="H457" s="1">
        <f t="shared" ca="1" si="15"/>
        <v>46207</v>
      </c>
      <c r="J457" s="2" t="str">
        <f>IFERROR(VLOOKUP(A457,Hoja4!A:C,3,0),"")</f>
        <v>Caja</v>
      </c>
      <c r="K457" s="9">
        <v>7</v>
      </c>
      <c r="L457" s="2"/>
    </row>
    <row r="458" spans="1:12" x14ac:dyDescent="0.3">
      <c r="A458" s="2">
        <v>107365</v>
      </c>
      <c r="B458" s="2" t="s">
        <v>257</v>
      </c>
      <c r="C458" s="2" t="s">
        <v>396</v>
      </c>
      <c r="D458" s="2" t="s">
        <v>397</v>
      </c>
      <c r="E458" s="5">
        <v>134</v>
      </c>
      <c r="F458" s="17">
        <v>493</v>
      </c>
      <c r="G458" s="17">
        <v>66062</v>
      </c>
      <c r="H458" s="1">
        <f t="shared" ca="1" si="15"/>
        <v>46207</v>
      </c>
      <c r="J458" s="2" t="str">
        <f>IFERROR(VLOOKUP(A458,Hoja4!A:C,3,0),"")</f>
        <v>Caja</v>
      </c>
      <c r="K458" s="9">
        <v>7</v>
      </c>
      <c r="L458" s="2"/>
    </row>
    <row r="459" spans="1:12" x14ac:dyDescent="0.3">
      <c r="A459" s="2">
        <v>405790</v>
      </c>
      <c r="B459" s="2" t="s">
        <v>820</v>
      </c>
      <c r="C459" s="2" t="s">
        <v>396</v>
      </c>
      <c r="D459" s="2" t="s">
        <v>397</v>
      </c>
      <c r="E459" s="2">
        <v>291</v>
      </c>
      <c r="F459" s="17">
        <v>562.6</v>
      </c>
      <c r="G459" s="17">
        <v>163716.6</v>
      </c>
      <c r="H459" s="1">
        <f t="shared" ca="1" si="15"/>
        <v>46207</v>
      </c>
      <c r="J459" s="2" t="str">
        <f>IFERROR(VLOOKUP(A459,Hoja4!A:C,3,0),"")</f>
        <v>Carton</v>
      </c>
      <c r="K459" s="9">
        <v>7</v>
      </c>
      <c r="L459" s="2"/>
    </row>
    <row r="460" spans="1:12" x14ac:dyDescent="0.3">
      <c r="A460" s="2">
        <v>405791</v>
      </c>
      <c r="B460" s="2" t="s">
        <v>824</v>
      </c>
      <c r="C460" s="2" t="s">
        <v>396</v>
      </c>
      <c r="D460" s="2" t="s">
        <v>397</v>
      </c>
      <c r="E460" s="2">
        <v>26</v>
      </c>
      <c r="F460" s="17">
        <v>562.62</v>
      </c>
      <c r="G460" s="17">
        <v>14628.12</v>
      </c>
      <c r="H460" s="1">
        <f t="shared" ca="1" si="15"/>
        <v>46207</v>
      </c>
      <c r="J460" s="2" t="str">
        <f>IFERROR(VLOOKUP(A460,Hoja4!A:C,3,0),"")</f>
        <v>Carton</v>
      </c>
      <c r="K460" s="9">
        <v>7</v>
      </c>
      <c r="L460" s="2"/>
    </row>
    <row r="461" spans="1:12" x14ac:dyDescent="0.3">
      <c r="A461" s="2">
        <v>403393</v>
      </c>
      <c r="B461" s="2" t="s">
        <v>259</v>
      </c>
      <c r="C461" s="2" t="s">
        <v>396</v>
      </c>
      <c r="D461" s="2" t="s">
        <v>397</v>
      </c>
      <c r="E461" s="2">
        <v>61</v>
      </c>
      <c r="F461" s="17">
        <v>555</v>
      </c>
      <c r="G461" s="17">
        <v>33855</v>
      </c>
      <c r="H461" s="1">
        <f t="shared" ca="1" si="15"/>
        <v>46207</v>
      </c>
      <c r="J461" s="2" t="str">
        <f>IFERROR(VLOOKUP(A461,Hoja4!A:C,3,0),"")</f>
        <v>Caja</v>
      </c>
      <c r="K461" s="9">
        <v>7</v>
      </c>
      <c r="L461" s="2"/>
    </row>
    <row r="462" spans="1:12" x14ac:dyDescent="0.3">
      <c r="A462" s="2">
        <v>402255</v>
      </c>
      <c r="B462" s="2" t="s">
        <v>26</v>
      </c>
      <c r="C462" s="2" t="s">
        <v>396</v>
      </c>
      <c r="D462" s="2" t="s">
        <v>397</v>
      </c>
      <c r="E462" s="2">
        <v>67.47</v>
      </c>
      <c r="F462" s="17">
        <v>1290.01</v>
      </c>
      <c r="G462" s="17">
        <v>87036.974700000006</v>
      </c>
      <c r="H462" s="1">
        <f t="shared" ca="1" si="15"/>
        <v>46207</v>
      </c>
      <c r="J462" s="2" t="str">
        <f>IFERROR(VLOOKUP(A462,Hoja4!A:C,3,0),"")</f>
        <v>Empaque</v>
      </c>
      <c r="K462" s="9">
        <v>7</v>
      </c>
      <c r="L462" s="2"/>
    </row>
    <row r="463" spans="1:12" x14ac:dyDescent="0.3">
      <c r="A463" s="2">
        <v>404309</v>
      </c>
      <c r="B463" s="2" t="s">
        <v>27</v>
      </c>
      <c r="C463" s="2" t="s">
        <v>396</v>
      </c>
      <c r="D463" s="2" t="s">
        <v>397</v>
      </c>
      <c r="E463" s="2">
        <v>180.83</v>
      </c>
      <c r="F463" s="17">
        <v>8884.92</v>
      </c>
      <c r="G463" s="17">
        <v>1606660.0836</v>
      </c>
      <c r="H463" s="1">
        <f t="shared" ca="1" si="15"/>
        <v>46207</v>
      </c>
      <c r="J463" s="2" t="str">
        <f>IFERROR(VLOOKUP(A463,Hoja4!A:C,3,0),"")</f>
        <v>Chocolate</v>
      </c>
      <c r="K463" s="9">
        <v>7</v>
      </c>
      <c r="L463" s="2"/>
    </row>
    <row r="464" spans="1:12" x14ac:dyDescent="0.3">
      <c r="A464" s="2">
        <v>107098</v>
      </c>
      <c r="B464" s="2" t="s">
        <v>45</v>
      </c>
      <c r="C464" s="2" t="s">
        <v>396</v>
      </c>
      <c r="D464" s="2" t="s">
        <v>397</v>
      </c>
      <c r="E464" s="2">
        <v>23.67</v>
      </c>
      <c r="F464" s="17">
        <v>3199.79</v>
      </c>
      <c r="G464" s="17">
        <v>75739.029299999995</v>
      </c>
      <c r="H464" s="1">
        <f t="shared" ca="1" si="15"/>
        <v>46207</v>
      </c>
      <c r="J464" s="2" t="str">
        <f>IFERROR(VLOOKUP(A464,Hoja4!A:C,3,0),"")</f>
        <v>Cremas</v>
      </c>
      <c r="K464" s="9">
        <v>7</v>
      </c>
      <c r="L464" s="2"/>
    </row>
    <row r="465" spans="1:12" x14ac:dyDescent="0.3">
      <c r="A465" s="2">
        <v>405444</v>
      </c>
      <c r="B465" s="2" t="s">
        <v>55</v>
      </c>
      <c r="C465" s="2" t="s">
        <v>396</v>
      </c>
      <c r="D465" s="2" t="s">
        <v>397</v>
      </c>
      <c r="E465" s="2">
        <v>580</v>
      </c>
      <c r="F465" s="17">
        <v>252</v>
      </c>
      <c r="G465" s="17">
        <v>146160</v>
      </c>
      <c r="H465" s="1">
        <f t="shared" ca="1" si="15"/>
        <v>46207</v>
      </c>
      <c r="J465" s="2" t="str">
        <f>IFERROR(VLOOKUP(A465,Hoja4!A:C,3,0),"")</f>
        <v>Cupula</v>
      </c>
      <c r="K465" s="9">
        <v>7</v>
      </c>
      <c r="L465" s="2"/>
    </row>
    <row r="466" spans="1:12" x14ac:dyDescent="0.3">
      <c r="A466" s="2">
        <v>405278</v>
      </c>
      <c r="B466" s="2" t="s">
        <v>56</v>
      </c>
      <c r="C466" s="2" t="s">
        <v>396</v>
      </c>
      <c r="D466" s="2" t="s">
        <v>397</v>
      </c>
      <c r="E466" s="2">
        <v>423</v>
      </c>
      <c r="F466" s="17">
        <v>244.66</v>
      </c>
      <c r="G466" s="17">
        <v>103491.18</v>
      </c>
      <c r="H466" s="1">
        <f t="shared" ca="1" si="15"/>
        <v>46207</v>
      </c>
      <c r="J466" s="2" t="str">
        <f>IFERROR(VLOOKUP(A466,Hoja4!A:C,3,0),"")</f>
        <v>Cupula</v>
      </c>
      <c r="K466" s="9">
        <v>7</v>
      </c>
      <c r="L466" s="2"/>
    </row>
    <row r="467" spans="1:12" x14ac:dyDescent="0.3">
      <c r="A467" s="2">
        <v>405375</v>
      </c>
      <c r="B467" s="2" t="s">
        <v>608</v>
      </c>
      <c r="C467" s="2" t="s">
        <v>396</v>
      </c>
      <c r="D467" s="2" t="s">
        <v>397</v>
      </c>
      <c r="E467" s="2">
        <v>994</v>
      </c>
      <c r="F467" s="17">
        <v>240</v>
      </c>
      <c r="G467" s="17">
        <v>238560</v>
      </c>
      <c r="H467" s="1">
        <f t="shared" ca="1" si="15"/>
        <v>46207</v>
      </c>
      <c r="J467" s="2" t="str">
        <f>IFERROR(VLOOKUP(A467,Hoja4!A:C,3,0),"")</f>
        <v>Cupula</v>
      </c>
      <c r="K467" s="9">
        <v>7</v>
      </c>
      <c r="L467" s="2"/>
    </row>
    <row r="468" spans="1:12" x14ac:dyDescent="0.3">
      <c r="A468" s="2">
        <v>107344</v>
      </c>
      <c r="B468" s="2" t="s">
        <v>57</v>
      </c>
      <c r="C468" s="2" t="s">
        <v>396</v>
      </c>
      <c r="D468" s="2" t="s">
        <v>397</v>
      </c>
      <c r="E468" s="2">
        <v>2240</v>
      </c>
      <c r="F468" s="17">
        <v>239.97</v>
      </c>
      <c r="G468" s="17">
        <v>537532.80000000005</v>
      </c>
      <c r="H468" s="1">
        <f t="shared" ca="1" si="15"/>
        <v>46207</v>
      </c>
      <c r="J468" s="2" t="str">
        <f>IFERROR(VLOOKUP(A468,Hoja4!A:C,3,0),"")</f>
        <v>Cupula</v>
      </c>
      <c r="K468" s="9">
        <v>7</v>
      </c>
      <c r="L468" s="2"/>
    </row>
    <row r="469" spans="1:12" x14ac:dyDescent="0.3">
      <c r="A469" s="2">
        <v>107127</v>
      </c>
      <c r="B469" s="2" t="s">
        <v>59</v>
      </c>
      <c r="C469" s="2" t="s">
        <v>396</v>
      </c>
      <c r="D469" s="2" t="s">
        <v>397</v>
      </c>
      <c r="E469" s="2">
        <v>51.46</v>
      </c>
      <c r="F469" s="17">
        <v>6266.15</v>
      </c>
      <c r="G469" s="17">
        <v>322456.07900000003</v>
      </c>
      <c r="H469" s="1">
        <f t="shared" ca="1" si="15"/>
        <v>46207</v>
      </c>
      <c r="J469" s="2" t="str">
        <f>IFERROR(VLOOKUP(A469,Hoja4!A:C,3,0),"")</f>
        <v>Chocolate</v>
      </c>
      <c r="K469" s="9">
        <v>7</v>
      </c>
      <c r="L469" s="2"/>
    </row>
    <row r="470" spans="1:12" x14ac:dyDescent="0.3">
      <c r="A470" s="2">
        <v>107108</v>
      </c>
      <c r="B470" s="2" t="s">
        <v>60</v>
      </c>
      <c r="C470" s="2" t="s">
        <v>396</v>
      </c>
      <c r="D470" s="2" t="s">
        <v>397</v>
      </c>
      <c r="E470" s="5">
        <v>93.02</v>
      </c>
      <c r="F470" s="17">
        <v>4199.9799999999996</v>
      </c>
      <c r="G470" s="17">
        <v>390682.13959999999</v>
      </c>
      <c r="H470" s="1">
        <f t="shared" ca="1" si="15"/>
        <v>46207</v>
      </c>
      <c r="J470" s="2" t="str">
        <f>IFERROR(VLOOKUP(A470,Hoja4!A:C,3,0),"")</f>
        <v>Chocolate</v>
      </c>
      <c r="K470" s="9">
        <v>7</v>
      </c>
      <c r="L470" s="2"/>
    </row>
    <row r="471" spans="1:12" x14ac:dyDescent="0.3">
      <c r="A471" s="2">
        <v>405740</v>
      </c>
      <c r="B471" s="2" t="s">
        <v>61</v>
      </c>
      <c r="C471" s="2" t="s">
        <v>396</v>
      </c>
      <c r="D471" s="2" t="s">
        <v>397</v>
      </c>
      <c r="E471" s="5">
        <v>14867</v>
      </c>
      <c r="F471" s="17">
        <v>24.9</v>
      </c>
      <c r="G471" s="17">
        <v>370188.3</v>
      </c>
      <c r="H471" s="1">
        <f t="shared" ca="1" si="15"/>
        <v>46207</v>
      </c>
      <c r="J471" s="2" t="s">
        <v>378</v>
      </c>
      <c r="K471" s="9">
        <v>7</v>
      </c>
      <c r="L471" s="2"/>
    </row>
    <row r="472" spans="1:12" x14ac:dyDescent="0.3">
      <c r="A472" s="2">
        <v>403103</v>
      </c>
      <c r="B472" s="2" t="s">
        <v>399</v>
      </c>
      <c r="C472" s="2" t="s">
        <v>396</v>
      </c>
      <c r="D472" s="2" t="s">
        <v>397</v>
      </c>
      <c r="E472" s="5">
        <v>11848</v>
      </c>
      <c r="F472" s="17">
        <v>26.9</v>
      </c>
      <c r="G472" s="17">
        <v>318711.2</v>
      </c>
      <c r="H472" s="1">
        <f t="shared" ca="1" si="15"/>
        <v>46207</v>
      </c>
      <c r="J472" s="2" t="str">
        <f>IFERROR(VLOOKUP(A472,Hoja4!A:C,3,0),"")</f>
        <v>Carton</v>
      </c>
      <c r="K472" s="9">
        <v>7</v>
      </c>
      <c r="L472" s="2"/>
    </row>
    <row r="473" spans="1:12" x14ac:dyDescent="0.3">
      <c r="A473" s="2">
        <v>107187</v>
      </c>
      <c r="B473" s="2" t="s">
        <v>400</v>
      </c>
      <c r="C473" s="2" t="s">
        <v>396</v>
      </c>
      <c r="D473" s="2" t="s">
        <v>397</v>
      </c>
      <c r="E473" s="2">
        <v>56</v>
      </c>
      <c r="F473" s="17">
        <v>14.61</v>
      </c>
      <c r="G473" s="17">
        <v>818.16</v>
      </c>
      <c r="H473" s="1">
        <f t="shared" ca="1" si="15"/>
        <v>46207</v>
      </c>
      <c r="J473" s="2" t="str">
        <f>IFERROR(VLOOKUP(A473,Hoja4!A:C,3,0),"")</f>
        <v>Carton</v>
      </c>
      <c r="K473" s="9">
        <v>7</v>
      </c>
      <c r="L473" s="2"/>
    </row>
    <row r="474" spans="1:12" x14ac:dyDescent="0.3">
      <c r="A474" s="2">
        <v>405587</v>
      </c>
      <c r="B474" s="2" t="s">
        <v>66</v>
      </c>
      <c r="C474" s="2" t="s">
        <v>396</v>
      </c>
      <c r="D474" s="2" t="s">
        <v>397</v>
      </c>
      <c r="E474" s="2">
        <v>175608</v>
      </c>
      <c r="F474" s="17">
        <v>10.24</v>
      </c>
      <c r="G474" s="17">
        <v>1798225.9199999999</v>
      </c>
      <c r="H474" s="1">
        <f t="shared" ca="1" si="15"/>
        <v>46207</v>
      </c>
      <c r="J474" s="2" t="str">
        <f>IFERROR(VLOOKUP(A474,Hoja4!A:C,3,0),"")</f>
        <v>Carton</v>
      </c>
      <c r="K474" s="9">
        <v>7</v>
      </c>
      <c r="L474" s="2"/>
    </row>
    <row r="475" spans="1:12" x14ac:dyDescent="0.3">
      <c r="A475" s="2">
        <v>405812</v>
      </c>
      <c r="B475" s="2" t="s">
        <v>840</v>
      </c>
      <c r="C475" s="2" t="s">
        <v>396</v>
      </c>
      <c r="D475" s="2" t="s">
        <v>397</v>
      </c>
      <c r="E475" s="2">
        <v>10000</v>
      </c>
      <c r="F475" s="17">
        <v>15</v>
      </c>
      <c r="G475" s="17">
        <v>150000</v>
      </c>
      <c r="H475" s="1">
        <f t="shared" ca="1" si="15"/>
        <v>46207</v>
      </c>
      <c r="J475" s="2" t="str">
        <f>IFERROR(VLOOKUP(A475,Hoja4!A:C,3,0),"")</f>
        <v>Carton</v>
      </c>
      <c r="K475" s="9">
        <v>7</v>
      </c>
      <c r="L475" s="2"/>
    </row>
    <row r="476" spans="1:12" x14ac:dyDescent="0.3">
      <c r="A476" s="2">
        <v>107420</v>
      </c>
      <c r="B476" s="2" t="s">
        <v>401</v>
      </c>
      <c r="C476" s="2" t="s">
        <v>396</v>
      </c>
      <c r="D476" s="2" t="s">
        <v>397</v>
      </c>
      <c r="E476" s="5">
        <v>20716</v>
      </c>
      <c r="F476" s="17">
        <v>19.2</v>
      </c>
      <c r="G476" s="17">
        <v>397747.20000000001</v>
      </c>
      <c r="H476" s="1">
        <f t="shared" ca="1" si="15"/>
        <v>46207</v>
      </c>
      <c r="J476" s="2" t="str">
        <f>IFERROR(VLOOKUP(A476,Hoja4!A:C,3,0),"")</f>
        <v>Carton</v>
      </c>
      <c r="K476" s="9">
        <v>7</v>
      </c>
      <c r="L476" s="2"/>
    </row>
    <row r="477" spans="1:12" x14ac:dyDescent="0.3">
      <c r="A477" s="2">
        <v>107294</v>
      </c>
      <c r="B477" s="2" t="s">
        <v>72</v>
      </c>
      <c r="C477" s="2" t="s">
        <v>396</v>
      </c>
      <c r="D477" s="2" t="s">
        <v>397</v>
      </c>
      <c r="E477" s="5">
        <v>809.71</v>
      </c>
      <c r="F477" s="17">
        <v>1660</v>
      </c>
      <c r="G477" s="17">
        <v>1344118.6</v>
      </c>
      <c r="H477" s="1">
        <f t="shared" ca="1" si="15"/>
        <v>46207</v>
      </c>
      <c r="J477" s="2" t="str">
        <f>IFERROR(VLOOKUP(A477,Hoja4!A:C,3,0),"")</f>
        <v>Mermelada</v>
      </c>
      <c r="K477" s="9">
        <v>7</v>
      </c>
      <c r="L477" s="2"/>
    </row>
    <row r="478" spans="1:12" x14ac:dyDescent="0.3">
      <c r="A478" s="2">
        <v>405712</v>
      </c>
      <c r="B478" s="2" t="s">
        <v>77</v>
      </c>
      <c r="C478" s="2" t="s">
        <v>396</v>
      </c>
      <c r="D478" s="2" t="s">
        <v>397</v>
      </c>
      <c r="E478" s="5">
        <v>3851</v>
      </c>
      <c r="F478" s="17">
        <v>22.7</v>
      </c>
      <c r="G478" s="17">
        <v>87417.7</v>
      </c>
      <c r="H478" s="1">
        <f t="shared" ca="1" si="15"/>
        <v>46207</v>
      </c>
      <c r="J478" s="2" t="str">
        <f>IFERROR(VLOOKUP(A478,Hoja4!A:C,3,0),"")</f>
        <v>Etiquetas</v>
      </c>
      <c r="K478" s="9">
        <v>7</v>
      </c>
      <c r="L478" s="2"/>
    </row>
    <row r="479" spans="1:12" x14ac:dyDescent="0.3">
      <c r="A479" s="2">
        <v>405129</v>
      </c>
      <c r="B479" s="2" t="s">
        <v>94</v>
      </c>
      <c r="C479" s="2" t="s">
        <v>396</v>
      </c>
      <c r="D479" s="2" t="s">
        <v>397</v>
      </c>
      <c r="E479" s="5">
        <v>4967</v>
      </c>
      <c r="F479" s="17">
        <v>20.7</v>
      </c>
      <c r="G479" s="17">
        <v>102816.9</v>
      </c>
      <c r="H479" s="1">
        <f t="shared" ca="1" si="15"/>
        <v>46207</v>
      </c>
      <c r="J479" s="2" t="str">
        <f>IFERROR(VLOOKUP(A479,Hoja4!A:C,3,0),"")</f>
        <v>Etiquetas</v>
      </c>
      <c r="K479" s="9">
        <v>7</v>
      </c>
      <c r="L479" s="2"/>
    </row>
    <row r="480" spans="1:12" x14ac:dyDescent="0.3">
      <c r="A480" s="2">
        <v>405160</v>
      </c>
      <c r="B480" s="2" t="s">
        <v>100</v>
      </c>
      <c r="C480" s="2" t="s">
        <v>396</v>
      </c>
      <c r="D480" s="2" t="s">
        <v>397</v>
      </c>
      <c r="E480" s="5">
        <v>2544</v>
      </c>
      <c r="F480" s="17">
        <v>16.16</v>
      </c>
      <c r="G480" s="17">
        <v>41111.040000000001</v>
      </c>
      <c r="H480" s="1">
        <f t="shared" ca="1" si="15"/>
        <v>46207</v>
      </c>
      <c r="J480" s="2" t="str">
        <f>IFERROR(VLOOKUP(A480,Hoja4!A:C,3,0),"")</f>
        <v>Etiquetas</v>
      </c>
      <c r="K480" s="9">
        <v>7</v>
      </c>
      <c r="L480" s="2"/>
    </row>
    <row r="481" spans="1:12" x14ac:dyDescent="0.3">
      <c r="A481" s="2">
        <v>405049</v>
      </c>
      <c r="B481" s="2" t="s">
        <v>101</v>
      </c>
      <c r="C481" s="2" t="s">
        <v>396</v>
      </c>
      <c r="D481" s="2" t="s">
        <v>397</v>
      </c>
      <c r="E481" s="5">
        <v>17651</v>
      </c>
      <c r="F481" s="17">
        <v>1.55</v>
      </c>
      <c r="G481" s="17">
        <v>27359.05</v>
      </c>
      <c r="H481" s="1">
        <f t="shared" ca="1" si="15"/>
        <v>46207</v>
      </c>
      <c r="J481" s="2" t="str">
        <f>IFERROR(VLOOKUP(A481,Hoja4!A:C,3,0),"")</f>
        <v>Etiquetas</v>
      </c>
      <c r="K481" s="9">
        <v>7</v>
      </c>
      <c r="L481" s="2"/>
    </row>
    <row r="482" spans="1:12" x14ac:dyDescent="0.3">
      <c r="A482" s="2">
        <v>404719</v>
      </c>
      <c r="B482" s="2" t="s">
        <v>102</v>
      </c>
      <c r="C482" s="2" t="s">
        <v>396</v>
      </c>
      <c r="D482" s="2" t="s">
        <v>397</v>
      </c>
      <c r="E482" s="5">
        <v>38362</v>
      </c>
      <c r="F482" s="17">
        <v>15.86</v>
      </c>
      <c r="G482" s="17">
        <v>608421.31999999995</v>
      </c>
      <c r="H482" s="1">
        <f t="shared" ca="1" si="15"/>
        <v>46207</v>
      </c>
      <c r="J482" s="2" t="s">
        <v>379</v>
      </c>
      <c r="K482" s="9">
        <v>7</v>
      </c>
      <c r="L482" s="2"/>
    </row>
    <row r="483" spans="1:12" x14ac:dyDescent="0.3">
      <c r="A483" s="2">
        <v>404720</v>
      </c>
      <c r="B483" s="2" t="s">
        <v>304</v>
      </c>
      <c r="C483" s="2" t="s">
        <v>396</v>
      </c>
      <c r="D483" s="2" t="s">
        <v>397</v>
      </c>
      <c r="E483" s="5">
        <v>47765.46</v>
      </c>
      <c r="F483" s="17">
        <v>6.84</v>
      </c>
      <c r="G483" s="17">
        <v>326715.7464</v>
      </c>
      <c r="H483" s="1">
        <f t="shared" ca="1" si="15"/>
        <v>46207</v>
      </c>
      <c r="J483" s="2" t="str">
        <f>IFERROR(VLOOKUP(A483,Hoja4!A:C,3,0),"")</f>
        <v>Etiquetas</v>
      </c>
      <c r="K483" s="9">
        <v>7</v>
      </c>
      <c r="L483" s="2"/>
    </row>
    <row r="484" spans="1:12" x14ac:dyDescent="0.3">
      <c r="A484" s="2">
        <v>405103</v>
      </c>
      <c r="B484" s="2" t="s">
        <v>105</v>
      </c>
      <c r="C484" s="2" t="s">
        <v>396</v>
      </c>
      <c r="D484" s="2" t="s">
        <v>397</v>
      </c>
      <c r="E484" s="5">
        <v>6761</v>
      </c>
      <c r="F484" s="17">
        <v>15.61</v>
      </c>
      <c r="G484" s="17">
        <v>105539.21</v>
      </c>
      <c r="H484" s="1">
        <f t="shared" ca="1" si="15"/>
        <v>46207</v>
      </c>
      <c r="J484" s="2" t="str">
        <f>IFERROR(VLOOKUP(A484,Hoja4!A:C,3,0),"")</f>
        <v>Etiquetas</v>
      </c>
      <c r="K484" s="9">
        <v>7</v>
      </c>
      <c r="L484" s="2"/>
    </row>
    <row r="485" spans="1:12" x14ac:dyDescent="0.3">
      <c r="A485" s="2">
        <v>404722</v>
      </c>
      <c r="B485" s="2" t="s">
        <v>106</v>
      </c>
      <c r="C485" s="2" t="s">
        <v>396</v>
      </c>
      <c r="D485" s="2" t="s">
        <v>397</v>
      </c>
      <c r="E485" s="5">
        <v>175138</v>
      </c>
      <c r="F485" s="17">
        <v>2.81</v>
      </c>
      <c r="G485" s="17">
        <v>492137.78</v>
      </c>
      <c r="H485" s="1">
        <f t="shared" ca="1" si="15"/>
        <v>46207</v>
      </c>
      <c r="J485" s="2" t="str">
        <f>IFERROR(VLOOKUP(A485,Hoja4!A:C,3,0),"")</f>
        <v>Etiquetas</v>
      </c>
      <c r="K485" s="9">
        <v>7</v>
      </c>
      <c r="L485" s="2"/>
    </row>
    <row r="486" spans="1:12" x14ac:dyDescent="0.3">
      <c r="A486" s="2">
        <v>405128</v>
      </c>
      <c r="B486" s="2" t="s">
        <v>125</v>
      </c>
      <c r="C486" s="2" t="s">
        <v>396</v>
      </c>
      <c r="D486" s="2" t="s">
        <v>397</v>
      </c>
      <c r="E486" s="5">
        <v>19224</v>
      </c>
      <c r="F486" s="17">
        <v>20.23</v>
      </c>
      <c r="G486" s="17">
        <v>388901.52</v>
      </c>
      <c r="H486" s="1">
        <f t="shared" ca="1" si="15"/>
        <v>46207</v>
      </c>
      <c r="J486" s="2" t="str">
        <f>IFERROR(VLOOKUP(A486,Hoja4!A:C,3,0),"")</f>
        <v>Etiquetas</v>
      </c>
      <c r="K486" s="9">
        <v>7</v>
      </c>
      <c r="L486" s="2"/>
    </row>
    <row r="487" spans="1:12" x14ac:dyDescent="0.3">
      <c r="A487" s="2">
        <v>405721</v>
      </c>
      <c r="B487" s="2" t="s">
        <v>306</v>
      </c>
      <c r="C487" s="2" t="s">
        <v>396</v>
      </c>
      <c r="D487" s="2" t="s">
        <v>397</v>
      </c>
      <c r="E487" s="5">
        <v>4851</v>
      </c>
      <c r="F487" s="17">
        <v>20.7</v>
      </c>
      <c r="G487" s="17">
        <v>100415.7</v>
      </c>
      <c r="H487" s="1">
        <f t="shared" ca="1" si="15"/>
        <v>46207</v>
      </c>
      <c r="J487" s="2" t="str">
        <f>IFERROR(VLOOKUP(A487,Hoja4!A:C,3,0),"")</f>
        <v>Etiquetas</v>
      </c>
      <c r="K487" s="9">
        <v>7</v>
      </c>
      <c r="L487" s="2"/>
    </row>
    <row r="488" spans="1:12" x14ac:dyDescent="0.3">
      <c r="A488" s="2">
        <v>405492</v>
      </c>
      <c r="B488" s="2" t="s">
        <v>402</v>
      </c>
      <c r="C488" s="2" t="s">
        <v>396</v>
      </c>
      <c r="D488" s="2" t="s">
        <v>397</v>
      </c>
      <c r="E488" s="5">
        <v>42500</v>
      </c>
      <c r="F488" s="17">
        <v>27.3</v>
      </c>
      <c r="G488" s="17">
        <v>1160250</v>
      </c>
      <c r="H488" s="1">
        <f t="shared" ca="1" si="15"/>
        <v>46207</v>
      </c>
      <c r="J488" s="2" t="str">
        <f>IFERROR(VLOOKUP(A488,Hoja4!A:C,3,0),"")</f>
        <v>Etiquetas</v>
      </c>
      <c r="K488" s="9">
        <v>7</v>
      </c>
      <c r="L488" s="2"/>
    </row>
    <row r="489" spans="1:12" x14ac:dyDescent="0.3">
      <c r="A489" s="2">
        <v>405034</v>
      </c>
      <c r="B489" s="2" t="s">
        <v>144</v>
      </c>
      <c r="C489" s="2" t="s">
        <v>396</v>
      </c>
      <c r="D489" s="2" t="s">
        <v>397</v>
      </c>
      <c r="E489" s="5">
        <v>4170</v>
      </c>
      <c r="F489" s="17">
        <v>17.170000000000002</v>
      </c>
      <c r="G489" s="17">
        <v>71598.899999999994</v>
      </c>
      <c r="H489" s="1">
        <f t="shared" ca="1" si="15"/>
        <v>46207</v>
      </c>
      <c r="J489" s="2" t="str">
        <f>IFERROR(VLOOKUP(A489,Hoja4!A:C,3,0),"")</f>
        <v>Etiquetas</v>
      </c>
      <c r="K489" s="9">
        <v>7</v>
      </c>
      <c r="L489" s="2"/>
    </row>
    <row r="490" spans="1:12" x14ac:dyDescent="0.3">
      <c r="A490" s="2">
        <v>100206</v>
      </c>
      <c r="B490" s="2" t="s">
        <v>404</v>
      </c>
      <c r="C490" s="2" t="s">
        <v>396</v>
      </c>
      <c r="D490" s="2" t="s">
        <v>397</v>
      </c>
      <c r="E490" s="5">
        <v>3580.24</v>
      </c>
      <c r="F490" s="17">
        <v>676</v>
      </c>
      <c r="G490" s="17">
        <v>2420242.2400000002</v>
      </c>
      <c r="H490" s="1">
        <f t="shared" ca="1" si="15"/>
        <v>46207</v>
      </c>
      <c r="J490" s="2" t="str">
        <f>IFERROR(VLOOKUP(A490,Hoja4!A:C,3,0),"")</f>
        <v>Mix</v>
      </c>
      <c r="K490" s="9">
        <v>7</v>
      </c>
      <c r="L490" s="2"/>
    </row>
    <row r="491" spans="1:12" x14ac:dyDescent="0.3">
      <c r="A491" s="2">
        <v>405705</v>
      </c>
      <c r="B491" s="2" t="s">
        <v>405</v>
      </c>
      <c r="C491" s="2" t="s">
        <v>396</v>
      </c>
      <c r="D491" s="2" t="s">
        <v>397</v>
      </c>
      <c r="E491" s="5">
        <v>75</v>
      </c>
      <c r="F491" s="17">
        <v>606</v>
      </c>
      <c r="G491" s="17">
        <v>45450</v>
      </c>
      <c r="H491" s="1">
        <f t="shared" ca="1" si="15"/>
        <v>46207</v>
      </c>
      <c r="J491" s="2" t="str">
        <f>IFERROR(VLOOKUP(A491,Hoja4!A:C,3,0),"")</f>
        <v>Harina</v>
      </c>
      <c r="K491" s="9">
        <v>7</v>
      </c>
      <c r="L491" s="2"/>
    </row>
    <row r="492" spans="1:12" x14ac:dyDescent="0.3">
      <c r="A492" s="2">
        <v>100104</v>
      </c>
      <c r="B492" s="2" t="s">
        <v>406</v>
      </c>
      <c r="C492" s="2" t="s">
        <v>396</v>
      </c>
      <c r="D492" s="2" t="s">
        <v>397</v>
      </c>
      <c r="E492" s="5">
        <v>509.79</v>
      </c>
      <c r="F492" s="17">
        <v>673.38</v>
      </c>
      <c r="G492" s="17">
        <v>343282.39020000002</v>
      </c>
      <c r="H492" s="1">
        <f t="shared" ca="1" si="15"/>
        <v>46207</v>
      </c>
      <c r="J492" s="2" t="str">
        <f>IFERROR(VLOOKUP(A492,Hoja4!A:C,3,0),"")</f>
        <v>Mix</v>
      </c>
      <c r="K492" s="9">
        <v>7</v>
      </c>
      <c r="L492" s="2"/>
    </row>
    <row r="493" spans="1:12" x14ac:dyDescent="0.3">
      <c r="A493" s="2">
        <v>403373</v>
      </c>
      <c r="B493" s="2" t="s">
        <v>167</v>
      </c>
      <c r="C493" s="2" t="s">
        <v>396</v>
      </c>
      <c r="D493" s="2" t="s">
        <v>397</v>
      </c>
      <c r="E493" s="5">
        <v>511</v>
      </c>
      <c r="F493" s="17">
        <v>205</v>
      </c>
      <c r="G493" s="17">
        <v>104755</v>
      </c>
      <c r="H493" s="1">
        <f t="shared" ca="1" si="15"/>
        <v>46207</v>
      </c>
      <c r="J493" s="2" t="str">
        <f>IFERROR(VLOOKUP(A493,Hoja4!A:C,3,0),"")</f>
        <v>Carton</v>
      </c>
      <c r="K493" s="9">
        <v>7</v>
      </c>
      <c r="L493" s="2"/>
    </row>
    <row r="494" spans="1:12" x14ac:dyDescent="0.3">
      <c r="A494" s="2">
        <v>393320</v>
      </c>
      <c r="B494" s="2" t="s">
        <v>169</v>
      </c>
      <c r="C494" s="2" t="s">
        <v>396</v>
      </c>
      <c r="D494" s="2" t="s">
        <v>397</v>
      </c>
      <c r="E494" s="2">
        <v>103.5</v>
      </c>
      <c r="F494" s="17">
        <v>151</v>
      </c>
      <c r="G494" s="17">
        <v>15628.5</v>
      </c>
      <c r="H494" s="1">
        <f t="shared" ca="1" si="15"/>
        <v>46207</v>
      </c>
      <c r="J494" s="2" t="s">
        <v>388</v>
      </c>
      <c r="K494" s="9">
        <v>7</v>
      </c>
      <c r="L494" s="2"/>
    </row>
    <row r="495" spans="1:12" x14ac:dyDescent="0.3">
      <c r="A495" s="2">
        <v>405246</v>
      </c>
      <c r="B495" s="2" t="s">
        <v>407</v>
      </c>
      <c r="C495" s="2" t="s">
        <v>396</v>
      </c>
      <c r="D495" s="2" t="s">
        <v>397</v>
      </c>
      <c r="E495" s="5">
        <v>286.14999999999998</v>
      </c>
      <c r="F495" s="17">
        <v>7800</v>
      </c>
      <c r="G495" s="17">
        <v>2231970</v>
      </c>
      <c r="H495" s="1">
        <f t="shared" ca="1" si="15"/>
        <v>46207</v>
      </c>
      <c r="J495" s="2" t="str">
        <f>IFERROR(VLOOKUP(A495,Hoja4!A:C,3,0),"")</f>
        <v>Huevo</v>
      </c>
      <c r="K495" s="9">
        <v>7</v>
      </c>
      <c r="L495" s="2"/>
    </row>
    <row r="496" spans="1:12" x14ac:dyDescent="0.3">
      <c r="A496" s="2">
        <v>403104</v>
      </c>
      <c r="B496" s="2" t="s">
        <v>408</v>
      </c>
      <c r="C496" s="2" t="s">
        <v>396</v>
      </c>
      <c r="D496" s="2" t="s">
        <v>397</v>
      </c>
      <c r="E496" s="2">
        <v>290.55</v>
      </c>
      <c r="F496" s="17">
        <v>990.01</v>
      </c>
      <c r="G496" s="17">
        <v>287647.40549999999</v>
      </c>
      <c r="H496" s="1">
        <f t="shared" ca="1" si="15"/>
        <v>46207</v>
      </c>
      <c r="J496" s="2" t="str">
        <f>IFERROR(VLOOKUP(A496,Hoja4!A:C,3,0),"")</f>
        <v>Carton</v>
      </c>
      <c r="K496" s="9">
        <v>7</v>
      </c>
    </row>
    <row r="497" spans="1:11" x14ac:dyDescent="0.3">
      <c r="A497" s="2">
        <v>107109</v>
      </c>
      <c r="B497" s="2" t="s">
        <v>188</v>
      </c>
      <c r="C497" s="2" t="s">
        <v>396</v>
      </c>
      <c r="D497" s="2" t="s">
        <v>397</v>
      </c>
      <c r="E497" s="2">
        <v>3038.12</v>
      </c>
      <c r="F497" s="17">
        <v>2323</v>
      </c>
      <c r="G497" s="17">
        <v>7057552.7599999998</v>
      </c>
      <c r="H497" s="1">
        <f t="shared" ca="1" si="15"/>
        <v>46207</v>
      </c>
      <c r="J497" s="2" t="str">
        <f>IFERROR(VLOOKUP(A497,Hoja4!A:C,3,0),"")</f>
        <v>Manjar</v>
      </c>
      <c r="K497" s="9">
        <v>7</v>
      </c>
    </row>
    <row r="498" spans="1:11" x14ac:dyDescent="0.3">
      <c r="A498" s="2">
        <v>405807</v>
      </c>
      <c r="B498" s="2" t="s">
        <v>841</v>
      </c>
      <c r="C498" s="2" t="s">
        <v>396</v>
      </c>
      <c r="D498" s="2" t="s">
        <v>397</v>
      </c>
      <c r="E498" s="2">
        <v>585</v>
      </c>
      <c r="F498" s="17">
        <v>2150</v>
      </c>
      <c r="G498" s="17">
        <v>1257750</v>
      </c>
      <c r="H498" s="1">
        <f t="shared" ca="1" si="15"/>
        <v>46207</v>
      </c>
      <c r="J498" s="2" t="str">
        <f>IFERROR(VLOOKUP(A498,Hoja4!A:C,3,0),"")</f>
        <v>Margarina</v>
      </c>
      <c r="K498" s="9">
        <v>7</v>
      </c>
    </row>
    <row r="499" spans="1:11" x14ac:dyDescent="0.3">
      <c r="A499" s="2">
        <v>201006</v>
      </c>
      <c r="B499" s="2" t="s">
        <v>409</v>
      </c>
      <c r="C499" s="2" t="s">
        <v>396</v>
      </c>
      <c r="D499" s="2" t="s">
        <v>397</v>
      </c>
      <c r="E499" s="2">
        <v>1572</v>
      </c>
      <c r="F499" s="17">
        <v>2339.6999999999998</v>
      </c>
      <c r="G499" s="17">
        <v>3678008.4</v>
      </c>
      <c r="H499" s="1">
        <f t="shared" ca="1" si="15"/>
        <v>46207</v>
      </c>
      <c r="J499" s="2" t="str">
        <f>IFERROR(VLOOKUP(A499,Hoja4!A:C,3,0),"")</f>
        <v>Margarina</v>
      </c>
      <c r="K499" s="9">
        <v>7</v>
      </c>
    </row>
    <row r="500" spans="1:11" x14ac:dyDescent="0.3">
      <c r="A500" s="2">
        <v>405700</v>
      </c>
      <c r="B500" s="2" t="s">
        <v>818</v>
      </c>
      <c r="C500" s="2" t="s">
        <v>396</v>
      </c>
      <c r="D500" s="2" t="s">
        <v>397</v>
      </c>
      <c r="E500" s="5">
        <v>1423.72</v>
      </c>
      <c r="F500" s="17">
        <v>1472.97</v>
      </c>
      <c r="G500" s="17">
        <v>2097096.8484</v>
      </c>
      <c r="H500" s="1">
        <f t="shared" ca="1" si="15"/>
        <v>46207</v>
      </c>
      <c r="J500" s="2" t="str">
        <f>IFERROR(VLOOKUP(A500,Hoja4!A:C,3,0),"")</f>
        <v>Margarina</v>
      </c>
      <c r="K500" s="9">
        <v>7</v>
      </c>
    </row>
    <row r="501" spans="1:11" x14ac:dyDescent="0.3">
      <c r="A501" s="2">
        <v>107324</v>
      </c>
      <c r="B501" s="2" t="s">
        <v>328</v>
      </c>
      <c r="C501" s="2" t="s">
        <v>396</v>
      </c>
      <c r="D501" s="2" t="s">
        <v>397</v>
      </c>
      <c r="E501" s="5">
        <v>20.45</v>
      </c>
      <c r="F501" s="17">
        <v>5177.6499999999996</v>
      </c>
      <c r="G501" s="17">
        <v>105882.9425</v>
      </c>
      <c r="H501" s="1">
        <f t="shared" ca="1" si="15"/>
        <v>46207</v>
      </c>
      <c r="J501" s="2" t="str">
        <f>IFERROR(VLOOKUP(A501,Hoja4!A:C,3,0),"")</f>
        <v>Fruta Conserva</v>
      </c>
      <c r="K501" s="9">
        <v>7</v>
      </c>
    </row>
    <row r="502" spans="1:11" x14ac:dyDescent="0.3">
      <c r="A502" s="2">
        <v>107285</v>
      </c>
      <c r="B502" s="2" t="s">
        <v>411</v>
      </c>
      <c r="C502" s="2" t="s">
        <v>396</v>
      </c>
      <c r="D502" s="2" t="s">
        <v>397</v>
      </c>
      <c r="E502" s="2">
        <v>591.22</v>
      </c>
      <c r="F502" s="17">
        <v>2760</v>
      </c>
      <c r="G502" s="17">
        <v>1631767.2</v>
      </c>
      <c r="H502" s="1">
        <f t="shared" ca="1" si="15"/>
        <v>46207</v>
      </c>
      <c r="J502" s="2" t="str">
        <f>IFERROR(VLOOKUP(A502,Hoja4!A:C,3,0),"")</f>
        <v>Mix</v>
      </c>
      <c r="K502" s="9">
        <v>7</v>
      </c>
    </row>
    <row r="503" spans="1:11" x14ac:dyDescent="0.3">
      <c r="A503" s="2">
        <v>405248</v>
      </c>
      <c r="B503" s="2" t="s">
        <v>412</v>
      </c>
      <c r="C503" s="2" t="s">
        <v>396</v>
      </c>
      <c r="D503" s="2" t="s">
        <v>397</v>
      </c>
      <c r="E503" s="5">
        <v>2359.86</v>
      </c>
      <c r="F503" s="17">
        <v>1280</v>
      </c>
      <c r="G503" s="17">
        <v>3020620.8</v>
      </c>
      <c r="H503" s="1">
        <f t="shared" ca="1" si="15"/>
        <v>46207</v>
      </c>
      <c r="J503" s="2" t="str">
        <f>IFERROR(VLOOKUP(A503,Hoja4!A:C,3,0),"")</f>
        <v>Mix</v>
      </c>
      <c r="K503" s="9">
        <v>7</v>
      </c>
    </row>
    <row r="504" spans="1:11" x14ac:dyDescent="0.3">
      <c r="A504" s="2">
        <v>403014</v>
      </c>
      <c r="B504" s="2" t="s">
        <v>413</v>
      </c>
      <c r="C504" s="2" t="s">
        <v>396</v>
      </c>
      <c r="D504" s="2" t="s">
        <v>397</v>
      </c>
      <c r="E504" s="5">
        <v>450</v>
      </c>
      <c r="F504" s="17">
        <v>56</v>
      </c>
      <c r="G504" s="17">
        <v>25200</v>
      </c>
      <c r="H504" s="1">
        <f t="shared" ca="1" si="15"/>
        <v>46207</v>
      </c>
      <c r="J504" s="2" t="str">
        <f>IFERROR(VLOOKUP(A504,Hoja4!A:C,3,0),"")</f>
        <v>Carton</v>
      </c>
      <c r="K504" s="9">
        <v>7</v>
      </c>
    </row>
    <row r="505" spans="1:11" x14ac:dyDescent="0.3">
      <c r="A505" s="2">
        <v>405793</v>
      </c>
      <c r="B505" s="2" t="s">
        <v>815</v>
      </c>
      <c r="C505" s="2" t="s">
        <v>396</v>
      </c>
      <c r="D505" s="2" t="s">
        <v>397</v>
      </c>
      <c r="E505" s="2">
        <v>295.5</v>
      </c>
      <c r="F505" s="17">
        <v>617.33000000000004</v>
      </c>
      <c r="G505" s="17">
        <v>182421.01500000001</v>
      </c>
      <c r="H505" s="1">
        <f t="shared" ca="1" si="15"/>
        <v>46207</v>
      </c>
      <c r="J505" s="2" t="str">
        <f>IFERROR(VLOOKUP(A505,Hoja4!A:C,3,0),"")</f>
        <v>Carton</v>
      </c>
      <c r="K505" s="9">
        <v>7</v>
      </c>
    </row>
    <row r="506" spans="1:11" x14ac:dyDescent="0.3">
      <c r="A506" s="2">
        <v>102103</v>
      </c>
      <c r="B506" s="2" t="s">
        <v>436</v>
      </c>
      <c r="C506" s="2" t="s">
        <v>396</v>
      </c>
      <c r="D506" s="2" t="s">
        <v>397</v>
      </c>
      <c r="E506" s="2">
        <v>71.44</v>
      </c>
      <c r="F506" s="17">
        <v>3689.99</v>
      </c>
      <c r="G506" s="17">
        <v>263612.88559999998</v>
      </c>
      <c r="H506" s="1">
        <f t="shared" ca="1" si="15"/>
        <v>46207</v>
      </c>
      <c r="J506" s="2" t="str">
        <f>IFERROR(VLOOKUP(A506,Hoja4!A:C,3,0),"")</f>
        <v>Propionato</v>
      </c>
      <c r="K506" s="9">
        <v>7</v>
      </c>
    </row>
    <row r="507" spans="1:11" x14ac:dyDescent="0.3">
      <c r="A507" s="2">
        <v>104010</v>
      </c>
      <c r="B507" s="2" t="s">
        <v>414</v>
      </c>
      <c r="C507" s="2" t="s">
        <v>396</v>
      </c>
      <c r="D507" s="2" t="s">
        <v>397</v>
      </c>
      <c r="E507" s="2">
        <v>209</v>
      </c>
      <c r="F507" s="17">
        <v>465</v>
      </c>
      <c r="G507" s="17">
        <v>97185</v>
      </c>
      <c r="H507" s="1">
        <f t="shared" ca="1" si="15"/>
        <v>46207</v>
      </c>
      <c r="J507" s="2" t="str">
        <f>IFERROR(VLOOKUP(A507,Hoja4!A:C,3,0),"")</f>
        <v>insumo</v>
      </c>
      <c r="K507" s="9">
        <v>7</v>
      </c>
    </row>
    <row r="508" spans="1:11" x14ac:dyDescent="0.3">
      <c r="A508" s="2">
        <v>401015</v>
      </c>
      <c r="B508" s="2" t="s">
        <v>229</v>
      </c>
      <c r="C508" s="2" t="s">
        <v>396</v>
      </c>
      <c r="D508" s="2" t="s">
        <v>397</v>
      </c>
      <c r="E508" s="2">
        <v>9</v>
      </c>
      <c r="F508" s="17">
        <v>3904.22</v>
      </c>
      <c r="G508" s="17">
        <v>35137.980000000003</v>
      </c>
      <c r="H508" s="1">
        <f t="shared" ca="1" si="15"/>
        <v>46207</v>
      </c>
      <c r="J508" s="2" t="str">
        <f>IFERROR(VLOOKUP(A508,Hoja4!A:C,3,0),"")</f>
        <v>Film</v>
      </c>
      <c r="K508" s="9">
        <v>7</v>
      </c>
    </row>
    <row r="509" spans="1:11" x14ac:dyDescent="0.3">
      <c r="A509" s="2">
        <v>401014</v>
      </c>
      <c r="B509" s="2" t="s">
        <v>230</v>
      </c>
      <c r="C509" s="2" t="s">
        <v>396</v>
      </c>
      <c r="D509" s="2" t="s">
        <v>397</v>
      </c>
      <c r="E509" s="5">
        <v>13</v>
      </c>
      <c r="F509" s="17">
        <v>3832.31</v>
      </c>
      <c r="G509" s="17">
        <v>49820.03</v>
      </c>
      <c r="H509" s="1">
        <f t="shared" ca="1" si="15"/>
        <v>46207</v>
      </c>
      <c r="J509" s="2" t="str">
        <f>IFERROR(VLOOKUP(A509,Hoja4!A:C,3,0),"")</f>
        <v>Film</v>
      </c>
      <c r="K509" s="9">
        <v>7</v>
      </c>
    </row>
    <row r="510" spans="1:11" x14ac:dyDescent="0.3">
      <c r="A510" s="2">
        <v>401013</v>
      </c>
      <c r="B510" s="2" t="s">
        <v>231</v>
      </c>
      <c r="C510" s="2" t="s">
        <v>396</v>
      </c>
      <c r="D510" s="2" t="s">
        <v>397</v>
      </c>
      <c r="E510" s="5">
        <v>12</v>
      </c>
      <c r="F510" s="17">
        <v>3935.83</v>
      </c>
      <c r="G510" s="17">
        <v>47229.96</v>
      </c>
      <c r="H510" s="1">
        <f t="shared" ca="1" si="15"/>
        <v>46207</v>
      </c>
      <c r="J510" s="2" t="str">
        <f>IFERROR(VLOOKUP(A510,Hoja4!A:C,3,0),"")</f>
        <v>Film</v>
      </c>
      <c r="K510" s="9">
        <v>7</v>
      </c>
    </row>
    <row r="511" spans="1:11" x14ac:dyDescent="0.3">
      <c r="A511" s="2">
        <v>401010</v>
      </c>
      <c r="B511" s="2" t="s">
        <v>232</v>
      </c>
      <c r="C511" s="2" t="s">
        <v>396</v>
      </c>
      <c r="D511" s="2" t="s">
        <v>397</v>
      </c>
      <c r="E511" s="2">
        <v>13</v>
      </c>
      <c r="F511" s="17">
        <v>3941.54</v>
      </c>
      <c r="G511" s="17">
        <v>51240.02</v>
      </c>
      <c r="H511" s="1">
        <f t="shared" ca="1" si="15"/>
        <v>46207</v>
      </c>
      <c r="J511" s="2" t="str">
        <f>IFERROR(VLOOKUP(A511,Hoja4!A:C,3,0),"")</f>
        <v>Film</v>
      </c>
      <c r="K511" s="9">
        <v>7</v>
      </c>
    </row>
    <row r="512" spans="1:11" x14ac:dyDescent="0.3">
      <c r="A512" s="2">
        <v>401011</v>
      </c>
      <c r="B512" s="2" t="s">
        <v>233</v>
      </c>
      <c r="C512" s="2" t="s">
        <v>396</v>
      </c>
      <c r="D512" s="2" t="s">
        <v>397</v>
      </c>
      <c r="E512" s="5">
        <v>12</v>
      </c>
      <c r="F512" s="17">
        <v>3865.42</v>
      </c>
      <c r="G512" s="17">
        <v>46385.04</v>
      </c>
      <c r="H512" s="1">
        <f t="shared" ca="1" si="15"/>
        <v>46207</v>
      </c>
      <c r="J512" s="2" t="str">
        <f>IFERROR(VLOOKUP(A512,Hoja4!A:C,3,0),"")</f>
        <v>Film</v>
      </c>
      <c r="K512" s="9">
        <v>7</v>
      </c>
    </row>
    <row r="513" spans="1:11" x14ac:dyDescent="0.3">
      <c r="A513" s="2">
        <v>401012</v>
      </c>
      <c r="B513" s="2" t="s">
        <v>235</v>
      </c>
      <c r="C513" s="2" t="s">
        <v>396</v>
      </c>
      <c r="D513" s="2" t="s">
        <v>397</v>
      </c>
      <c r="E513" s="5">
        <v>12</v>
      </c>
      <c r="F513" s="17">
        <v>3894.92</v>
      </c>
      <c r="G513" s="17">
        <v>46739.040000000001</v>
      </c>
      <c r="H513" s="1">
        <f t="shared" ca="1" si="15"/>
        <v>46207</v>
      </c>
      <c r="J513" s="2" t="str">
        <f>IFERROR(VLOOKUP(A513,Hoja4!A:C,3,0),"")</f>
        <v>Film</v>
      </c>
      <c r="K513" s="9">
        <v>7</v>
      </c>
    </row>
    <row r="514" spans="1:11" x14ac:dyDescent="0.3">
      <c r="A514" s="2">
        <v>106101</v>
      </c>
      <c r="B514" s="2" t="s">
        <v>415</v>
      </c>
      <c r="C514" s="2" t="s">
        <v>396</v>
      </c>
      <c r="D514" s="2" t="s">
        <v>397</v>
      </c>
      <c r="E514" s="5">
        <v>339.5</v>
      </c>
      <c r="F514" s="17">
        <v>620</v>
      </c>
      <c r="G514" s="17">
        <v>210490</v>
      </c>
      <c r="H514" s="1">
        <f t="shared" ca="1" si="15"/>
        <v>46207</v>
      </c>
      <c r="J514" s="2" t="str">
        <f>IFERROR(VLOOKUP(A514,Hoja4!A:C,3,0),"")</f>
        <v>insumo</v>
      </c>
      <c r="K514" s="9">
        <v>7</v>
      </c>
    </row>
    <row r="515" spans="1:11" x14ac:dyDescent="0.3">
      <c r="H515" s="1"/>
      <c r="K515" s="9"/>
    </row>
    <row r="516" spans="1:11" x14ac:dyDescent="0.3">
      <c r="H516" s="1"/>
      <c r="K516" s="9"/>
    </row>
    <row r="517" spans="1:11" x14ac:dyDescent="0.3">
      <c r="H517" s="1"/>
      <c r="K517" s="9"/>
    </row>
    <row r="518" spans="1:11" x14ac:dyDescent="0.3">
      <c r="H518" s="1"/>
      <c r="K518" s="9"/>
    </row>
    <row r="519" spans="1:11" x14ac:dyDescent="0.3">
      <c r="H519" s="1"/>
      <c r="K519" s="9"/>
    </row>
    <row r="520" spans="1:11" x14ac:dyDescent="0.3">
      <c r="H520" s="1"/>
      <c r="K520" s="9"/>
    </row>
    <row r="521" spans="1:11" x14ac:dyDescent="0.3">
      <c r="H521" s="1"/>
      <c r="K521" s="9"/>
    </row>
    <row r="522" spans="1:11" x14ac:dyDescent="0.3">
      <c r="H522" s="1"/>
      <c r="K522" s="9"/>
    </row>
    <row r="523" spans="1:11" x14ac:dyDescent="0.3">
      <c r="E523" s="5"/>
      <c r="H523" s="1"/>
      <c r="K523" s="9"/>
    </row>
    <row r="524" spans="1:11" x14ac:dyDescent="0.3">
      <c r="E524" s="5"/>
      <c r="H524" s="1"/>
      <c r="K524" s="9"/>
    </row>
    <row r="525" spans="1:11" x14ac:dyDescent="0.3">
      <c r="E525" s="5"/>
      <c r="H525" s="1"/>
      <c r="K525" s="9"/>
    </row>
  </sheetData>
  <autoFilter ref="A1:L514" xr:uid="{78AC62D2-3890-4F4D-AEB7-57882B4F2A8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38708-ED25-4E54-9CC2-F7D48E201114}">
  <dimension ref="A1:F370"/>
  <sheetViews>
    <sheetView workbookViewId="0">
      <selection activeCell="B1" sqref="B1"/>
    </sheetView>
  </sheetViews>
  <sheetFormatPr baseColWidth="10" defaultRowHeight="14.4" x14ac:dyDescent="0.3"/>
  <cols>
    <col min="1" max="1" width="11.5546875" style="2"/>
    <col min="2" max="2" width="72.33203125" style="2" customWidth="1"/>
    <col min="3" max="5" width="11.5546875" style="15"/>
    <col min="6" max="16384" width="11.5546875" style="2"/>
  </cols>
  <sheetData>
    <row r="1" spans="1:6" x14ac:dyDescent="0.3">
      <c r="A1" s="3" t="s">
        <v>244</v>
      </c>
      <c r="B1" s="3" t="s">
        <v>245</v>
      </c>
      <c r="C1" s="14" t="s">
        <v>424</v>
      </c>
      <c r="D1" s="14" t="s">
        <v>425</v>
      </c>
      <c r="E1" s="14" t="s">
        <v>426</v>
      </c>
      <c r="F1" s="14" t="s">
        <v>427</v>
      </c>
    </row>
    <row r="2" spans="1:6" x14ac:dyDescent="0.3">
      <c r="A2" s="4">
        <v>405482</v>
      </c>
      <c r="B2" s="2" t="s">
        <v>0</v>
      </c>
      <c r="C2" s="15">
        <v>1</v>
      </c>
      <c r="D2" s="15">
        <f>IFERROR(VLOOKUP(A2,'[3]Consumo SEMANAL PV '!$B:$B,1,0),0)</f>
        <v>0</v>
      </c>
      <c r="E2" s="15">
        <v>0</v>
      </c>
      <c r="F2" s="15">
        <f>COUNTIF(C2:E2,1)</f>
        <v>1</v>
      </c>
    </row>
    <row r="3" spans="1:6" x14ac:dyDescent="0.3">
      <c r="A3" s="4">
        <v>405682</v>
      </c>
      <c r="B3" s="2" t="s">
        <v>3</v>
      </c>
      <c r="C3" s="15">
        <v>1</v>
      </c>
      <c r="D3" s="15">
        <f>IFERROR(VLOOKUP(A3,'[3]Consumo SEMANAL PV '!$B:$B,1,0),0)</f>
        <v>0</v>
      </c>
      <c r="E3" s="15">
        <v>0</v>
      </c>
      <c r="F3" s="15">
        <f t="shared" ref="F3:F66" si="0">COUNTIF(C3:E3,1)</f>
        <v>1</v>
      </c>
    </row>
    <row r="4" spans="1:6" x14ac:dyDescent="0.3">
      <c r="A4" s="4">
        <v>405418</v>
      </c>
      <c r="B4" s="2" t="s">
        <v>4</v>
      </c>
      <c r="C4" s="15">
        <v>1</v>
      </c>
      <c r="D4" s="15">
        <v>1</v>
      </c>
      <c r="E4" s="15">
        <v>0</v>
      </c>
      <c r="F4" s="15">
        <f t="shared" si="0"/>
        <v>2</v>
      </c>
    </row>
    <row r="5" spans="1:6" x14ac:dyDescent="0.3">
      <c r="A5" s="4">
        <v>104006</v>
      </c>
      <c r="B5" s="2" t="s">
        <v>5</v>
      </c>
      <c r="C5" s="15">
        <v>1</v>
      </c>
      <c r="D5" s="15">
        <v>1</v>
      </c>
      <c r="E5" s="15">
        <v>0</v>
      </c>
      <c r="F5" s="15">
        <f t="shared" si="0"/>
        <v>2</v>
      </c>
    </row>
    <row r="6" spans="1:6" x14ac:dyDescent="0.3">
      <c r="A6" s="4">
        <v>405445</v>
      </c>
      <c r="B6" s="2" t="s">
        <v>6</v>
      </c>
      <c r="C6" s="15">
        <v>1</v>
      </c>
      <c r="D6" s="15">
        <v>1</v>
      </c>
      <c r="E6" s="15">
        <v>1</v>
      </c>
      <c r="F6" s="15">
        <f t="shared" si="0"/>
        <v>3</v>
      </c>
    </row>
    <row r="7" spans="1:6" x14ac:dyDescent="0.3">
      <c r="A7" s="4">
        <v>107302</v>
      </c>
      <c r="B7" s="2" t="s">
        <v>7</v>
      </c>
      <c r="C7" s="15">
        <v>1</v>
      </c>
      <c r="D7" s="15">
        <f>IFERROR(VLOOKUP(A7,'[3]Consumo SEMANAL PV '!$B:$B,1,0),0)</f>
        <v>0</v>
      </c>
      <c r="E7" s="15">
        <v>0</v>
      </c>
      <c r="F7" s="15">
        <f t="shared" si="0"/>
        <v>1</v>
      </c>
    </row>
    <row r="8" spans="1:6" x14ac:dyDescent="0.3">
      <c r="A8" s="4">
        <v>400216</v>
      </c>
      <c r="B8" s="2" t="s">
        <v>8</v>
      </c>
      <c r="C8" s="15">
        <v>1</v>
      </c>
      <c r="D8" s="15">
        <f>IFERROR(VLOOKUP(A8,'[3]Consumo SEMANAL PV '!$B:$B,1,0),0)</f>
        <v>0</v>
      </c>
      <c r="E8" s="15">
        <v>0</v>
      </c>
      <c r="F8" s="15">
        <f t="shared" si="0"/>
        <v>1</v>
      </c>
    </row>
    <row r="9" spans="1:6" x14ac:dyDescent="0.3">
      <c r="A9" s="4">
        <v>403338</v>
      </c>
      <c r="B9" s="2" t="s">
        <v>9</v>
      </c>
      <c r="C9" s="15">
        <v>1</v>
      </c>
      <c r="D9" s="15">
        <v>1</v>
      </c>
      <c r="E9" s="15">
        <v>0</v>
      </c>
      <c r="F9" s="15">
        <f t="shared" si="0"/>
        <v>2</v>
      </c>
    </row>
    <row r="10" spans="1:6" x14ac:dyDescent="0.3">
      <c r="A10" s="4">
        <v>402263</v>
      </c>
      <c r="B10" s="2" t="s">
        <v>10</v>
      </c>
      <c r="C10" s="15">
        <v>1</v>
      </c>
      <c r="D10" s="15">
        <v>1</v>
      </c>
      <c r="E10" s="15">
        <v>0</v>
      </c>
      <c r="F10" s="15">
        <f t="shared" si="0"/>
        <v>2</v>
      </c>
    </row>
    <row r="11" spans="1:6" x14ac:dyDescent="0.3">
      <c r="A11" s="4">
        <v>400203</v>
      </c>
      <c r="B11" s="2" t="s">
        <v>11</v>
      </c>
      <c r="C11" s="15">
        <v>1</v>
      </c>
      <c r="D11" s="15">
        <v>1</v>
      </c>
      <c r="E11" s="15">
        <v>1</v>
      </c>
      <c r="F11" s="15">
        <f t="shared" si="0"/>
        <v>3</v>
      </c>
    </row>
    <row r="12" spans="1:6" x14ac:dyDescent="0.3">
      <c r="A12" s="4">
        <v>107120</v>
      </c>
      <c r="B12" s="2" t="s">
        <v>12</v>
      </c>
      <c r="C12" s="15">
        <v>1</v>
      </c>
      <c r="D12" s="15">
        <v>1</v>
      </c>
      <c r="E12" s="15">
        <v>0</v>
      </c>
      <c r="F12" s="15">
        <f t="shared" si="0"/>
        <v>2</v>
      </c>
    </row>
    <row r="13" spans="1:6" x14ac:dyDescent="0.3">
      <c r="A13" s="4">
        <v>101002</v>
      </c>
      <c r="B13" s="2" t="s">
        <v>13</v>
      </c>
      <c r="C13" s="15">
        <v>1</v>
      </c>
      <c r="D13" s="15">
        <v>1</v>
      </c>
      <c r="E13" s="15">
        <v>0</v>
      </c>
      <c r="F13" s="15">
        <f t="shared" si="0"/>
        <v>2</v>
      </c>
    </row>
    <row r="14" spans="1:6" x14ac:dyDescent="0.3">
      <c r="A14" s="4">
        <v>106401</v>
      </c>
      <c r="B14" s="2" t="s">
        <v>14</v>
      </c>
      <c r="C14" s="15">
        <v>1</v>
      </c>
      <c r="D14" s="15">
        <v>1</v>
      </c>
      <c r="E14" s="15">
        <v>0</v>
      </c>
      <c r="F14" s="15">
        <f t="shared" si="0"/>
        <v>2</v>
      </c>
    </row>
    <row r="15" spans="1:6" x14ac:dyDescent="0.3">
      <c r="A15" s="4">
        <v>107361</v>
      </c>
      <c r="B15" s="2" t="s">
        <v>15</v>
      </c>
      <c r="C15" s="15">
        <v>1</v>
      </c>
      <c r="D15" s="15">
        <v>1</v>
      </c>
      <c r="E15" s="15">
        <v>0</v>
      </c>
      <c r="F15" s="15">
        <f t="shared" si="0"/>
        <v>2</v>
      </c>
    </row>
    <row r="16" spans="1:6" x14ac:dyDescent="0.3">
      <c r="A16" s="4">
        <v>107367</v>
      </c>
      <c r="B16" s="2" t="s">
        <v>16</v>
      </c>
      <c r="C16" s="15">
        <v>1</v>
      </c>
      <c r="D16" s="15">
        <v>1</v>
      </c>
      <c r="E16" s="15">
        <v>0</v>
      </c>
      <c r="F16" s="15">
        <f t="shared" si="0"/>
        <v>2</v>
      </c>
    </row>
    <row r="17" spans="1:6" x14ac:dyDescent="0.3">
      <c r="A17" s="4">
        <v>107366</v>
      </c>
      <c r="B17" s="2" t="s">
        <v>17</v>
      </c>
      <c r="C17" s="15">
        <v>1</v>
      </c>
      <c r="D17" s="15">
        <v>1</v>
      </c>
      <c r="E17" s="15">
        <v>1</v>
      </c>
      <c r="F17" s="15">
        <f t="shared" si="0"/>
        <v>3</v>
      </c>
    </row>
    <row r="18" spans="1:6" x14ac:dyDescent="0.3">
      <c r="A18" s="4">
        <v>405696</v>
      </c>
      <c r="B18" s="2" t="s">
        <v>18</v>
      </c>
      <c r="C18" s="15">
        <v>1</v>
      </c>
      <c r="D18" s="15">
        <v>1</v>
      </c>
      <c r="E18" s="15">
        <v>0</v>
      </c>
      <c r="F18" s="15">
        <f t="shared" si="0"/>
        <v>2</v>
      </c>
    </row>
    <row r="19" spans="1:6" x14ac:dyDescent="0.3">
      <c r="A19" s="4">
        <v>405503</v>
      </c>
      <c r="B19" s="2" t="s">
        <v>19</v>
      </c>
      <c r="C19" s="15">
        <v>1</v>
      </c>
      <c r="D19" s="15">
        <v>1</v>
      </c>
      <c r="E19" s="15">
        <v>0</v>
      </c>
      <c r="F19" s="15">
        <f t="shared" si="0"/>
        <v>2</v>
      </c>
    </row>
    <row r="20" spans="1:6" x14ac:dyDescent="0.3">
      <c r="A20" s="4">
        <v>403219</v>
      </c>
      <c r="B20" s="2" t="s">
        <v>20</v>
      </c>
      <c r="C20" s="15">
        <v>1</v>
      </c>
      <c r="D20" s="15">
        <v>1</v>
      </c>
      <c r="E20" s="15">
        <v>0</v>
      </c>
      <c r="F20" s="15">
        <f t="shared" si="0"/>
        <v>2</v>
      </c>
    </row>
    <row r="21" spans="1:6" x14ac:dyDescent="0.3">
      <c r="A21" s="4">
        <v>405749</v>
      </c>
      <c r="B21" s="2" t="s">
        <v>21</v>
      </c>
      <c r="C21" s="15">
        <v>1</v>
      </c>
      <c r="D21" s="15">
        <f>IFERROR(VLOOKUP(A21,'[3]Consumo SEMANAL PV '!$B:$B,1,0),0)</f>
        <v>0</v>
      </c>
      <c r="E21" s="15">
        <v>0</v>
      </c>
      <c r="F21" s="15">
        <f t="shared" si="0"/>
        <v>1</v>
      </c>
    </row>
    <row r="22" spans="1:6" x14ac:dyDescent="0.3">
      <c r="A22" s="4">
        <v>107312</v>
      </c>
      <c r="B22" s="2" t="s">
        <v>22</v>
      </c>
      <c r="C22" s="15">
        <v>1</v>
      </c>
      <c r="D22" s="15">
        <f>IFERROR(VLOOKUP(A22,'[3]Consumo SEMANAL PV '!$B:$B,1,0),0)</f>
        <v>0</v>
      </c>
      <c r="E22" s="15">
        <v>0</v>
      </c>
      <c r="F22" s="15">
        <f t="shared" si="0"/>
        <v>1</v>
      </c>
    </row>
    <row r="23" spans="1:6" x14ac:dyDescent="0.3">
      <c r="A23" s="4">
        <v>403336</v>
      </c>
      <c r="B23" s="2" t="s">
        <v>23</v>
      </c>
      <c r="C23" s="15">
        <v>1</v>
      </c>
      <c r="D23" s="15">
        <f>IFERROR(VLOOKUP(A23,'[3]Consumo SEMANAL PV '!$B:$B,1,0),0)</f>
        <v>0</v>
      </c>
      <c r="E23" s="15">
        <v>0</v>
      </c>
      <c r="F23" s="15">
        <f t="shared" si="0"/>
        <v>1</v>
      </c>
    </row>
    <row r="24" spans="1:6" x14ac:dyDescent="0.3">
      <c r="A24" s="4">
        <v>107356</v>
      </c>
      <c r="B24" s="2" t="s">
        <v>24</v>
      </c>
      <c r="C24" s="15">
        <v>1</v>
      </c>
      <c r="D24" s="15">
        <v>1</v>
      </c>
      <c r="E24" s="15">
        <v>0</v>
      </c>
      <c r="F24" s="15">
        <f t="shared" si="0"/>
        <v>2</v>
      </c>
    </row>
    <row r="25" spans="1:6" x14ac:dyDescent="0.3">
      <c r="A25" s="4">
        <v>405373</v>
      </c>
      <c r="B25" s="2" t="s">
        <v>25</v>
      </c>
      <c r="C25" s="15">
        <v>1</v>
      </c>
      <c r="D25" s="15">
        <f>IFERROR(VLOOKUP(A25,'[3]Consumo SEMANAL PV '!$B:$B,1,0),0)</f>
        <v>0</v>
      </c>
      <c r="E25" s="15">
        <v>0</v>
      </c>
      <c r="F25" s="15">
        <f t="shared" si="0"/>
        <v>1</v>
      </c>
    </row>
    <row r="26" spans="1:6" x14ac:dyDescent="0.3">
      <c r="A26" s="4">
        <v>402255</v>
      </c>
      <c r="B26" s="2" t="s">
        <v>26</v>
      </c>
      <c r="C26" s="15">
        <v>1</v>
      </c>
      <c r="D26" s="15">
        <v>1</v>
      </c>
      <c r="E26" s="15">
        <v>1</v>
      </c>
      <c r="F26" s="15">
        <f t="shared" si="0"/>
        <v>3</v>
      </c>
    </row>
    <row r="27" spans="1:6" x14ac:dyDescent="0.3">
      <c r="A27" s="4">
        <v>404309</v>
      </c>
      <c r="B27" s="2" t="s">
        <v>27</v>
      </c>
      <c r="C27" s="15">
        <v>1</v>
      </c>
      <c r="D27" s="15">
        <v>1</v>
      </c>
      <c r="E27" s="15">
        <v>1</v>
      </c>
      <c r="F27" s="15">
        <f t="shared" si="0"/>
        <v>3</v>
      </c>
    </row>
    <row r="28" spans="1:6" x14ac:dyDescent="0.3">
      <c r="A28" s="4">
        <v>107197</v>
      </c>
      <c r="B28" s="2" t="s">
        <v>28</v>
      </c>
      <c r="C28" s="15">
        <v>1</v>
      </c>
      <c r="D28" s="15">
        <v>1</v>
      </c>
      <c r="E28" s="15">
        <v>0</v>
      </c>
      <c r="F28" s="15">
        <f t="shared" si="0"/>
        <v>2</v>
      </c>
    </row>
    <row r="29" spans="1:6" x14ac:dyDescent="0.3">
      <c r="A29" s="4">
        <v>107249</v>
      </c>
      <c r="B29" s="2" t="s">
        <v>29</v>
      </c>
      <c r="C29" s="15">
        <v>1</v>
      </c>
      <c r="D29" s="15">
        <v>1</v>
      </c>
      <c r="E29" s="15">
        <v>0</v>
      </c>
      <c r="F29" s="15">
        <f t="shared" si="0"/>
        <v>2</v>
      </c>
    </row>
    <row r="30" spans="1:6" x14ac:dyDescent="0.3">
      <c r="A30" s="4">
        <v>107134</v>
      </c>
      <c r="B30" s="2" t="s">
        <v>30</v>
      </c>
      <c r="C30" s="15">
        <v>1</v>
      </c>
      <c r="D30" s="15">
        <v>1</v>
      </c>
      <c r="E30" s="15">
        <v>0</v>
      </c>
      <c r="F30" s="15">
        <f t="shared" si="0"/>
        <v>2</v>
      </c>
    </row>
    <row r="31" spans="1:6" x14ac:dyDescent="0.3">
      <c r="A31" s="4">
        <v>405747</v>
      </c>
      <c r="B31" s="2" t="s">
        <v>31</v>
      </c>
      <c r="C31" s="15">
        <v>1</v>
      </c>
      <c r="D31" s="15">
        <f>IFERROR(VLOOKUP(A31,'[3]Consumo SEMANAL PV '!$B:$B,1,0),0)</f>
        <v>0</v>
      </c>
      <c r="E31" s="15">
        <v>0</v>
      </c>
      <c r="F31" s="15">
        <f t="shared" si="0"/>
        <v>1</v>
      </c>
    </row>
    <row r="32" spans="1:6" x14ac:dyDescent="0.3">
      <c r="A32" s="4">
        <v>403355</v>
      </c>
      <c r="B32" s="2" t="s">
        <v>32</v>
      </c>
      <c r="C32" s="15">
        <v>1</v>
      </c>
      <c r="D32" s="15">
        <f>IFERROR(VLOOKUP(A32,'[3]Consumo SEMANAL PV '!$B:$B,1,0),0)</f>
        <v>0</v>
      </c>
      <c r="E32" s="15">
        <v>0</v>
      </c>
      <c r="F32" s="15">
        <f t="shared" si="0"/>
        <v>1</v>
      </c>
    </row>
    <row r="33" spans="1:6" x14ac:dyDescent="0.3">
      <c r="A33" s="4">
        <v>107320</v>
      </c>
      <c r="B33" s="2" t="s">
        <v>33</v>
      </c>
      <c r="C33" s="15">
        <v>1</v>
      </c>
      <c r="D33" s="15">
        <v>1</v>
      </c>
      <c r="E33" s="15">
        <v>0</v>
      </c>
      <c r="F33" s="15">
        <f t="shared" si="0"/>
        <v>2</v>
      </c>
    </row>
    <row r="34" spans="1:6" x14ac:dyDescent="0.3">
      <c r="A34" s="4">
        <v>405427</v>
      </c>
      <c r="B34" s="2" t="s">
        <v>34</v>
      </c>
      <c r="C34" s="15">
        <v>1</v>
      </c>
      <c r="D34" s="15">
        <f>IFERROR(VLOOKUP(A34,'[3]Consumo SEMANAL PV '!$B:$B,1,0),0)</f>
        <v>0</v>
      </c>
      <c r="E34" s="15">
        <v>0</v>
      </c>
      <c r="F34" s="15">
        <f t="shared" si="0"/>
        <v>1</v>
      </c>
    </row>
    <row r="35" spans="1:6" x14ac:dyDescent="0.3">
      <c r="A35" s="4">
        <v>107323</v>
      </c>
      <c r="B35" s="2" t="s">
        <v>35</v>
      </c>
      <c r="C35" s="15">
        <v>1</v>
      </c>
      <c r="D35" s="15">
        <f>IFERROR(VLOOKUP(A35,'[3]Consumo SEMANAL PV '!$B:$B,1,0),0)</f>
        <v>0</v>
      </c>
      <c r="E35" s="15">
        <v>0</v>
      </c>
      <c r="F35" s="15">
        <f t="shared" si="0"/>
        <v>1</v>
      </c>
    </row>
    <row r="36" spans="1:6" x14ac:dyDescent="0.3">
      <c r="A36" s="4">
        <v>107300</v>
      </c>
      <c r="B36" s="2" t="s">
        <v>36</v>
      </c>
      <c r="C36" s="15">
        <v>1</v>
      </c>
      <c r="D36" s="15">
        <v>1</v>
      </c>
      <c r="E36" s="15">
        <v>1</v>
      </c>
      <c r="F36" s="15">
        <f t="shared" si="0"/>
        <v>3</v>
      </c>
    </row>
    <row r="37" spans="1:6" x14ac:dyDescent="0.3">
      <c r="A37" s="4">
        <v>405560</v>
      </c>
      <c r="B37" s="2" t="s">
        <v>37</v>
      </c>
      <c r="C37" s="15">
        <v>1</v>
      </c>
      <c r="D37" s="15">
        <f>IFERROR(VLOOKUP(A37,'[3]Consumo SEMANAL PV '!$B:$B,1,0),0)</f>
        <v>0</v>
      </c>
      <c r="E37" s="15">
        <v>0</v>
      </c>
      <c r="F37" s="15">
        <f t="shared" si="0"/>
        <v>1</v>
      </c>
    </row>
    <row r="38" spans="1:6" x14ac:dyDescent="0.3">
      <c r="A38" s="4">
        <v>393400</v>
      </c>
      <c r="B38" s="2" t="s">
        <v>38</v>
      </c>
      <c r="C38" s="15">
        <v>1</v>
      </c>
      <c r="D38" s="15">
        <f>IFERROR(VLOOKUP(A38,'[3]Consumo SEMANAL PV '!$B:$B,1,0),0)</f>
        <v>0</v>
      </c>
      <c r="E38" s="15">
        <v>0</v>
      </c>
      <c r="F38" s="15">
        <f t="shared" si="0"/>
        <v>1</v>
      </c>
    </row>
    <row r="39" spans="1:6" x14ac:dyDescent="0.3">
      <c r="A39" s="4">
        <v>405559</v>
      </c>
      <c r="B39" s="2" t="s">
        <v>39</v>
      </c>
      <c r="C39" s="15">
        <v>1</v>
      </c>
      <c r="D39" s="15">
        <f>IFERROR(VLOOKUP(A39,'[3]Consumo SEMANAL PV '!$B:$B,1,0),0)</f>
        <v>0</v>
      </c>
      <c r="E39" s="15">
        <v>0</v>
      </c>
      <c r="F39" s="15">
        <f t="shared" si="0"/>
        <v>1</v>
      </c>
    </row>
    <row r="40" spans="1:6" x14ac:dyDescent="0.3">
      <c r="A40" s="4">
        <v>170183</v>
      </c>
      <c r="B40" s="2" t="s">
        <v>40</v>
      </c>
      <c r="C40" s="15">
        <v>1</v>
      </c>
      <c r="D40" s="15">
        <f>IFERROR(VLOOKUP(A40,'[3]Consumo SEMANAL PV '!$B:$B,1,0),0)</f>
        <v>0</v>
      </c>
      <c r="E40" s="15">
        <v>0</v>
      </c>
      <c r="F40" s="15">
        <f t="shared" si="0"/>
        <v>1</v>
      </c>
    </row>
    <row r="41" spans="1:6" x14ac:dyDescent="0.3">
      <c r="A41" s="4">
        <v>107342</v>
      </c>
      <c r="B41" s="2" t="s">
        <v>41</v>
      </c>
      <c r="C41" s="15">
        <v>1</v>
      </c>
      <c r="D41" s="15">
        <v>0</v>
      </c>
      <c r="E41" s="15">
        <v>0</v>
      </c>
      <c r="F41" s="15">
        <f t="shared" si="0"/>
        <v>1</v>
      </c>
    </row>
    <row r="42" spans="1:6" x14ac:dyDescent="0.3">
      <c r="A42" s="4">
        <v>107237</v>
      </c>
      <c r="B42" s="2" t="s">
        <v>42</v>
      </c>
      <c r="C42" s="15">
        <v>1</v>
      </c>
      <c r="D42" s="15">
        <v>1</v>
      </c>
      <c r="E42" s="15">
        <v>0</v>
      </c>
      <c r="F42" s="15">
        <f t="shared" si="0"/>
        <v>2</v>
      </c>
    </row>
    <row r="43" spans="1:6" x14ac:dyDescent="0.3">
      <c r="A43" s="4">
        <v>107104</v>
      </c>
      <c r="B43" s="2" t="s">
        <v>43</v>
      </c>
      <c r="C43" s="15">
        <v>1</v>
      </c>
      <c r="D43" s="15">
        <v>1</v>
      </c>
      <c r="E43" s="15">
        <v>0</v>
      </c>
      <c r="F43" s="15">
        <f t="shared" si="0"/>
        <v>2</v>
      </c>
    </row>
    <row r="44" spans="1:6" x14ac:dyDescent="0.3">
      <c r="A44" s="4">
        <v>107142</v>
      </c>
      <c r="B44" s="2" t="s">
        <v>44</v>
      </c>
      <c r="C44" s="15">
        <v>1</v>
      </c>
      <c r="D44" s="15">
        <v>1</v>
      </c>
      <c r="E44" s="15">
        <v>0</v>
      </c>
      <c r="F44" s="15">
        <f t="shared" si="0"/>
        <v>2</v>
      </c>
    </row>
    <row r="45" spans="1:6" x14ac:dyDescent="0.3">
      <c r="A45" s="4">
        <v>107098</v>
      </c>
      <c r="B45" s="2" t="s">
        <v>45</v>
      </c>
      <c r="C45" s="15">
        <v>1</v>
      </c>
      <c r="D45" s="15">
        <v>1</v>
      </c>
      <c r="E45" s="15">
        <v>1</v>
      </c>
      <c r="F45" s="15">
        <f t="shared" si="0"/>
        <v>3</v>
      </c>
    </row>
    <row r="46" spans="1:6" x14ac:dyDescent="0.3">
      <c r="A46" s="4">
        <v>107242</v>
      </c>
      <c r="B46" s="2" t="s">
        <v>46</v>
      </c>
      <c r="C46" s="15">
        <v>1</v>
      </c>
      <c r="D46" s="15">
        <v>1</v>
      </c>
      <c r="E46" s="15">
        <v>0</v>
      </c>
      <c r="F46" s="15">
        <f t="shared" si="0"/>
        <v>2</v>
      </c>
    </row>
    <row r="47" spans="1:6" x14ac:dyDescent="0.3">
      <c r="A47" s="4">
        <v>405673</v>
      </c>
      <c r="B47" s="2" t="s">
        <v>47</v>
      </c>
      <c r="C47" s="15">
        <v>1</v>
      </c>
      <c r="D47" s="15">
        <f>IFERROR(VLOOKUP(A47,'[3]Consumo SEMANAL PV '!$B:$B,1,0),0)</f>
        <v>0</v>
      </c>
      <c r="E47" s="15">
        <v>0</v>
      </c>
      <c r="F47" s="15">
        <f t="shared" si="0"/>
        <v>1</v>
      </c>
    </row>
    <row r="48" spans="1:6" x14ac:dyDescent="0.3">
      <c r="A48" s="4">
        <v>103612</v>
      </c>
      <c r="B48" s="2" t="s">
        <v>48</v>
      </c>
      <c r="C48" s="15">
        <v>1</v>
      </c>
      <c r="D48" s="15">
        <v>1</v>
      </c>
      <c r="E48" s="15">
        <v>0</v>
      </c>
      <c r="F48" s="15">
        <f t="shared" si="0"/>
        <v>2</v>
      </c>
    </row>
    <row r="49" spans="1:6" x14ac:dyDescent="0.3">
      <c r="A49" s="4">
        <v>107209</v>
      </c>
      <c r="B49" s="2" t="s">
        <v>49</v>
      </c>
      <c r="C49" s="15">
        <v>1</v>
      </c>
      <c r="D49" s="15">
        <v>1</v>
      </c>
      <c r="E49" s="15">
        <v>0</v>
      </c>
      <c r="F49" s="15">
        <f t="shared" si="0"/>
        <v>2</v>
      </c>
    </row>
    <row r="50" spans="1:6" x14ac:dyDescent="0.3">
      <c r="A50" s="4">
        <v>107105</v>
      </c>
      <c r="B50" s="2" t="s">
        <v>50</v>
      </c>
      <c r="C50" s="15">
        <v>1</v>
      </c>
      <c r="D50" s="15">
        <f>IFERROR(VLOOKUP(A50,'[3]Consumo SEMANAL PV '!$B:$B,1,0),0)</f>
        <v>0</v>
      </c>
      <c r="E50" s="15">
        <v>0</v>
      </c>
      <c r="F50" s="15">
        <f t="shared" si="0"/>
        <v>1</v>
      </c>
    </row>
    <row r="51" spans="1:6" x14ac:dyDescent="0.3">
      <c r="A51" s="4">
        <v>107345</v>
      </c>
      <c r="B51" s="2" t="s">
        <v>51</v>
      </c>
      <c r="C51" s="15">
        <v>1</v>
      </c>
      <c r="D51" s="15">
        <v>1</v>
      </c>
      <c r="E51" s="15">
        <v>0</v>
      </c>
      <c r="F51" s="15">
        <f t="shared" si="0"/>
        <v>2</v>
      </c>
    </row>
    <row r="52" spans="1:6" x14ac:dyDescent="0.3">
      <c r="A52" s="4">
        <v>403212</v>
      </c>
      <c r="B52" s="2" t="s">
        <v>52</v>
      </c>
      <c r="C52" s="15">
        <v>1</v>
      </c>
      <c r="D52" s="15">
        <f>IFERROR(VLOOKUP(A52,'[3]Consumo SEMANAL PV '!$B:$B,1,0),0)</f>
        <v>0</v>
      </c>
      <c r="E52" s="15">
        <v>0</v>
      </c>
      <c r="F52" s="15">
        <f t="shared" si="0"/>
        <v>1</v>
      </c>
    </row>
    <row r="53" spans="1:6" x14ac:dyDescent="0.3">
      <c r="A53" s="4">
        <v>404314</v>
      </c>
      <c r="B53" s="2" t="s">
        <v>53</v>
      </c>
      <c r="C53" s="15">
        <v>1</v>
      </c>
      <c r="D53" s="15">
        <f>IFERROR(VLOOKUP(A53,'[3]Consumo SEMANAL PV '!$B:$B,1,0),0)</f>
        <v>0</v>
      </c>
      <c r="E53" s="15">
        <v>0</v>
      </c>
      <c r="F53" s="15">
        <f t="shared" si="0"/>
        <v>1</v>
      </c>
    </row>
    <row r="54" spans="1:6" x14ac:dyDescent="0.3">
      <c r="A54" s="4">
        <v>107339</v>
      </c>
      <c r="B54" s="2" t="s">
        <v>54</v>
      </c>
      <c r="C54" s="15">
        <v>1</v>
      </c>
      <c r="D54" s="15">
        <v>1</v>
      </c>
      <c r="E54" s="15">
        <v>0</v>
      </c>
      <c r="F54" s="15">
        <f t="shared" si="0"/>
        <v>2</v>
      </c>
    </row>
    <row r="55" spans="1:6" x14ac:dyDescent="0.3">
      <c r="A55" s="4">
        <v>405444</v>
      </c>
      <c r="B55" s="2" t="s">
        <v>55</v>
      </c>
      <c r="C55" s="15">
        <v>1</v>
      </c>
      <c r="D55" s="15">
        <v>1</v>
      </c>
      <c r="E55" s="15">
        <v>1</v>
      </c>
      <c r="F55" s="15">
        <f t="shared" si="0"/>
        <v>3</v>
      </c>
    </row>
    <row r="56" spans="1:6" x14ac:dyDescent="0.3">
      <c r="A56" s="4">
        <v>405278</v>
      </c>
      <c r="B56" s="2" t="s">
        <v>56</v>
      </c>
      <c r="C56" s="15">
        <v>1</v>
      </c>
      <c r="D56" s="15">
        <v>1</v>
      </c>
      <c r="E56" s="15">
        <v>0</v>
      </c>
      <c r="F56" s="15">
        <f t="shared" si="0"/>
        <v>2</v>
      </c>
    </row>
    <row r="57" spans="1:6" x14ac:dyDescent="0.3">
      <c r="A57" s="4">
        <v>107344</v>
      </c>
      <c r="B57" s="2" t="s">
        <v>57</v>
      </c>
      <c r="C57" s="15">
        <v>1</v>
      </c>
      <c r="D57" s="15">
        <v>1</v>
      </c>
      <c r="E57" s="15">
        <v>1</v>
      </c>
      <c r="F57" s="15">
        <f t="shared" si="0"/>
        <v>3</v>
      </c>
    </row>
    <row r="58" spans="1:6" x14ac:dyDescent="0.3">
      <c r="A58" s="4">
        <v>107303</v>
      </c>
      <c r="B58" s="2" t="s">
        <v>58</v>
      </c>
      <c r="C58" s="15">
        <v>1</v>
      </c>
      <c r="D58" s="15">
        <f>IFERROR(VLOOKUP(A58,'[3]Consumo SEMANAL PV '!$B:$B,1,0),0)</f>
        <v>0</v>
      </c>
      <c r="E58" s="15">
        <v>0</v>
      </c>
      <c r="F58" s="15">
        <f t="shared" si="0"/>
        <v>1</v>
      </c>
    </row>
    <row r="59" spans="1:6" x14ac:dyDescent="0.3">
      <c r="A59" s="4">
        <v>107127</v>
      </c>
      <c r="B59" s="2" t="s">
        <v>59</v>
      </c>
      <c r="C59" s="15">
        <v>1</v>
      </c>
      <c r="D59" s="15">
        <v>1</v>
      </c>
      <c r="E59" s="15">
        <v>1</v>
      </c>
      <c r="F59" s="15">
        <f t="shared" si="0"/>
        <v>3</v>
      </c>
    </row>
    <row r="60" spans="1:6" x14ac:dyDescent="0.3">
      <c r="A60" s="4">
        <v>107108</v>
      </c>
      <c r="B60" s="2" t="s">
        <v>60</v>
      </c>
      <c r="C60" s="15">
        <v>1</v>
      </c>
      <c r="D60" s="15">
        <v>1</v>
      </c>
      <c r="E60" s="15">
        <v>1</v>
      </c>
      <c r="F60" s="15">
        <f t="shared" si="0"/>
        <v>3</v>
      </c>
    </row>
    <row r="61" spans="1:6" x14ac:dyDescent="0.3">
      <c r="A61" s="4">
        <v>405740</v>
      </c>
      <c r="B61" s="2" t="s">
        <v>61</v>
      </c>
      <c r="C61" s="15">
        <v>1</v>
      </c>
      <c r="D61" s="15">
        <v>1</v>
      </c>
      <c r="E61" s="15">
        <v>1</v>
      </c>
      <c r="F61" s="15">
        <f t="shared" si="0"/>
        <v>3</v>
      </c>
    </row>
    <row r="62" spans="1:6" x14ac:dyDescent="0.3">
      <c r="A62" s="4">
        <v>403101</v>
      </c>
      <c r="B62" s="2" t="s">
        <v>62</v>
      </c>
      <c r="C62" s="15">
        <v>1</v>
      </c>
      <c r="D62" s="15">
        <v>1</v>
      </c>
      <c r="E62" s="15">
        <v>0</v>
      </c>
      <c r="F62" s="15">
        <f t="shared" si="0"/>
        <v>2</v>
      </c>
    </row>
    <row r="63" spans="1:6" x14ac:dyDescent="0.3">
      <c r="A63" s="4">
        <v>403278</v>
      </c>
      <c r="B63" s="2" t="s">
        <v>63</v>
      </c>
      <c r="C63" s="15">
        <v>1</v>
      </c>
      <c r="D63" s="15">
        <v>1</v>
      </c>
      <c r="E63" s="15">
        <v>0</v>
      </c>
      <c r="F63" s="15">
        <f t="shared" si="0"/>
        <v>2</v>
      </c>
    </row>
    <row r="64" spans="1:6" x14ac:dyDescent="0.3">
      <c r="A64" s="4">
        <v>403271</v>
      </c>
      <c r="B64" s="2" t="s">
        <v>64</v>
      </c>
      <c r="C64" s="15">
        <v>1</v>
      </c>
      <c r="D64" s="15">
        <v>1</v>
      </c>
      <c r="E64" s="15">
        <v>0</v>
      </c>
      <c r="F64" s="15">
        <f t="shared" si="0"/>
        <v>2</v>
      </c>
    </row>
    <row r="65" spans="1:6" x14ac:dyDescent="0.3">
      <c r="A65" s="4">
        <v>107292</v>
      </c>
      <c r="B65" s="2" t="s">
        <v>65</v>
      </c>
      <c r="C65" s="15">
        <v>1</v>
      </c>
      <c r="D65" s="15">
        <v>1</v>
      </c>
      <c r="E65" s="15">
        <v>0</v>
      </c>
      <c r="F65" s="15">
        <f t="shared" si="0"/>
        <v>2</v>
      </c>
    </row>
    <row r="66" spans="1:6" x14ac:dyDescent="0.3">
      <c r="A66" s="4">
        <v>405587</v>
      </c>
      <c r="B66" s="2" t="s">
        <v>66</v>
      </c>
      <c r="C66" s="15">
        <v>0</v>
      </c>
      <c r="D66" s="15">
        <f>IFERROR(VLOOKUP(A66,'[3]Consumo SEMANAL PV '!$B:$B,1,0),0)</f>
        <v>0</v>
      </c>
      <c r="E66" s="15">
        <v>1</v>
      </c>
      <c r="F66" s="15">
        <f t="shared" si="0"/>
        <v>1</v>
      </c>
    </row>
    <row r="67" spans="1:6" x14ac:dyDescent="0.3">
      <c r="A67" s="4">
        <v>107210</v>
      </c>
      <c r="B67" s="2" t="s">
        <v>67</v>
      </c>
      <c r="C67" s="15">
        <v>1</v>
      </c>
      <c r="D67" s="15">
        <v>1</v>
      </c>
      <c r="E67" s="15">
        <v>0</v>
      </c>
      <c r="F67" s="15">
        <f t="shared" ref="F67:F130" si="1">COUNTIF(C67:E67,1)</f>
        <v>2</v>
      </c>
    </row>
    <row r="68" spans="1:6" x14ac:dyDescent="0.3">
      <c r="A68" s="4">
        <v>405582</v>
      </c>
      <c r="B68" s="2" t="s">
        <v>68</v>
      </c>
      <c r="C68" s="15">
        <v>1</v>
      </c>
      <c r="D68" s="15">
        <v>1</v>
      </c>
      <c r="E68" s="15">
        <v>0</v>
      </c>
      <c r="F68" s="15">
        <f t="shared" si="1"/>
        <v>2</v>
      </c>
    </row>
    <row r="69" spans="1:6" x14ac:dyDescent="0.3">
      <c r="A69" s="4">
        <v>405583</v>
      </c>
      <c r="B69" s="2" t="s">
        <v>69</v>
      </c>
      <c r="C69" s="15">
        <v>1</v>
      </c>
      <c r="D69" s="15">
        <v>1</v>
      </c>
      <c r="E69" s="15">
        <v>0</v>
      </c>
      <c r="F69" s="15">
        <f t="shared" si="1"/>
        <v>2</v>
      </c>
    </row>
    <row r="70" spans="1:6" x14ac:dyDescent="0.3">
      <c r="A70" s="4">
        <v>353009</v>
      </c>
      <c r="B70" s="2" t="s">
        <v>70</v>
      </c>
      <c r="C70" s="15">
        <v>1</v>
      </c>
      <c r="D70" s="15">
        <v>1</v>
      </c>
      <c r="E70" s="15">
        <v>0</v>
      </c>
      <c r="F70" s="15">
        <f t="shared" si="1"/>
        <v>2</v>
      </c>
    </row>
    <row r="71" spans="1:6" x14ac:dyDescent="0.3">
      <c r="A71" s="4">
        <v>107247</v>
      </c>
      <c r="B71" s="2" t="s">
        <v>71</v>
      </c>
      <c r="C71" s="15">
        <v>1</v>
      </c>
      <c r="D71" s="15">
        <f>IFERROR(VLOOKUP(A71,'[3]Consumo SEMANAL PV '!$B:$B,1,0),0)</f>
        <v>0</v>
      </c>
      <c r="E71" s="15">
        <v>0</v>
      </c>
      <c r="F71" s="15">
        <f t="shared" si="1"/>
        <v>1</v>
      </c>
    </row>
    <row r="72" spans="1:6" x14ac:dyDescent="0.3">
      <c r="A72" s="4">
        <v>107294</v>
      </c>
      <c r="B72" s="2" t="s">
        <v>72</v>
      </c>
      <c r="C72" s="15">
        <v>1</v>
      </c>
      <c r="D72" s="15">
        <v>1</v>
      </c>
      <c r="E72" s="15">
        <v>1</v>
      </c>
      <c r="F72" s="15">
        <f t="shared" si="1"/>
        <v>3</v>
      </c>
    </row>
    <row r="73" spans="1:6" x14ac:dyDescent="0.3">
      <c r="A73" s="4">
        <v>107401</v>
      </c>
      <c r="B73" s="2" t="s">
        <v>73</v>
      </c>
      <c r="C73" s="15">
        <v>1</v>
      </c>
      <c r="D73" s="15">
        <v>1</v>
      </c>
      <c r="E73" s="15">
        <v>0</v>
      </c>
      <c r="F73" s="15">
        <f t="shared" si="1"/>
        <v>2</v>
      </c>
    </row>
    <row r="74" spans="1:6" x14ac:dyDescent="0.3">
      <c r="A74" s="4">
        <v>405305</v>
      </c>
      <c r="B74" s="2" t="s">
        <v>74</v>
      </c>
      <c r="C74" s="15">
        <v>1</v>
      </c>
      <c r="D74" s="15">
        <f>IFERROR(VLOOKUP(A74,'[3]Consumo SEMANAL PV '!$B:$B,1,0),0)</f>
        <v>0</v>
      </c>
      <c r="E74" s="15">
        <v>0</v>
      </c>
      <c r="F74" s="15">
        <f t="shared" si="1"/>
        <v>1</v>
      </c>
    </row>
    <row r="75" spans="1:6" x14ac:dyDescent="0.3">
      <c r="A75" s="4">
        <v>405652</v>
      </c>
      <c r="B75" s="2" t="s">
        <v>75</v>
      </c>
      <c r="C75" s="15">
        <v>1</v>
      </c>
      <c r="D75" s="15">
        <f>IFERROR(VLOOKUP(A75,'[3]Consumo SEMANAL PV '!$B:$B,1,0),0)</f>
        <v>0</v>
      </c>
      <c r="E75" s="15">
        <v>0</v>
      </c>
      <c r="F75" s="15">
        <f t="shared" si="1"/>
        <v>1</v>
      </c>
    </row>
    <row r="76" spans="1:6" x14ac:dyDescent="0.3">
      <c r="A76" s="4">
        <v>405358</v>
      </c>
      <c r="B76" s="2" t="s">
        <v>76</v>
      </c>
      <c r="C76" s="15">
        <v>1</v>
      </c>
      <c r="D76" s="15">
        <f>IFERROR(VLOOKUP(A76,'[3]Consumo SEMANAL PV '!$B:$B,1,0),0)</f>
        <v>0</v>
      </c>
      <c r="E76" s="15">
        <v>0</v>
      </c>
      <c r="F76" s="15">
        <f t="shared" si="1"/>
        <v>1</v>
      </c>
    </row>
    <row r="77" spans="1:6" x14ac:dyDescent="0.3">
      <c r="A77" s="4">
        <v>405712</v>
      </c>
      <c r="B77" s="2" t="s">
        <v>77</v>
      </c>
      <c r="C77" s="15">
        <v>0</v>
      </c>
      <c r="D77" s="15">
        <v>0</v>
      </c>
      <c r="E77" s="15">
        <v>1</v>
      </c>
      <c r="F77" s="15">
        <f t="shared" si="1"/>
        <v>1</v>
      </c>
    </row>
    <row r="78" spans="1:6" x14ac:dyDescent="0.3">
      <c r="A78" s="4">
        <v>405453</v>
      </c>
      <c r="B78" s="2" t="s">
        <v>78</v>
      </c>
      <c r="C78" s="15">
        <v>1</v>
      </c>
      <c r="D78" s="15">
        <f>IFERROR(VLOOKUP(A78,'[3]Consumo SEMANAL PV '!$B:$B,1,0),0)</f>
        <v>0</v>
      </c>
      <c r="E78" s="15">
        <v>0</v>
      </c>
      <c r="F78" s="15">
        <f t="shared" si="1"/>
        <v>1</v>
      </c>
    </row>
    <row r="79" spans="1:6" x14ac:dyDescent="0.3">
      <c r="A79" s="4">
        <v>405785</v>
      </c>
      <c r="B79" s="2" t="s">
        <v>79</v>
      </c>
      <c r="C79" s="15">
        <v>1</v>
      </c>
      <c r="D79" s="15">
        <f>IFERROR(VLOOKUP(A79,'[3]Consumo SEMANAL PV '!$B:$B,1,0),0)</f>
        <v>0</v>
      </c>
      <c r="E79" s="15">
        <v>0</v>
      </c>
      <c r="F79" s="15">
        <f t="shared" si="1"/>
        <v>1</v>
      </c>
    </row>
    <row r="80" spans="1:6" x14ac:dyDescent="0.3">
      <c r="A80" s="4">
        <v>405752</v>
      </c>
      <c r="B80" s="2" t="s">
        <v>80</v>
      </c>
      <c r="C80" s="15">
        <v>1</v>
      </c>
      <c r="D80" s="15">
        <f>IFERROR(VLOOKUP(A80,'[3]Consumo SEMANAL PV '!$B:$B,1,0),0)</f>
        <v>0</v>
      </c>
      <c r="E80" s="15">
        <v>0</v>
      </c>
      <c r="F80" s="15">
        <f t="shared" si="1"/>
        <v>1</v>
      </c>
    </row>
    <row r="81" spans="1:6" x14ac:dyDescent="0.3">
      <c r="A81" s="4">
        <v>405687</v>
      </c>
      <c r="B81" s="2" t="s">
        <v>81</v>
      </c>
      <c r="C81" s="15">
        <v>1</v>
      </c>
      <c r="D81" s="15">
        <f>IFERROR(VLOOKUP(A81,'[3]Consumo SEMANAL PV '!$B:$B,1,0),0)</f>
        <v>0</v>
      </c>
      <c r="E81" s="15">
        <v>0</v>
      </c>
      <c r="F81" s="15">
        <f t="shared" si="1"/>
        <v>1</v>
      </c>
    </row>
    <row r="82" spans="1:6" x14ac:dyDescent="0.3">
      <c r="A82" s="4">
        <v>405353</v>
      </c>
      <c r="B82" s="2" t="s">
        <v>82</v>
      </c>
      <c r="C82" s="15">
        <v>1</v>
      </c>
      <c r="D82" s="15">
        <v>0</v>
      </c>
      <c r="E82" s="15">
        <v>0</v>
      </c>
      <c r="F82" s="15">
        <f t="shared" si="1"/>
        <v>1</v>
      </c>
    </row>
    <row r="83" spans="1:6" x14ac:dyDescent="0.3">
      <c r="A83" s="4">
        <v>405787</v>
      </c>
      <c r="B83" s="2" t="s">
        <v>83</v>
      </c>
      <c r="C83" s="15">
        <v>1</v>
      </c>
      <c r="D83" s="15">
        <f>IFERROR(VLOOKUP(A83,'[3]Consumo SEMANAL PV '!$B:$B,1,0),0)</f>
        <v>0</v>
      </c>
      <c r="E83" s="15">
        <v>0</v>
      </c>
      <c r="F83" s="15">
        <f t="shared" si="1"/>
        <v>1</v>
      </c>
    </row>
    <row r="84" spans="1:6" x14ac:dyDescent="0.3">
      <c r="A84" s="4">
        <v>405688</v>
      </c>
      <c r="B84" s="2" t="s">
        <v>84</v>
      </c>
      <c r="C84" s="15">
        <v>1</v>
      </c>
      <c r="D84" s="15">
        <f>IFERROR(VLOOKUP(A84,'[3]Consumo SEMANAL PV '!$B:$B,1,0),0)</f>
        <v>0</v>
      </c>
      <c r="E84" s="15">
        <v>0</v>
      </c>
      <c r="F84" s="15">
        <f t="shared" si="1"/>
        <v>1</v>
      </c>
    </row>
    <row r="85" spans="1:6" x14ac:dyDescent="0.3">
      <c r="A85" s="4">
        <v>405698</v>
      </c>
      <c r="B85" s="2" t="s">
        <v>85</v>
      </c>
      <c r="C85" s="15">
        <v>1</v>
      </c>
      <c r="D85" s="15">
        <f>IFERROR(VLOOKUP(A85,'[3]Consumo SEMANAL PV '!$B:$B,1,0),0)</f>
        <v>0</v>
      </c>
      <c r="E85" s="15">
        <v>0</v>
      </c>
      <c r="F85" s="15">
        <f t="shared" si="1"/>
        <v>1</v>
      </c>
    </row>
    <row r="86" spans="1:6" x14ac:dyDescent="0.3">
      <c r="A86" s="4">
        <v>405449</v>
      </c>
      <c r="B86" s="2" t="s">
        <v>86</v>
      </c>
      <c r="C86" s="15">
        <v>1</v>
      </c>
      <c r="D86" s="15">
        <f>IFERROR(VLOOKUP(A86,'[3]Consumo SEMANAL PV '!$B:$B,1,0),0)</f>
        <v>0</v>
      </c>
      <c r="E86" s="15">
        <v>0</v>
      </c>
      <c r="F86" s="15">
        <f t="shared" si="1"/>
        <v>1</v>
      </c>
    </row>
    <row r="87" spans="1:6" x14ac:dyDescent="0.3">
      <c r="A87" s="4">
        <v>405448</v>
      </c>
      <c r="B87" s="2" t="s">
        <v>87</v>
      </c>
      <c r="C87" s="15">
        <v>1</v>
      </c>
      <c r="D87" s="15">
        <f>IFERROR(VLOOKUP(A87,'[3]Consumo SEMANAL PV '!$B:$B,1,0),0)</f>
        <v>0</v>
      </c>
      <c r="E87" s="15">
        <v>0</v>
      </c>
      <c r="F87" s="15">
        <f t="shared" si="1"/>
        <v>1</v>
      </c>
    </row>
    <row r="88" spans="1:6" x14ac:dyDescent="0.3">
      <c r="A88" s="4">
        <v>405753</v>
      </c>
      <c r="B88" s="2" t="s">
        <v>88</v>
      </c>
      <c r="C88" s="15">
        <v>1</v>
      </c>
      <c r="D88" s="15">
        <f>IFERROR(VLOOKUP(A88,'[3]Consumo SEMANAL PV '!$B:$B,1,0),0)</f>
        <v>0</v>
      </c>
      <c r="E88" s="15">
        <v>0</v>
      </c>
      <c r="F88" s="15">
        <f t="shared" si="1"/>
        <v>1</v>
      </c>
    </row>
    <row r="89" spans="1:6" x14ac:dyDescent="0.3">
      <c r="A89" s="4">
        <v>405686</v>
      </c>
      <c r="B89" s="2" t="s">
        <v>89</v>
      </c>
      <c r="C89" s="15">
        <v>1</v>
      </c>
      <c r="D89" s="15">
        <f>IFERROR(VLOOKUP(A89,'[3]Consumo SEMANAL PV '!$B:$B,1,0),0)</f>
        <v>0</v>
      </c>
      <c r="E89" s="15">
        <v>0</v>
      </c>
      <c r="F89" s="15">
        <f t="shared" si="1"/>
        <v>1</v>
      </c>
    </row>
    <row r="90" spans="1:6" x14ac:dyDescent="0.3">
      <c r="A90" s="4">
        <v>405301</v>
      </c>
      <c r="B90" s="2" t="s">
        <v>90</v>
      </c>
      <c r="C90" s="15">
        <v>1</v>
      </c>
      <c r="D90" s="15">
        <f>IFERROR(VLOOKUP(A90,'[3]Consumo SEMANAL PV '!$B:$B,1,0),0)</f>
        <v>0</v>
      </c>
      <c r="E90" s="15">
        <v>0</v>
      </c>
      <c r="F90" s="15">
        <f t="shared" si="1"/>
        <v>1</v>
      </c>
    </row>
    <row r="91" spans="1:6" x14ac:dyDescent="0.3">
      <c r="A91" s="4">
        <v>405300</v>
      </c>
      <c r="B91" s="2" t="s">
        <v>91</v>
      </c>
      <c r="C91" s="15">
        <v>1</v>
      </c>
      <c r="D91" s="15">
        <f>IFERROR(VLOOKUP(A91,'[3]Consumo SEMANAL PV '!$B:$B,1,0),0)</f>
        <v>0</v>
      </c>
      <c r="E91" s="15">
        <v>0</v>
      </c>
      <c r="F91" s="15">
        <f t="shared" si="1"/>
        <v>1</v>
      </c>
    </row>
    <row r="92" spans="1:6" x14ac:dyDescent="0.3">
      <c r="A92" s="4">
        <v>405302</v>
      </c>
      <c r="B92" s="2" t="s">
        <v>92</v>
      </c>
      <c r="C92" s="15">
        <v>1</v>
      </c>
      <c r="D92" s="15">
        <f>IFERROR(VLOOKUP(A92,'[3]Consumo SEMANAL PV '!$B:$B,1,0),0)</f>
        <v>0</v>
      </c>
      <c r="E92" s="15">
        <v>0</v>
      </c>
      <c r="F92" s="15">
        <f t="shared" si="1"/>
        <v>1</v>
      </c>
    </row>
    <row r="93" spans="1:6" x14ac:dyDescent="0.3">
      <c r="A93" s="4">
        <v>405535</v>
      </c>
      <c r="B93" s="2" t="s">
        <v>93</v>
      </c>
      <c r="C93" s="15">
        <v>1</v>
      </c>
      <c r="D93" s="15">
        <f>IFERROR(VLOOKUP(A93,'[3]Consumo SEMANAL PV '!$B:$B,1,0),0)</f>
        <v>0</v>
      </c>
      <c r="E93" s="15">
        <v>0</v>
      </c>
      <c r="F93" s="15">
        <f t="shared" si="1"/>
        <v>1</v>
      </c>
    </row>
    <row r="94" spans="1:6" x14ac:dyDescent="0.3">
      <c r="A94" s="4">
        <v>405129</v>
      </c>
      <c r="B94" s="2" t="s">
        <v>94</v>
      </c>
      <c r="C94" s="15">
        <v>0</v>
      </c>
      <c r="D94" s="15">
        <f>IFERROR(VLOOKUP(A94,'[3]Consumo SEMANAL PV '!$B:$B,1,0),0)</f>
        <v>0</v>
      </c>
      <c r="E94" s="15">
        <v>1</v>
      </c>
      <c r="F94" s="15">
        <f t="shared" si="1"/>
        <v>1</v>
      </c>
    </row>
    <row r="95" spans="1:6" x14ac:dyDescent="0.3">
      <c r="A95" s="4">
        <v>405754</v>
      </c>
      <c r="B95" s="2" t="s">
        <v>95</v>
      </c>
      <c r="C95" s="15">
        <v>1</v>
      </c>
      <c r="D95" s="15">
        <f>IFERROR(VLOOKUP(A95,'[3]Consumo SEMANAL PV '!$B:$B,1,0),0)</f>
        <v>0</v>
      </c>
      <c r="E95" s="15">
        <v>0</v>
      </c>
      <c r="F95" s="15">
        <f t="shared" si="1"/>
        <v>1</v>
      </c>
    </row>
    <row r="96" spans="1:6" x14ac:dyDescent="0.3">
      <c r="A96" s="4">
        <v>405207</v>
      </c>
      <c r="B96" s="2" t="s">
        <v>96</v>
      </c>
      <c r="C96" s="15">
        <v>1</v>
      </c>
      <c r="D96" s="15">
        <f>IFERROR(VLOOKUP(A96,'[3]Consumo SEMANAL PV '!$B:$B,1,0),0)</f>
        <v>0</v>
      </c>
      <c r="E96" s="15">
        <v>0</v>
      </c>
      <c r="F96" s="15">
        <f t="shared" si="1"/>
        <v>1</v>
      </c>
    </row>
    <row r="97" spans="1:6" x14ac:dyDescent="0.3">
      <c r="A97" s="4">
        <v>405206</v>
      </c>
      <c r="B97" s="2" t="s">
        <v>97</v>
      </c>
      <c r="C97" s="15">
        <v>1</v>
      </c>
      <c r="D97" s="15">
        <f>IFERROR(VLOOKUP(A97,'[3]Consumo SEMANAL PV '!$B:$B,1,0),0)</f>
        <v>0</v>
      </c>
      <c r="E97" s="15">
        <v>0</v>
      </c>
      <c r="F97" s="15">
        <f t="shared" si="1"/>
        <v>1</v>
      </c>
    </row>
    <row r="98" spans="1:6" x14ac:dyDescent="0.3">
      <c r="A98" s="4">
        <v>405205</v>
      </c>
      <c r="B98" s="2" t="s">
        <v>98</v>
      </c>
      <c r="C98" s="15">
        <v>1</v>
      </c>
      <c r="D98" s="15">
        <f>IFERROR(VLOOKUP(A98,'[3]Consumo SEMANAL PV '!$B:$B,1,0),0)</f>
        <v>0</v>
      </c>
      <c r="E98" s="15">
        <v>0</v>
      </c>
      <c r="F98" s="15">
        <f t="shared" si="1"/>
        <v>1</v>
      </c>
    </row>
    <row r="99" spans="1:6" x14ac:dyDescent="0.3">
      <c r="A99" s="4">
        <v>405127</v>
      </c>
      <c r="B99" s="2" t="s">
        <v>99</v>
      </c>
      <c r="C99" s="15">
        <v>1</v>
      </c>
      <c r="D99" s="15">
        <f>IFERROR(VLOOKUP(A99,'[3]Consumo SEMANAL PV '!$B:$B,1,0),0)</f>
        <v>0</v>
      </c>
      <c r="E99" s="15">
        <v>0</v>
      </c>
      <c r="F99" s="15">
        <f t="shared" si="1"/>
        <v>1</v>
      </c>
    </row>
    <row r="100" spans="1:6" x14ac:dyDescent="0.3">
      <c r="A100" s="4">
        <v>405160</v>
      </c>
      <c r="B100" s="2" t="s">
        <v>100</v>
      </c>
      <c r="C100" s="15">
        <v>1</v>
      </c>
      <c r="D100" s="15">
        <v>1</v>
      </c>
      <c r="E100" s="15">
        <v>1</v>
      </c>
      <c r="F100" s="15">
        <f t="shared" si="1"/>
        <v>3</v>
      </c>
    </row>
    <row r="101" spans="1:6" x14ac:dyDescent="0.3">
      <c r="A101" s="4">
        <v>405049</v>
      </c>
      <c r="B101" s="2" t="s">
        <v>101</v>
      </c>
      <c r="C101" s="15">
        <v>1</v>
      </c>
      <c r="D101" s="15">
        <v>1</v>
      </c>
      <c r="E101" s="15">
        <v>1</v>
      </c>
      <c r="F101" s="15">
        <f t="shared" si="1"/>
        <v>3</v>
      </c>
    </row>
    <row r="102" spans="1:6" x14ac:dyDescent="0.3">
      <c r="A102" s="4">
        <v>404719</v>
      </c>
      <c r="B102" s="2" t="s">
        <v>102</v>
      </c>
      <c r="C102" s="15">
        <v>1</v>
      </c>
      <c r="D102" s="15">
        <v>1</v>
      </c>
      <c r="E102" s="15">
        <v>1</v>
      </c>
      <c r="F102" s="15">
        <f t="shared" si="1"/>
        <v>3</v>
      </c>
    </row>
    <row r="103" spans="1:6" x14ac:dyDescent="0.3">
      <c r="A103" s="4">
        <v>404718</v>
      </c>
      <c r="B103" s="2" t="s">
        <v>103</v>
      </c>
      <c r="C103" s="15">
        <v>1</v>
      </c>
      <c r="D103" s="15">
        <v>1</v>
      </c>
      <c r="E103" s="15">
        <v>0</v>
      </c>
      <c r="F103" s="15">
        <f t="shared" si="1"/>
        <v>2</v>
      </c>
    </row>
    <row r="104" spans="1:6" x14ac:dyDescent="0.3">
      <c r="A104" s="4">
        <v>405159</v>
      </c>
      <c r="B104" s="2" t="s">
        <v>104</v>
      </c>
      <c r="C104" s="15">
        <v>1</v>
      </c>
      <c r="D104" s="15">
        <v>1</v>
      </c>
      <c r="E104" s="15">
        <v>0</v>
      </c>
      <c r="F104" s="15">
        <f t="shared" si="1"/>
        <v>2</v>
      </c>
    </row>
    <row r="105" spans="1:6" x14ac:dyDescent="0.3">
      <c r="A105" s="4">
        <v>405103</v>
      </c>
      <c r="B105" s="2" t="s">
        <v>105</v>
      </c>
      <c r="C105" s="15">
        <v>1</v>
      </c>
      <c r="D105" s="15">
        <v>0</v>
      </c>
      <c r="E105" s="15">
        <v>1</v>
      </c>
      <c r="F105" s="15">
        <f t="shared" si="1"/>
        <v>2</v>
      </c>
    </row>
    <row r="106" spans="1:6" x14ac:dyDescent="0.3">
      <c r="A106" s="4">
        <v>404722</v>
      </c>
      <c r="B106" s="2" t="s">
        <v>106</v>
      </c>
      <c r="C106" s="15">
        <v>0</v>
      </c>
      <c r="D106" s="15">
        <v>0</v>
      </c>
      <c r="E106" s="15">
        <v>1</v>
      </c>
      <c r="F106" s="15">
        <f t="shared" si="1"/>
        <v>1</v>
      </c>
    </row>
    <row r="107" spans="1:6" x14ac:dyDescent="0.3">
      <c r="A107" s="4">
        <v>404748</v>
      </c>
      <c r="B107" s="2" t="s">
        <v>107</v>
      </c>
      <c r="C107" s="15">
        <v>1</v>
      </c>
      <c r="D107" s="15">
        <v>1</v>
      </c>
      <c r="E107" s="15">
        <v>0</v>
      </c>
      <c r="F107" s="15">
        <f t="shared" si="1"/>
        <v>2</v>
      </c>
    </row>
    <row r="108" spans="1:6" x14ac:dyDescent="0.3">
      <c r="A108" s="4">
        <v>405461</v>
      </c>
      <c r="B108" s="2" t="s">
        <v>108</v>
      </c>
      <c r="C108" s="15">
        <v>1</v>
      </c>
      <c r="D108" s="15">
        <v>1</v>
      </c>
      <c r="E108" s="15">
        <v>0</v>
      </c>
      <c r="F108" s="15">
        <f t="shared" si="1"/>
        <v>2</v>
      </c>
    </row>
    <row r="109" spans="1:6" x14ac:dyDescent="0.3">
      <c r="A109" s="4">
        <v>404736</v>
      </c>
      <c r="B109" s="2" t="s">
        <v>109</v>
      </c>
      <c r="C109" s="15">
        <v>1</v>
      </c>
      <c r="D109" s="15">
        <f>IFERROR(VLOOKUP(A109,'[3]Consumo SEMANAL PV '!$B:$B,1,0),0)</f>
        <v>0</v>
      </c>
      <c r="E109" s="15">
        <v>0</v>
      </c>
      <c r="F109" s="15">
        <f t="shared" si="1"/>
        <v>1</v>
      </c>
    </row>
    <row r="110" spans="1:6" x14ac:dyDescent="0.3">
      <c r="A110" s="4">
        <v>404735</v>
      </c>
      <c r="B110" s="2" t="s">
        <v>110</v>
      </c>
      <c r="C110" s="15">
        <v>1</v>
      </c>
      <c r="D110" s="15">
        <v>1</v>
      </c>
      <c r="E110" s="15">
        <v>0</v>
      </c>
      <c r="F110" s="15">
        <f t="shared" si="1"/>
        <v>2</v>
      </c>
    </row>
    <row r="111" spans="1:6" x14ac:dyDescent="0.3">
      <c r="A111" s="4">
        <v>107227</v>
      </c>
      <c r="B111" s="2" t="s">
        <v>111</v>
      </c>
      <c r="C111" s="15">
        <v>1</v>
      </c>
      <c r="D111" s="15">
        <f>IFERROR(VLOOKUP(A111,'[3]Consumo SEMANAL PV '!$B:$B,1,0),0)</f>
        <v>0</v>
      </c>
      <c r="E111" s="15">
        <v>0</v>
      </c>
      <c r="F111" s="15">
        <f t="shared" si="1"/>
        <v>1</v>
      </c>
    </row>
    <row r="112" spans="1:6" x14ac:dyDescent="0.3">
      <c r="A112" s="4">
        <v>107228</v>
      </c>
      <c r="B112" s="2" t="s">
        <v>112</v>
      </c>
      <c r="C112" s="15">
        <v>1</v>
      </c>
      <c r="D112" s="15">
        <f>IFERROR(VLOOKUP(A112,'[3]Consumo SEMANAL PV '!$B:$B,1,0),0)</f>
        <v>0</v>
      </c>
      <c r="E112" s="15">
        <v>0</v>
      </c>
      <c r="F112" s="15">
        <f t="shared" si="1"/>
        <v>1</v>
      </c>
    </row>
    <row r="113" spans="1:6" x14ac:dyDescent="0.3">
      <c r="A113" s="4">
        <v>404737</v>
      </c>
      <c r="B113" s="2" t="s">
        <v>113</v>
      </c>
      <c r="C113" s="15">
        <v>1</v>
      </c>
      <c r="D113" s="15">
        <f>IFERROR(VLOOKUP(A113,'[3]Consumo SEMANAL PV '!$B:$B,1,0),0)</f>
        <v>0</v>
      </c>
      <c r="E113" s="15">
        <v>0</v>
      </c>
      <c r="F113" s="15">
        <f t="shared" si="1"/>
        <v>1</v>
      </c>
    </row>
    <row r="114" spans="1:6" x14ac:dyDescent="0.3">
      <c r="A114" s="4">
        <v>404739</v>
      </c>
      <c r="B114" s="2" t="s">
        <v>114</v>
      </c>
      <c r="C114" s="15">
        <v>1</v>
      </c>
      <c r="D114" s="15">
        <f>IFERROR(VLOOKUP(A114,'[3]Consumo SEMANAL PV '!$B:$B,1,0),0)</f>
        <v>0</v>
      </c>
      <c r="E114" s="15">
        <v>0</v>
      </c>
      <c r="F114" s="15">
        <f t="shared" si="1"/>
        <v>1</v>
      </c>
    </row>
    <row r="115" spans="1:6" x14ac:dyDescent="0.3">
      <c r="A115" s="4">
        <v>404738</v>
      </c>
      <c r="B115" s="2" t="s">
        <v>115</v>
      </c>
      <c r="C115" s="15">
        <v>1</v>
      </c>
      <c r="D115" s="15">
        <f>IFERROR(VLOOKUP(A115,'[3]Consumo SEMANAL PV '!$B:$B,1,0),0)</f>
        <v>0</v>
      </c>
      <c r="E115" s="15">
        <v>0</v>
      </c>
      <c r="F115" s="15">
        <f t="shared" si="1"/>
        <v>1</v>
      </c>
    </row>
    <row r="116" spans="1:6" x14ac:dyDescent="0.3">
      <c r="A116" s="4">
        <v>404744</v>
      </c>
      <c r="B116" s="2" t="s">
        <v>116</v>
      </c>
      <c r="C116" s="15">
        <v>1</v>
      </c>
      <c r="D116" s="15">
        <v>1</v>
      </c>
      <c r="E116" s="15">
        <v>0</v>
      </c>
      <c r="F116" s="15">
        <f t="shared" si="1"/>
        <v>2</v>
      </c>
    </row>
    <row r="117" spans="1:6" x14ac:dyDescent="0.3">
      <c r="A117" s="4">
        <v>404745</v>
      </c>
      <c r="B117" s="2" t="s">
        <v>117</v>
      </c>
      <c r="C117" s="15">
        <v>1</v>
      </c>
      <c r="D117" s="15">
        <f>IFERROR(VLOOKUP(A117,'[3]Consumo SEMANAL PV '!$B:$B,1,0),0)</f>
        <v>0</v>
      </c>
      <c r="E117" s="15">
        <v>0</v>
      </c>
      <c r="F117" s="15">
        <f t="shared" si="1"/>
        <v>1</v>
      </c>
    </row>
    <row r="118" spans="1:6" x14ac:dyDescent="0.3">
      <c r="A118" s="4">
        <v>393422</v>
      </c>
      <c r="B118" s="2" t="s">
        <v>118</v>
      </c>
      <c r="C118" s="15">
        <v>1</v>
      </c>
      <c r="D118" s="15">
        <f>IFERROR(VLOOKUP(A118,'[3]Consumo SEMANAL PV '!$B:$B,1,0),0)</f>
        <v>0</v>
      </c>
      <c r="E118" s="15">
        <v>0</v>
      </c>
      <c r="F118" s="15">
        <f t="shared" si="1"/>
        <v>1</v>
      </c>
    </row>
    <row r="119" spans="1:6" x14ac:dyDescent="0.3">
      <c r="A119" s="4">
        <v>393421</v>
      </c>
      <c r="B119" s="2" t="s">
        <v>119</v>
      </c>
      <c r="C119" s="15">
        <v>1</v>
      </c>
      <c r="D119" s="15">
        <f>IFERROR(VLOOKUP(A119,'[3]Consumo SEMANAL PV '!$B:$B,1,0),0)</f>
        <v>0</v>
      </c>
      <c r="E119" s="15">
        <v>0</v>
      </c>
      <c r="F119" s="15">
        <f t="shared" si="1"/>
        <v>1</v>
      </c>
    </row>
    <row r="120" spans="1:6" x14ac:dyDescent="0.3">
      <c r="A120" s="4">
        <v>405615</v>
      </c>
      <c r="B120" s="2" t="s">
        <v>120</v>
      </c>
      <c r="C120" s="15">
        <v>1</v>
      </c>
      <c r="D120" s="15">
        <f>IFERROR(VLOOKUP(A120,'[3]Consumo SEMANAL PV '!$B:$B,1,0),0)</f>
        <v>0</v>
      </c>
      <c r="E120" s="15">
        <v>0</v>
      </c>
      <c r="F120" s="15">
        <f t="shared" si="1"/>
        <v>1</v>
      </c>
    </row>
    <row r="121" spans="1:6" x14ac:dyDescent="0.3">
      <c r="A121" s="4">
        <v>405553</v>
      </c>
      <c r="B121" s="2" t="s">
        <v>121</v>
      </c>
      <c r="C121" s="15">
        <v>1</v>
      </c>
      <c r="D121" s="15">
        <f>IFERROR(VLOOKUP(A121,'[3]Consumo SEMANAL PV '!$B:$B,1,0),0)</f>
        <v>0</v>
      </c>
      <c r="E121" s="15">
        <v>0</v>
      </c>
      <c r="F121" s="15">
        <f t="shared" si="1"/>
        <v>1</v>
      </c>
    </row>
    <row r="122" spans="1:6" x14ac:dyDescent="0.3">
      <c r="A122" s="4">
        <v>393426</v>
      </c>
      <c r="B122" s="2" t="s">
        <v>122</v>
      </c>
      <c r="C122" s="15">
        <v>1</v>
      </c>
      <c r="D122" s="15">
        <f>IFERROR(VLOOKUP(A122,'[3]Consumo SEMANAL PV '!$B:$B,1,0),0)</f>
        <v>0</v>
      </c>
      <c r="E122" s="15">
        <v>0</v>
      </c>
      <c r="F122" s="15">
        <f t="shared" si="1"/>
        <v>1</v>
      </c>
    </row>
    <row r="123" spans="1:6" x14ac:dyDescent="0.3">
      <c r="A123" s="4">
        <v>405552</v>
      </c>
      <c r="B123" s="2" t="s">
        <v>123</v>
      </c>
      <c r="C123" s="15">
        <v>1</v>
      </c>
      <c r="D123" s="15">
        <f>IFERROR(VLOOKUP(A123,'[3]Consumo SEMANAL PV '!$B:$B,1,0),0)</f>
        <v>0</v>
      </c>
      <c r="E123" s="15">
        <v>0</v>
      </c>
      <c r="F123" s="15">
        <f t="shared" si="1"/>
        <v>1</v>
      </c>
    </row>
    <row r="124" spans="1:6" x14ac:dyDescent="0.3">
      <c r="A124" s="4">
        <v>405378</v>
      </c>
      <c r="B124" s="2" t="s">
        <v>124</v>
      </c>
      <c r="C124" s="15">
        <v>1</v>
      </c>
      <c r="D124" s="15">
        <v>1</v>
      </c>
      <c r="E124" s="15">
        <v>0</v>
      </c>
      <c r="F124" s="15">
        <f t="shared" si="1"/>
        <v>2</v>
      </c>
    </row>
    <row r="125" spans="1:6" x14ac:dyDescent="0.3">
      <c r="A125" s="4">
        <v>405128</v>
      </c>
      <c r="B125" s="2" t="s">
        <v>125</v>
      </c>
      <c r="C125" s="15">
        <v>1</v>
      </c>
      <c r="D125" s="15">
        <f>IFERROR(VLOOKUP(A125,'[3]Consumo SEMANAL PV '!$B:$B,1,0),0)</f>
        <v>0</v>
      </c>
      <c r="E125" s="15">
        <v>1</v>
      </c>
      <c r="F125" s="15">
        <f t="shared" si="1"/>
        <v>2</v>
      </c>
    </row>
    <row r="126" spans="1:6" x14ac:dyDescent="0.3">
      <c r="A126" s="4">
        <v>405377</v>
      </c>
      <c r="B126" s="2" t="s">
        <v>126</v>
      </c>
      <c r="C126" s="15">
        <v>1</v>
      </c>
      <c r="D126" s="15">
        <v>1</v>
      </c>
      <c r="E126" s="15">
        <v>0</v>
      </c>
      <c r="F126" s="15">
        <f t="shared" si="1"/>
        <v>2</v>
      </c>
    </row>
    <row r="127" spans="1:6" x14ac:dyDescent="0.3">
      <c r="A127" s="4">
        <v>393423</v>
      </c>
      <c r="B127" s="2" t="s">
        <v>127</v>
      </c>
      <c r="C127" s="15">
        <v>1</v>
      </c>
      <c r="D127" s="15">
        <f>IFERROR(VLOOKUP(A127,'[3]Consumo SEMANAL PV '!$B:$B,1,0),0)</f>
        <v>0</v>
      </c>
      <c r="E127" s="15">
        <v>0</v>
      </c>
      <c r="F127" s="15">
        <f t="shared" si="1"/>
        <v>1</v>
      </c>
    </row>
    <row r="128" spans="1:6" x14ac:dyDescent="0.3">
      <c r="A128" s="4">
        <v>405554</v>
      </c>
      <c r="B128" s="2" t="s">
        <v>128</v>
      </c>
      <c r="C128" s="15">
        <v>1</v>
      </c>
      <c r="D128" s="15">
        <f>IFERROR(VLOOKUP(A128,'[3]Consumo SEMANAL PV '!$B:$B,1,0),0)</f>
        <v>0</v>
      </c>
      <c r="E128" s="15">
        <v>0</v>
      </c>
      <c r="F128" s="15">
        <f t="shared" si="1"/>
        <v>1</v>
      </c>
    </row>
    <row r="129" spans="1:6" x14ac:dyDescent="0.3">
      <c r="A129" s="4">
        <v>405376</v>
      </c>
      <c r="B129" s="2" t="s">
        <v>129</v>
      </c>
      <c r="C129" s="15">
        <v>1</v>
      </c>
      <c r="D129" s="15">
        <v>1</v>
      </c>
      <c r="E129" s="15">
        <v>0</v>
      </c>
      <c r="F129" s="15">
        <f t="shared" si="1"/>
        <v>2</v>
      </c>
    </row>
    <row r="130" spans="1:6" x14ac:dyDescent="0.3">
      <c r="A130" s="4">
        <v>393425</v>
      </c>
      <c r="B130" s="2" t="s">
        <v>130</v>
      </c>
      <c r="C130" s="15">
        <v>1</v>
      </c>
      <c r="D130" s="15">
        <f>IFERROR(VLOOKUP(A130,'[3]Consumo SEMANAL PV '!$B:$B,1,0),0)</f>
        <v>0</v>
      </c>
      <c r="E130" s="15">
        <v>0</v>
      </c>
      <c r="F130" s="15">
        <f t="shared" si="1"/>
        <v>1</v>
      </c>
    </row>
    <row r="131" spans="1:6" x14ac:dyDescent="0.3">
      <c r="A131" s="4">
        <v>107266</v>
      </c>
      <c r="B131" s="2" t="s">
        <v>131</v>
      </c>
      <c r="C131" s="15">
        <v>1</v>
      </c>
      <c r="D131" s="15">
        <f>IFERROR(VLOOKUP(A131,'[3]Consumo SEMANAL PV '!$B:$B,1,0),0)</f>
        <v>0</v>
      </c>
      <c r="E131" s="15">
        <v>0</v>
      </c>
      <c r="F131" s="15">
        <f t="shared" ref="F131:F194" si="2">COUNTIF(C131:E131,1)</f>
        <v>1</v>
      </c>
    </row>
    <row r="132" spans="1:6" x14ac:dyDescent="0.3">
      <c r="A132" s="4">
        <v>405310</v>
      </c>
      <c r="B132" s="2" t="s">
        <v>132</v>
      </c>
      <c r="C132" s="15">
        <v>1</v>
      </c>
      <c r="D132" s="15">
        <v>1</v>
      </c>
      <c r="E132" s="15">
        <v>0</v>
      </c>
      <c r="F132" s="15">
        <f t="shared" si="2"/>
        <v>2</v>
      </c>
    </row>
    <row r="133" spans="1:6" x14ac:dyDescent="0.3">
      <c r="A133" s="4">
        <v>405108</v>
      </c>
      <c r="B133" s="2" t="s">
        <v>133</v>
      </c>
      <c r="C133" s="15">
        <v>1</v>
      </c>
      <c r="D133" s="15">
        <f>IFERROR(VLOOKUP(A133,'[3]Consumo SEMANAL PV '!$B:$B,1,0),0)</f>
        <v>0</v>
      </c>
      <c r="E133" s="15">
        <v>0</v>
      </c>
      <c r="F133" s="15">
        <f t="shared" si="2"/>
        <v>1</v>
      </c>
    </row>
    <row r="134" spans="1:6" x14ac:dyDescent="0.3">
      <c r="A134" s="4">
        <v>405644</v>
      </c>
      <c r="B134" s="2" t="s">
        <v>134</v>
      </c>
      <c r="C134" s="15">
        <v>1</v>
      </c>
      <c r="D134" s="15">
        <f>IFERROR(VLOOKUP(A134,'[3]Consumo SEMANAL PV '!$B:$B,1,0),0)</f>
        <v>0</v>
      </c>
      <c r="E134" s="15">
        <v>0</v>
      </c>
      <c r="F134" s="15">
        <f t="shared" si="2"/>
        <v>1</v>
      </c>
    </row>
    <row r="135" spans="1:6" x14ac:dyDescent="0.3">
      <c r="A135" s="4">
        <v>405089</v>
      </c>
      <c r="B135" s="2" t="s">
        <v>135</v>
      </c>
      <c r="C135" s="15">
        <v>1</v>
      </c>
      <c r="D135" s="15">
        <f>IFERROR(VLOOKUP(A135,'[3]Consumo SEMANAL PV '!$B:$B,1,0),0)</f>
        <v>0</v>
      </c>
      <c r="E135" s="15">
        <v>0</v>
      </c>
      <c r="F135" s="15">
        <f t="shared" si="2"/>
        <v>1</v>
      </c>
    </row>
    <row r="136" spans="1:6" x14ac:dyDescent="0.3">
      <c r="A136" s="4">
        <v>405643</v>
      </c>
      <c r="B136" s="2" t="s">
        <v>136</v>
      </c>
      <c r="C136" s="15">
        <v>1</v>
      </c>
      <c r="D136" s="15">
        <f>IFERROR(VLOOKUP(A136,'[3]Consumo SEMANAL PV '!$B:$B,1,0),0)</f>
        <v>0</v>
      </c>
      <c r="E136" s="15">
        <v>0</v>
      </c>
      <c r="F136" s="15">
        <f t="shared" si="2"/>
        <v>1</v>
      </c>
    </row>
    <row r="137" spans="1:6" x14ac:dyDescent="0.3">
      <c r="A137" s="4">
        <v>405090</v>
      </c>
      <c r="B137" s="2" t="s">
        <v>137</v>
      </c>
      <c r="C137" s="15">
        <v>1</v>
      </c>
      <c r="D137" s="15">
        <f>IFERROR(VLOOKUP(A137,'[3]Consumo SEMANAL PV '!$B:$B,1,0),0)</f>
        <v>0</v>
      </c>
      <c r="E137" s="15">
        <v>0</v>
      </c>
      <c r="F137" s="15">
        <f t="shared" si="2"/>
        <v>1</v>
      </c>
    </row>
    <row r="138" spans="1:6" x14ac:dyDescent="0.3">
      <c r="A138" s="4">
        <v>405120</v>
      </c>
      <c r="B138" s="2" t="s">
        <v>138</v>
      </c>
      <c r="C138" s="15">
        <v>1</v>
      </c>
      <c r="D138" s="15">
        <f>IFERROR(VLOOKUP(A138,'[3]Consumo SEMANAL PV '!$B:$B,1,0),0)</f>
        <v>0</v>
      </c>
      <c r="E138" s="15">
        <v>0</v>
      </c>
      <c r="F138" s="15">
        <f t="shared" si="2"/>
        <v>1</v>
      </c>
    </row>
    <row r="139" spans="1:6" x14ac:dyDescent="0.3">
      <c r="A139" s="4">
        <v>405036</v>
      </c>
      <c r="B139" s="2" t="s">
        <v>139</v>
      </c>
      <c r="C139" s="15">
        <v>1</v>
      </c>
      <c r="D139" s="15">
        <f>IFERROR(VLOOKUP(A139,'[3]Consumo SEMANAL PV '!$B:$B,1,0),0)</f>
        <v>0</v>
      </c>
      <c r="E139" s="15">
        <v>0</v>
      </c>
      <c r="F139" s="15">
        <f t="shared" si="2"/>
        <v>1</v>
      </c>
    </row>
    <row r="140" spans="1:6" x14ac:dyDescent="0.3">
      <c r="A140" s="4">
        <v>405131</v>
      </c>
      <c r="B140" s="2" t="s">
        <v>140</v>
      </c>
      <c r="C140" s="15">
        <v>1</v>
      </c>
      <c r="D140" s="15">
        <f>IFERROR(VLOOKUP(A140,'[3]Consumo SEMANAL PV '!$B:$B,1,0),0)</f>
        <v>0</v>
      </c>
      <c r="E140" s="15">
        <v>0</v>
      </c>
      <c r="F140" s="15">
        <f t="shared" si="2"/>
        <v>1</v>
      </c>
    </row>
    <row r="141" spans="1:6" x14ac:dyDescent="0.3">
      <c r="A141" s="4">
        <v>405124</v>
      </c>
      <c r="B141" s="2" t="s">
        <v>141</v>
      </c>
      <c r="C141" s="15">
        <v>1</v>
      </c>
      <c r="D141" s="15">
        <f>IFERROR(VLOOKUP(A141,'[3]Consumo SEMANAL PV '!$B:$B,1,0),0)</f>
        <v>0</v>
      </c>
      <c r="E141" s="15">
        <v>0</v>
      </c>
      <c r="F141" s="15">
        <f t="shared" si="2"/>
        <v>1</v>
      </c>
    </row>
    <row r="142" spans="1:6" x14ac:dyDescent="0.3">
      <c r="A142" s="4">
        <v>405126</v>
      </c>
      <c r="B142" s="2" t="s">
        <v>142</v>
      </c>
      <c r="C142" s="15">
        <v>1</v>
      </c>
      <c r="D142" s="15">
        <f>IFERROR(VLOOKUP(A142,'[3]Consumo SEMANAL PV '!$B:$B,1,0),0)</f>
        <v>0</v>
      </c>
      <c r="E142" s="15">
        <v>0</v>
      </c>
      <c r="F142" s="15">
        <f t="shared" si="2"/>
        <v>1</v>
      </c>
    </row>
    <row r="143" spans="1:6" x14ac:dyDescent="0.3">
      <c r="A143" s="4">
        <v>405784</v>
      </c>
      <c r="B143" s="2" t="s">
        <v>143</v>
      </c>
      <c r="C143" s="15">
        <v>1</v>
      </c>
      <c r="D143" s="15">
        <f>IFERROR(VLOOKUP(A143,'[3]Consumo SEMANAL PV '!$B:$B,1,0),0)</f>
        <v>0</v>
      </c>
      <c r="E143" s="15">
        <v>0</v>
      </c>
      <c r="F143" s="15">
        <f t="shared" si="2"/>
        <v>1</v>
      </c>
    </row>
    <row r="144" spans="1:6" x14ac:dyDescent="0.3">
      <c r="A144" s="4">
        <v>405034</v>
      </c>
      <c r="B144" s="2" t="s">
        <v>144</v>
      </c>
      <c r="C144" s="15">
        <v>0</v>
      </c>
      <c r="D144" s="15">
        <f>IFERROR(VLOOKUP(A144,'[3]Consumo SEMANAL PV '!$B:$B,1,0),0)</f>
        <v>0</v>
      </c>
      <c r="E144" s="15">
        <v>1</v>
      </c>
      <c r="F144" s="15">
        <f t="shared" si="2"/>
        <v>1</v>
      </c>
    </row>
    <row r="145" spans="1:6" x14ac:dyDescent="0.3">
      <c r="A145" s="4">
        <v>405783</v>
      </c>
      <c r="B145" s="2" t="s">
        <v>145</v>
      </c>
      <c r="C145" s="15">
        <v>1</v>
      </c>
      <c r="D145" s="15">
        <f>IFERROR(VLOOKUP(A145,'[3]Consumo SEMANAL PV '!$B:$B,1,0),0)</f>
        <v>0</v>
      </c>
      <c r="E145" s="15">
        <v>0</v>
      </c>
      <c r="F145" s="15">
        <f t="shared" si="2"/>
        <v>1</v>
      </c>
    </row>
    <row r="146" spans="1:6" x14ac:dyDescent="0.3">
      <c r="A146" s="4">
        <v>405119</v>
      </c>
      <c r="B146" s="2" t="s">
        <v>146</v>
      </c>
      <c r="C146" s="15">
        <v>1</v>
      </c>
      <c r="D146" s="15">
        <f>IFERROR(VLOOKUP(A146,'[3]Consumo SEMANAL PV '!$B:$B,1,0),0)</f>
        <v>0</v>
      </c>
      <c r="E146" s="15">
        <v>0</v>
      </c>
      <c r="F146" s="15">
        <f t="shared" si="2"/>
        <v>1</v>
      </c>
    </row>
    <row r="147" spans="1:6" x14ac:dyDescent="0.3">
      <c r="A147" s="4">
        <v>405463</v>
      </c>
      <c r="B147" s="2" t="s">
        <v>147</v>
      </c>
      <c r="C147" s="15">
        <v>1</v>
      </c>
      <c r="D147" s="15">
        <f>IFERROR(VLOOKUP(A147,'[3]Consumo SEMANAL PV '!$B:$B,1,0),0)</f>
        <v>0</v>
      </c>
      <c r="E147" s="15">
        <v>0</v>
      </c>
      <c r="F147" s="15">
        <f t="shared" si="2"/>
        <v>1</v>
      </c>
    </row>
    <row r="148" spans="1:6" x14ac:dyDescent="0.3">
      <c r="A148" s="4">
        <v>405130</v>
      </c>
      <c r="B148" s="2" t="s">
        <v>148</v>
      </c>
      <c r="C148" s="15">
        <v>1</v>
      </c>
      <c r="D148" s="15">
        <f>IFERROR(VLOOKUP(A148,'[3]Consumo SEMANAL PV '!$B:$B,1,0),0)</f>
        <v>0</v>
      </c>
      <c r="E148" s="15">
        <v>0</v>
      </c>
      <c r="F148" s="15">
        <f t="shared" si="2"/>
        <v>1</v>
      </c>
    </row>
    <row r="149" spans="1:6" x14ac:dyDescent="0.3">
      <c r="A149" s="4">
        <v>405123</v>
      </c>
      <c r="B149" s="2" t="s">
        <v>149</v>
      </c>
      <c r="C149" s="15">
        <v>1</v>
      </c>
      <c r="D149" s="15">
        <f>IFERROR(VLOOKUP(A149,'[3]Consumo SEMANAL PV '!$B:$B,1,0),0)</f>
        <v>0</v>
      </c>
      <c r="E149" s="15">
        <v>0</v>
      </c>
      <c r="F149" s="15">
        <f t="shared" si="2"/>
        <v>1</v>
      </c>
    </row>
    <row r="150" spans="1:6" x14ac:dyDescent="0.3">
      <c r="A150" s="4">
        <v>405031</v>
      </c>
      <c r="B150" s="2" t="s">
        <v>150</v>
      </c>
      <c r="C150" s="15">
        <v>1</v>
      </c>
      <c r="D150" s="15">
        <f>IFERROR(VLOOKUP(A150,'[3]Consumo SEMANAL PV '!$B:$B,1,0),0)</f>
        <v>0</v>
      </c>
      <c r="E150" s="15">
        <v>0</v>
      </c>
      <c r="F150" s="15">
        <f t="shared" si="2"/>
        <v>1</v>
      </c>
    </row>
    <row r="151" spans="1:6" x14ac:dyDescent="0.3">
      <c r="A151" s="4">
        <v>405121</v>
      </c>
      <c r="B151" s="2" t="s">
        <v>151</v>
      </c>
      <c r="C151" s="15">
        <v>1</v>
      </c>
      <c r="D151" s="15">
        <f>IFERROR(VLOOKUP(A151,'[3]Consumo SEMANAL PV '!$B:$B,1,0),0)</f>
        <v>0</v>
      </c>
      <c r="E151" s="15">
        <v>0</v>
      </c>
      <c r="F151" s="15">
        <f t="shared" si="2"/>
        <v>1</v>
      </c>
    </row>
    <row r="152" spans="1:6" x14ac:dyDescent="0.3">
      <c r="A152" s="4">
        <v>101108</v>
      </c>
      <c r="B152" s="2" t="s">
        <v>152</v>
      </c>
      <c r="C152" s="15">
        <v>1</v>
      </c>
      <c r="D152" s="15">
        <f>IFERROR(VLOOKUP(A152,'[3]Consumo SEMANAL PV '!$B:$B,1,0),0)</f>
        <v>0</v>
      </c>
      <c r="E152" s="15">
        <v>0</v>
      </c>
      <c r="F152" s="15">
        <f t="shared" si="2"/>
        <v>1</v>
      </c>
    </row>
    <row r="153" spans="1:6" x14ac:dyDescent="0.3">
      <c r="A153" s="4">
        <v>107415</v>
      </c>
      <c r="B153" s="2" t="s">
        <v>153</v>
      </c>
      <c r="C153" s="15">
        <v>1</v>
      </c>
      <c r="D153" s="15">
        <f>IFERROR(VLOOKUP(A153,'[3]Consumo SEMANAL PV '!$B:$B,1,0),0)</f>
        <v>0</v>
      </c>
      <c r="E153" s="15">
        <v>0</v>
      </c>
      <c r="F153" s="15">
        <f t="shared" si="2"/>
        <v>1</v>
      </c>
    </row>
    <row r="154" spans="1:6" x14ac:dyDescent="0.3">
      <c r="A154" s="4">
        <v>107319</v>
      </c>
      <c r="B154" s="2" t="s">
        <v>154</v>
      </c>
      <c r="C154" s="15">
        <v>1</v>
      </c>
      <c r="D154" s="15">
        <f>IFERROR(VLOOKUP(A154,'[3]Consumo SEMANAL PV '!$B:$B,1,0),0)</f>
        <v>0</v>
      </c>
      <c r="E154" s="15">
        <v>0</v>
      </c>
      <c r="F154" s="15">
        <f t="shared" si="2"/>
        <v>1</v>
      </c>
    </row>
    <row r="155" spans="1:6" x14ac:dyDescent="0.3">
      <c r="A155" s="4">
        <v>402111</v>
      </c>
      <c r="B155" s="2" t="s">
        <v>155</v>
      </c>
      <c r="C155" s="15">
        <v>1</v>
      </c>
      <c r="D155" s="15">
        <v>1</v>
      </c>
      <c r="E155" s="15">
        <v>0</v>
      </c>
      <c r="F155" s="15">
        <f t="shared" si="2"/>
        <v>2</v>
      </c>
    </row>
    <row r="156" spans="1:6" x14ac:dyDescent="0.3">
      <c r="A156" s="4">
        <v>402132</v>
      </c>
      <c r="B156" s="2" t="s">
        <v>156</v>
      </c>
      <c r="C156" s="15">
        <v>1</v>
      </c>
      <c r="D156" s="15">
        <v>1</v>
      </c>
      <c r="E156" s="15">
        <v>0</v>
      </c>
      <c r="F156" s="15">
        <f t="shared" si="2"/>
        <v>2</v>
      </c>
    </row>
    <row r="157" spans="1:6" x14ac:dyDescent="0.3">
      <c r="A157" s="4">
        <v>405506</v>
      </c>
      <c r="B157" s="2" t="s">
        <v>157</v>
      </c>
      <c r="C157" s="15">
        <v>1</v>
      </c>
      <c r="D157" s="15">
        <v>1</v>
      </c>
      <c r="E157" s="15">
        <v>0</v>
      </c>
      <c r="F157" s="15">
        <f t="shared" si="2"/>
        <v>2</v>
      </c>
    </row>
    <row r="158" spans="1:6" x14ac:dyDescent="0.3">
      <c r="A158" s="4">
        <v>107133</v>
      </c>
      <c r="B158" s="2" t="s">
        <v>158</v>
      </c>
      <c r="C158" s="15">
        <v>1</v>
      </c>
      <c r="D158" s="15">
        <f>IFERROR(VLOOKUP(A158,'[3]Consumo SEMANAL PV '!$B:$B,1,0),0)</f>
        <v>0</v>
      </c>
      <c r="E158" s="15">
        <v>0</v>
      </c>
      <c r="F158" s="15">
        <f t="shared" si="2"/>
        <v>1</v>
      </c>
    </row>
    <row r="159" spans="1:6" x14ac:dyDescent="0.3">
      <c r="A159" s="4">
        <v>107160</v>
      </c>
      <c r="B159" s="2" t="s">
        <v>159</v>
      </c>
      <c r="C159" s="15">
        <v>1</v>
      </c>
      <c r="D159" s="15">
        <v>1</v>
      </c>
      <c r="E159" s="15">
        <v>0</v>
      </c>
      <c r="F159" s="15">
        <f t="shared" si="2"/>
        <v>2</v>
      </c>
    </row>
    <row r="160" spans="1:6" x14ac:dyDescent="0.3">
      <c r="A160" s="4">
        <v>104013</v>
      </c>
      <c r="B160" s="2" t="s">
        <v>160</v>
      </c>
      <c r="C160" s="15">
        <v>1</v>
      </c>
      <c r="D160" s="15">
        <f>IFERROR(VLOOKUP(A160,'[3]Consumo SEMANAL PV '!$B:$B,1,0),0)</f>
        <v>0</v>
      </c>
      <c r="E160" s="15">
        <v>0</v>
      </c>
      <c r="F160" s="15">
        <f t="shared" si="2"/>
        <v>1</v>
      </c>
    </row>
    <row r="161" spans="1:6" x14ac:dyDescent="0.3">
      <c r="A161" s="4">
        <v>107159</v>
      </c>
      <c r="B161" s="2" t="s">
        <v>161</v>
      </c>
      <c r="C161" s="15">
        <v>1</v>
      </c>
      <c r="D161" s="15">
        <v>1</v>
      </c>
      <c r="E161" s="15">
        <v>0</v>
      </c>
      <c r="F161" s="15">
        <f t="shared" si="2"/>
        <v>2</v>
      </c>
    </row>
    <row r="162" spans="1:6" x14ac:dyDescent="0.3">
      <c r="A162" s="4">
        <v>300004</v>
      </c>
      <c r="B162" s="2" t="s">
        <v>162</v>
      </c>
      <c r="C162" s="15">
        <v>1</v>
      </c>
      <c r="D162" s="15">
        <v>0</v>
      </c>
      <c r="E162" s="15">
        <v>0</v>
      </c>
      <c r="F162" s="15">
        <f t="shared" si="2"/>
        <v>1</v>
      </c>
    </row>
    <row r="163" spans="1:6" x14ac:dyDescent="0.3">
      <c r="A163" s="4">
        <v>300003</v>
      </c>
      <c r="B163" s="2" t="s">
        <v>163</v>
      </c>
      <c r="C163" s="15">
        <v>1</v>
      </c>
      <c r="D163" s="15">
        <f>IFERROR(VLOOKUP(A163,'[3]Consumo SEMANAL PV '!$B:$B,1,0),0)</f>
        <v>0</v>
      </c>
      <c r="E163" s="15">
        <v>0</v>
      </c>
      <c r="F163" s="15">
        <f t="shared" si="2"/>
        <v>1</v>
      </c>
    </row>
    <row r="164" spans="1:6" x14ac:dyDescent="0.3">
      <c r="A164" s="4">
        <v>405701</v>
      </c>
      <c r="B164" s="2" t="s">
        <v>164</v>
      </c>
      <c r="C164" s="15">
        <v>1</v>
      </c>
      <c r="D164" s="15">
        <f>IFERROR(VLOOKUP(A164,'[3]Consumo SEMANAL PV '!$B:$B,1,0),0)</f>
        <v>0</v>
      </c>
      <c r="E164" s="15">
        <v>0</v>
      </c>
      <c r="F164" s="15">
        <f t="shared" si="2"/>
        <v>1</v>
      </c>
    </row>
    <row r="165" spans="1:6" x14ac:dyDescent="0.3">
      <c r="A165" s="4">
        <v>107170</v>
      </c>
      <c r="B165" s="2" t="s">
        <v>165</v>
      </c>
      <c r="C165" s="15">
        <v>1</v>
      </c>
      <c r="D165" s="15">
        <f>IFERROR(VLOOKUP(A165,'[3]Consumo SEMANAL PV '!$B:$B,1,0),0)</f>
        <v>0</v>
      </c>
      <c r="E165" s="15">
        <v>0</v>
      </c>
      <c r="F165" s="15">
        <f t="shared" si="2"/>
        <v>1</v>
      </c>
    </row>
    <row r="166" spans="1:6" x14ac:dyDescent="0.3">
      <c r="A166" s="4">
        <v>107330</v>
      </c>
      <c r="B166" s="2" t="s">
        <v>166</v>
      </c>
      <c r="C166" s="15">
        <v>1</v>
      </c>
      <c r="D166" s="15">
        <f>IFERROR(VLOOKUP(A166,'[3]Consumo SEMANAL PV '!$B:$B,1,0),0)</f>
        <v>0</v>
      </c>
      <c r="E166" s="15">
        <v>0</v>
      </c>
      <c r="F166" s="15">
        <f t="shared" si="2"/>
        <v>1</v>
      </c>
    </row>
    <row r="167" spans="1:6" x14ac:dyDescent="0.3">
      <c r="A167" s="4">
        <v>403373</v>
      </c>
      <c r="B167" s="2" t="s">
        <v>167</v>
      </c>
      <c r="C167" s="15">
        <v>1</v>
      </c>
      <c r="D167" s="15">
        <v>1</v>
      </c>
      <c r="E167" s="15">
        <v>1</v>
      </c>
      <c r="F167" s="15">
        <f t="shared" si="2"/>
        <v>3</v>
      </c>
    </row>
    <row r="168" spans="1:6" x14ac:dyDescent="0.3">
      <c r="A168" s="4">
        <v>393322</v>
      </c>
      <c r="B168" s="2" t="s">
        <v>168</v>
      </c>
      <c r="C168" s="15">
        <v>1</v>
      </c>
      <c r="D168" s="15">
        <v>1</v>
      </c>
      <c r="E168" s="15">
        <v>0</v>
      </c>
      <c r="F168" s="15">
        <f t="shared" si="2"/>
        <v>2</v>
      </c>
    </row>
    <row r="169" spans="1:6" x14ac:dyDescent="0.3">
      <c r="A169" s="4">
        <v>393320</v>
      </c>
      <c r="B169" s="2" t="s">
        <v>169</v>
      </c>
      <c r="C169" s="15">
        <v>1</v>
      </c>
      <c r="D169" s="15">
        <v>1</v>
      </c>
      <c r="E169" s="15">
        <v>0</v>
      </c>
      <c r="F169" s="15">
        <f t="shared" si="2"/>
        <v>2</v>
      </c>
    </row>
    <row r="170" spans="1:6" x14ac:dyDescent="0.3">
      <c r="A170" s="4">
        <v>393321</v>
      </c>
      <c r="B170" s="2" t="s">
        <v>170</v>
      </c>
      <c r="C170" s="15">
        <v>1</v>
      </c>
      <c r="D170" s="15">
        <v>1</v>
      </c>
      <c r="E170" s="15">
        <v>0</v>
      </c>
      <c r="F170" s="15">
        <f t="shared" si="2"/>
        <v>2</v>
      </c>
    </row>
    <row r="171" spans="1:6" x14ac:dyDescent="0.3">
      <c r="A171" s="4">
        <v>362105</v>
      </c>
      <c r="B171" s="2" t="s">
        <v>171</v>
      </c>
      <c r="C171" s="15">
        <v>1</v>
      </c>
      <c r="D171" s="15">
        <v>1</v>
      </c>
      <c r="E171" s="15">
        <v>0</v>
      </c>
      <c r="F171" s="15">
        <f t="shared" si="2"/>
        <v>2</v>
      </c>
    </row>
    <row r="172" spans="1:6" x14ac:dyDescent="0.3">
      <c r="A172" s="4">
        <v>403268</v>
      </c>
      <c r="B172" s="2" t="s">
        <v>172</v>
      </c>
      <c r="C172" s="15">
        <v>1</v>
      </c>
      <c r="D172" s="15">
        <f>IFERROR(VLOOKUP(A172,'[3]Consumo SEMANAL PV '!$B:$B,1,0),0)</f>
        <v>0</v>
      </c>
      <c r="E172" s="15">
        <v>0</v>
      </c>
      <c r="F172" s="15">
        <f t="shared" si="2"/>
        <v>1</v>
      </c>
    </row>
    <row r="173" spans="1:6" x14ac:dyDescent="0.3">
      <c r="A173" s="4">
        <v>393216</v>
      </c>
      <c r="B173" s="2" t="s">
        <v>173</v>
      </c>
      <c r="C173" s="15">
        <v>1</v>
      </c>
      <c r="D173" s="15">
        <f>IFERROR(VLOOKUP(A173,'[3]Consumo SEMANAL PV '!$B:$B,1,0),0)</f>
        <v>0</v>
      </c>
      <c r="E173" s="15">
        <v>0</v>
      </c>
      <c r="F173" s="15">
        <f t="shared" si="2"/>
        <v>1</v>
      </c>
    </row>
    <row r="174" spans="1:6" x14ac:dyDescent="0.3">
      <c r="A174" s="4">
        <v>405702</v>
      </c>
      <c r="B174" s="2" t="s">
        <v>174</v>
      </c>
      <c r="C174" s="15">
        <v>1</v>
      </c>
      <c r="D174" s="15">
        <f>IFERROR(VLOOKUP(A174,'[3]Consumo SEMANAL PV '!$B:$B,1,0),0)</f>
        <v>0</v>
      </c>
      <c r="E174" s="15">
        <v>0</v>
      </c>
      <c r="F174" s="15">
        <f t="shared" si="2"/>
        <v>1</v>
      </c>
    </row>
    <row r="175" spans="1:6" x14ac:dyDescent="0.3">
      <c r="A175" s="4">
        <v>405577</v>
      </c>
      <c r="B175" s="2" t="s">
        <v>175</v>
      </c>
      <c r="C175" s="15">
        <v>1</v>
      </c>
      <c r="D175" s="15">
        <f>IFERROR(VLOOKUP(A175,'[3]Consumo SEMANAL PV '!$B:$B,1,0),0)</f>
        <v>0</v>
      </c>
      <c r="E175" s="15">
        <v>0</v>
      </c>
      <c r="F175" s="15">
        <f t="shared" si="2"/>
        <v>1</v>
      </c>
    </row>
    <row r="176" spans="1:6" x14ac:dyDescent="0.3">
      <c r="A176" s="4">
        <v>393419</v>
      </c>
      <c r="B176" s="2" t="s">
        <v>176</v>
      </c>
      <c r="C176" s="15">
        <v>1</v>
      </c>
      <c r="D176" s="15">
        <f>IFERROR(VLOOKUP(A176,'[3]Consumo SEMANAL PV '!$B:$B,1,0),0)</f>
        <v>0</v>
      </c>
      <c r="E176" s="15">
        <v>0</v>
      </c>
      <c r="F176" s="15">
        <f t="shared" si="2"/>
        <v>1</v>
      </c>
    </row>
    <row r="177" spans="1:6" x14ac:dyDescent="0.3">
      <c r="A177" s="4">
        <v>405340</v>
      </c>
      <c r="B177" s="2" t="s">
        <v>177</v>
      </c>
      <c r="C177" s="15">
        <v>1</v>
      </c>
      <c r="D177" s="15">
        <f>IFERROR(VLOOKUP(A177,'[3]Consumo SEMANAL PV '!$B:$B,1,0),0)</f>
        <v>0</v>
      </c>
      <c r="E177" s="15">
        <v>0</v>
      </c>
      <c r="F177" s="15">
        <f t="shared" si="2"/>
        <v>1</v>
      </c>
    </row>
    <row r="178" spans="1:6" x14ac:dyDescent="0.3">
      <c r="A178" s="4">
        <v>353002</v>
      </c>
      <c r="B178" s="2" t="s">
        <v>178</v>
      </c>
      <c r="C178" s="15">
        <v>1</v>
      </c>
      <c r="D178" s="15">
        <f>IFERROR(VLOOKUP(A178,'[3]Consumo SEMANAL PV '!$B:$B,1,0),0)</f>
        <v>0</v>
      </c>
      <c r="E178" s="15">
        <v>0</v>
      </c>
      <c r="F178" s="15">
        <f t="shared" si="2"/>
        <v>1</v>
      </c>
    </row>
    <row r="179" spans="1:6" x14ac:dyDescent="0.3">
      <c r="A179" s="4">
        <v>353001</v>
      </c>
      <c r="B179" s="2" t="s">
        <v>179</v>
      </c>
      <c r="C179" s="15">
        <v>1</v>
      </c>
      <c r="D179" s="15">
        <f>IFERROR(VLOOKUP(A179,'[3]Consumo SEMANAL PV '!$B:$B,1,0),0)</f>
        <v>0</v>
      </c>
      <c r="E179" s="15">
        <v>0</v>
      </c>
      <c r="F179" s="15">
        <f t="shared" si="2"/>
        <v>1</v>
      </c>
    </row>
    <row r="180" spans="1:6" x14ac:dyDescent="0.3">
      <c r="A180" s="4">
        <v>107259</v>
      </c>
      <c r="B180" s="2" t="s">
        <v>180</v>
      </c>
      <c r="C180" s="15">
        <v>1</v>
      </c>
      <c r="D180" s="15">
        <v>1</v>
      </c>
      <c r="E180" s="15">
        <v>0</v>
      </c>
      <c r="F180" s="15">
        <f t="shared" si="2"/>
        <v>2</v>
      </c>
    </row>
    <row r="181" spans="1:6" x14ac:dyDescent="0.3">
      <c r="A181" s="4">
        <v>107260</v>
      </c>
      <c r="B181" s="2" t="s">
        <v>181</v>
      </c>
      <c r="C181" s="15">
        <v>1</v>
      </c>
      <c r="D181" s="15">
        <v>0</v>
      </c>
      <c r="E181" s="15">
        <v>0</v>
      </c>
      <c r="F181" s="15">
        <f t="shared" si="2"/>
        <v>1</v>
      </c>
    </row>
    <row r="182" spans="1:6" x14ac:dyDescent="0.3">
      <c r="A182" s="4">
        <v>107278</v>
      </c>
      <c r="B182" s="2" t="s">
        <v>182</v>
      </c>
      <c r="C182" s="15">
        <v>1</v>
      </c>
      <c r="D182" s="15">
        <v>1</v>
      </c>
      <c r="E182" s="15">
        <v>0</v>
      </c>
      <c r="F182" s="15">
        <f t="shared" si="2"/>
        <v>2</v>
      </c>
    </row>
    <row r="183" spans="1:6" x14ac:dyDescent="0.3">
      <c r="A183" s="4">
        <v>107355</v>
      </c>
      <c r="B183" s="2" t="s">
        <v>183</v>
      </c>
      <c r="C183" s="15">
        <v>1</v>
      </c>
      <c r="D183" s="15">
        <f>IFERROR(VLOOKUP(A183,'[3]Consumo SEMANAL PV '!$B:$B,1,0),0)</f>
        <v>0</v>
      </c>
      <c r="E183" s="15">
        <v>0</v>
      </c>
      <c r="F183" s="15">
        <f t="shared" si="2"/>
        <v>1</v>
      </c>
    </row>
    <row r="184" spans="1:6" x14ac:dyDescent="0.3">
      <c r="A184" s="4">
        <v>405319</v>
      </c>
      <c r="B184" s="2" t="s">
        <v>184</v>
      </c>
      <c r="C184" s="15">
        <v>1</v>
      </c>
      <c r="D184" s="15">
        <f>IFERROR(VLOOKUP(A184,'[3]Consumo SEMANAL PV '!$B:$B,1,0),0)</f>
        <v>0</v>
      </c>
      <c r="E184" s="15">
        <v>0</v>
      </c>
      <c r="F184" s="15">
        <f t="shared" si="2"/>
        <v>1</v>
      </c>
    </row>
    <row r="185" spans="1:6" x14ac:dyDescent="0.3">
      <c r="A185" s="4">
        <v>107215</v>
      </c>
      <c r="B185" s="2" t="s">
        <v>185</v>
      </c>
      <c r="C185" s="15">
        <v>1</v>
      </c>
      <c r="D185" s="15">
        <f>IFERROR(VLOOKUP(A185,'[3]Consumo SEMANAL PV '!$B:$B,1,0),0)</f>
        <v>0</v>
      </c>
      <c r="E185" s="15">
        <v>0</v>
      </c>
      <c r="F185" s="15">
        <f t="shared" si="2"/>
        <v>1</v>
      </c>
    </row>
    <row r="186" spans="1:6" x14ac:dyDescent="0.3">
      <c r="A186" s="4">
        <v>107333</v>
      </c>
      <c r="B186" s="2" t="s">
        <v>186</v>
      </c>
      <c r="C186" s="15">
        <v>1</v>
      </c>
      <c r="D186" s="15">
        <f>IFERROR(VLOOKUP(A186,'[3]Consumo SEMANAL PV '!$B:$B,1,0),0)</f>
        <v>0</v>
      </c>
      <c r="E186" s="15">
        <v>0</v>
      </c>
      <c r="F186" s="15">
        <f t="shared" si="2"/>
        <v>1</v>
      </c>
    </row>
    <row r="187" spans="1:6" x14ac:dyDescent="0.3">
      <c r="A187" s="4">
        <v>405539</v>
      </c>
      <c r="B187" s="2" t="s">
        <v>187</v>
      </c>
      <c r="C187" s="15">
        <v>1</v>
      </c>
      <c r="D187" s="15">
        <v>0</v>
      </c>
      <c r="E187" s="15">
        <v>0</v>
      </c>
      <c r="F187" s="15">
        <f t="shared" si="2"/>
        <v>1</v>
      </c>
    </row>
    <row r="188" spans="1:6" x14ac:dyDescent="0.3">
      <c r="A188" s="4">
        <v>107109</v>
      </c>
      <c r="B188" s="2" t="s">
        <v>188</v>
      </c>
      <c r="C188" s="15">
        <v>1</v>
      </c>
      <c r="D188" s="15">
        <v>1</v>
      </c>
      <c r="E188" s="15">
        <v>1</v>
      </c>
      <c r="F188" s="15">
        <f t="shared" si="2"/>
        <v>3</v>
      </c>
    </row>
    <row r="189" spans="1:6" x14ac:dyDescent="0.3">
      <c r="A189" s="4">
        <v>107331</v>
      </c>
      <c r="B189" s="2" t="s">
        <v>189</v>
      </c>
      <c r="C189" s="15">
        <v>1</v>
      </c>
      <c r="D189" s="15">
        <v>1</v>
      </c>
      <c r="E189" s="15">
        <v>0</v>
      </c>
      <c r="F189" s="15">
        <f t="shared" si="2"/>
        <v>2</v>
      </c>
    </row>
    <row r="190" spans="1:6" x14ac:dyDescent="0.3">
      <c r="A190" s="4">
        <v>107144</v>
      </c>
      <c r="B190" s="2" t="s">
        <v>190</v>
      </c>
      <c r="C190" s="15">
        <v>1</v>
      </c>
      <c r="D190" s="15">
        <v>1</v>
      </c>
      <c r="E190" s="15">
        <v>0</v>
      </c>
      <c r="F190" s="15">
        <f t="shared" si="2"/>
        <v>2</v>
      </c>
    </row>
    <row r="191" spans="1:6" x14ac:dyDescent="0.3">
      <c r="A191" s="4">
        <v>107001</v>
      </c>
      <c r="B191" s="2" t="s">
        <v>191</v>
      </c>
      <c r="C191" s="15">
        <v>1</v>
      </c>
      <c r="D191" s="15">
        <v>1</v>
      </c>
      <c r="E191" s="15">
        <v>0</v>
      </c>
      <c r="F191" s="15">
        <f t="shared" si="2"/>
        <v>2</v>
      </c>
    </row>
    <row r="192" spans="1:6" x14ac:dyDescent="0.3">
      <c r="A192" s="4">
        <v>405408</v>
      </c>
      <c r="B192" s="2" t="s">
        <v>192</v>
      </c>
      <c r="C192" s="15">
        <v>1</v>
      </c>
      <c r="D192" s="15">
        <f>IFERROR(VLOOKUP(A192,'[3]Consumo SEMANAL PV '!$B:$B,1,0),0)</f>
        <v>0</v>
      </c>
      <c r="E192" s="15">
        <v>0</v>
      </c>
      <c r="F192" s="15">
        <f t="shared" si="2"/>
        <v>1</v>
      </c>
    </row>
    <row r="193" spans="1:6" x14ac:dyDescent="0.3">
      <c r="A193" s="4">
        <v>405420</v>
      </c>
      <c r="B193" s="2" t="s">
        <v>193</v>
      </c>
      <c r="C193" s="15">
        <v>1</v>
      </c>
      <c r="D193" s="15">
        <f>IFERROR(VLOOKUP(A193,'[3]Consumo SEMANAL PV '!$B:$B,1,0),0)</f>
        <v>0</v>
      </c>
      <c r="E193" s="15">
        <v>0</v>
      </c>
      <c r="F193" s="15">
        <f t="shared" si="2"/>
        <v>1</v>
      </c>
    </row>
    <row r="194" spans="1:6" x14ac:dyDescent="0.3">
      <c r="A194" s="4">
        <v>107158</v>
      </c>
      <c r="B194" s="2" t="s">
        <v>194</v>
      </c>
      <c r="C194" s="15">
        <v>1</v>
      </c>
      <c r="D194" s="15">
        <v>1</v>
      </c>
      <c r="E194" s="15">
        <v>0</v>
      </c>
      <c r="F194" s="15">
        <f t="shared" si="2"/>
        <v>2</v>
      </c>
    </row>
    <row r="195" spans="1:6" x14ac:dyDescent="0.3">
      <c r="A195" s="4">
        <v>107112</v>
      </c>
      <c r="B195" s="2" t="s">
        <v>195</v>
      </c>
      <c r="C195" s="15">
        <v>1</v>
      </c>
      <c r="D195" s="15">
        <v>1</v>
      </c>
      <c r="E195" s="15">
        <v>0</v>
      </c>
      <c r="F195" s="15">
        <f t="shared" ref="F195:F258" si="3">COUNTIF(C195:E195,1)</f>
        <v>2</v>
      </c>
    </row>
    <row r="196" spans="1:6" x14ac:dyDescent="0.3">
      <c r="A196" s="4">
        <v>107211</v>
      </c>
      <c r="B196" s="2" t="s">
        <v>196</v>
      </c>
      <c r="C196" s="15">
        <v>1</v>
      </c>
      <c r="D196" s="15">
        <f>IFERROR(VLOOKUP(A196,'[3]Consumo SEMANAL PV '!$B:$B,1,0),0)</f>
        <v>0</v>
      </c>
      <c r="E196" s="15">
        <v>0</v>
      </c>
      <c r="F196" s="15">
        <f t="shared" si="3"/>
        <v>1</v>
      </c>
    </row>
    <row r="197" spans="1:6" x14ac:dyDescent="0.3">
      <c r="A197" s="4">
        <v>170173</v>
      </c>
      <c r="B197" s="2" t="s">
        <v>197</v>
      </c>
      <c r="C197" s="15">
        <v>1</v>
      </c>
      <c r="D197" s="15">
        <v>1</v>
      </c>
      <c r="E197" s="15">
        <v>0</v>
      </c>
      <c r="F197" s="15">
        <f t="shared" si="3"/>
        <v>2</v>
      </c>
    </row>
    <row r="198" spans="1:6" x14ac:dyDescent="0.3">
      <c r="A198" s="4">
        <v>107157</v>
      </c>
      <c r="B198" s="2" t="s">
        <v>198</v>
      </c>
      <c r="C198" s="15">
        <v>1</v>
      </c>
      <c r="D198" s="15">
        <v>1</v>
      </c>
      <c r="E198" s="15">
        <v>0</v>
      </c>
      <c r="F198" s="15">
        <f t="shared" si="3"/>
        <v>2</v>
      </c>
    </row>
    <row r="199" spans="1:6" x14ac:dyDescent="0.3">
      <c r="A199" s="4">
        <v>405447</v>
      </c>
      <c r="B199" s="2" t="s">
        <v>199</v>
      </c>
      <c r="C199" s="15">
        <v>1</v>
      </c>
      <c r="D199" s="15">
        <f>IFERROR(VLOOKUP(A199,'[3]Consumo SEMANAL PV '!$B:$B,1,0),0)</f>
        <v>0</v>
      </c>
      <c r="E199" s="15">
        <v>0</v>
      </c>
      <c r="F199" s="15">
        <f t="shared" si="3"/>
        <v>1</v>
      </c>
    </row>
    <row r="200" spans="1:6" x14ac:dyDescent="0.3">
      <c r="A200" s="4">
        <v>107172</v>
      </c>
      <c r="B200" s="2" t="s">
        <v>200</v>
      </c>
      <c r="C200" s="15">
        <v>1</v>
      </c>
      <c r="D200" s="15">
        <v>1</v>
      </c>
      <c r="E200" s="15">
        <v>0</v>
      </c>
      <c r="F200" s="15">
        <f t="shared" si="3"/>
        <v>2</v>
      </c>
    </row>
    <row r="201" spans="1:6" x14ac:dyDescent="0.3">
      <c r="A201" s="4">
        <v>107129</v>
      </c>
      <c r="B201" s="2" t="s">
        <v>201</v>
      </c>
      <c r="C201" s="15">
        <v>1</v>
      </c>
      <c r="D201" s="15">
        <v>1</v>
      </c>
      <c r="E201" s="15">
        <v>0</v>
      </c>
      <c r="F201" s="15">
        <f t="shared" si="3"/>
        <v>2</v>
      </c>
    </row>
    <row r="202" spans="1:6" x14ac:dyDescent="0.3">
      <c r="A202" s="4">
        <v>107113</v>
      </c>
      <c r="B202" s="2" t="s">
        <v>202</v>
      </c>
      <c r="C202" s="15">
        <v>1</v>
      </c>
      <c r="D202" s="15">
        <v>1</v>
      </c>
      <c r="E202" s="15">
        <v>0</v>
      </c>
      <c r="F202" s="15">
        <f t="shared" si="3"/>
        <v>2</v>
      </c>
    </row>
    <row r="203" spans="1:6" x14ac:dyDescent="0.3">
      <c r="A203" s="4">
        <v>107193</v>
      </c>
      <c r="B203" s="2" t="s">
        <v>203</v>
      </c>
      <c r="C203" s="15">
        <v>1</v>
      </c>
      <c r="D203" s="15">
        <v>1</v>
      </c>
      <c r="E203" s="15">
        <v>0</v>
      </c>
      <c r="F203" s="15">
        <f t="shared" si="3"/>
        <v>2</v>
      </c>
    </row>
    <row r="204" spans="1:6" x14ac:dyDescent="0.3">
      <c r="A204" s="4">
        <v>405723</v>
      </c>
      <c r="B204" s="2" t="s">
        <v>204</v>
      </c>
      <c r="C204" s="15">
        <v>1</v>
      </c>
      <c r="D204" s="15">
        <f>IFERROR(VLOOKUP(A204,'[3]Consumo SEMANAL PV '!$B:$B,1,0),0)</f>
        <v>0</v>
      </c>
      <c r="E204" s="15">
        <v>0</v>
      </c>
      <c r="F204" s="15">
        <f t="shared" si="3"/>
        <v>1</v>
      </c>
    </row>
    <row r="205" spans="1:6" x14ac:dyDescent="0.3">
      <c r="A205" s="4">
        <v>107280</v>
      </c>
      <c r="B205" s="2" t="s">
        <v>205</v>
      </c>
      <c r="C205" s="15">
        <v>1</v>
      </c>
      <c r="D205" s="15">
        <v>1</v>
      </c>
      <c r="E205" s="15">
        <v>0</v>
      </c>
      <c r="F205" s="15">
        <f t="shared" si="3"/>
        <v>2</v>
      </c>
    </row>
    <row r="206" spans="1:6" x14ac:dyDescent="0.3">
      <c r="A206" s="4">
        <v>405650</v>
      </c>
      <c r="B206" s="2" t="s">
        <v>206</v>
      </c>
      <c r="C206" s="15">
        <v>1</v>
      </c>
      <c r="D206" s="15">
        <f>IFERROR(VLOOKUP(A206,'[3]Consumo SEMANAL PV '!$B:$B,1,0),0)</f>
        <v>0</v>
      </c>
      <c r="E206" s="15">
        <v>0</v>
      </c>
      <c r="F206" s="15">
        <f t="shared" si="3"/>
        <v>1</v>
      </c>
    </row>
    <row r="207" spans="1:6" x14ac:dyDescent="0.3">
      <c r="A207" s="4">
        <v>405543</v>
      </c>
      <c r="B207" s="2" t="s">
        <v>207</v>
      </c>
      <c r="C207" s="15">
        <v>1</v>
      </c>
      <c r="D207" s="15">
        <v>1</v>
      </c>
      <c r="E207" s="15">
        <v>0</v>
      </c>
      <c r="F207" s="15">
        <f t="shared" si="3"/>
        <v>2</v>
      </c>
    </row>
    <row r="208" spans="1:6" x14ac:dyDescent="0.3">
      <c r="A208" s="4">
        <v>402130</v>
      </c>
      <c r="B208" s="2" t="s">
        <v>208</v>
      </c>
      <c r="C208" s="15">
        <v>1</v>
      </c>
      <c r="D208" s="15">
        <v>1</v>
      </c>
      <c r="E208" s="15">
        <v>0</v>
      </c>
      <c r="F208" s="15">
        <f t="shared" si="3"/>
        <v>2</v>
      </c>
    </row>
    <row r="209" spans="1:6" x14ac:dyDescent="0.3">
      <c r="A209" s="4">
        <v>405507</v>
      </c>
      <c r="B209" s="2" t="s">
        <v>209</v>
      </c>
      <c r="C209" s="15">
        <v>1</v>
      </c>
      <c r="D209" s="15">
        <v>1</v>
      </c>
      <c r="E209" s="15">
        <v>0</v>
      </c>
      <c r="F209" s="15">
        <f t="shared" si="3"/>
        <v>2</v>
      </c>
    </row>
    <row r="210" spans="1:6" x14ac:dyDescent="0.3">
      <c r="A210" s="4">
        <v>393399</v>
      </c>
      <c r="B210" s="2" t="s">
        <v>210</v>
      </c>
      <c r="C210" s="15">
        <v>1</v>
      </c>
      <c r="D210" s="15">
        <f>IFERROR(VLOOKUP(A210,'[3]Consumo SEMANAL PV '!$B:$B,1,0),0)</f>
        <v>0</v>
      </c>
      <c r="E210" s="15">
        <v>0</v>
      </c>
      <c r="F210" s="15">
        <f t="shared" si="3"/>
        <v>1</v>
      </c>
    </row>
    <row r="211" spans="1:6" x14ac:dyDescent="0.3">
      <c r="A211" s="4">
        <v>107346</v>
      </c>
      <c r="B211" s="2" t="s">
        <v>211</v>
      </c>
      <c r="C211" s="15">
        <v>1</v>
      </c>
      <c r="D211" s="15">
        <v>1</v>
      </c>
      <c r="E211" s="15">
        <v>0</v>
      </c>
      <c r="F211" s="15">
        <f t="shared" si="3"/>
        <v>2</v>
      </c>
    </row>
    <row r="212" spans="1:6" x14ac:dyDescent="0.3">
      <c r="A212" s="4">
        <v>107348</v>
      </c>
      <c r="B212" s="2" t="s">
        <v>212</v>
      </c>
      <c r="C212" s="15">
        <v>1</v>
      </c>
      <c r="D212" s="15">
        <v>1</v>
      </c>
      <c r="E212" s="15">
        <v>0</v>
      </c>
      <c r="F212" s="15">
        <f t="shared" si="3"/>
        <v>2</v>
      </c>
    </row>
    <row r="213" spans="1:6" x14ac:dyDescent="0.3">
      <c r="A213" s="4">
        <v>405607</v>
      </c>
      <c r="B213" s="2" t="s">
        <v>213</v>
      </c>
      <c r="C213" s="15">
        <v>1</v>
      </c>
      <c r="D213" s="15">
        <f>IFERROR(VLOOKUP(A213,'[3]Consumo SEMANAL PV '!$B:$B,1,0),0)</f>
        <v>0</v>
      </c>
      <c r="E213" s="15">
        <v>0</v>
      </c>
      <c r="F213" s="15">
        <f t="shared" si="3"/>
        <v>1</v>
      </c>
    </row>
    <row r="214" spans="1:6" x14ac:dyDescent="0.3">
      <c r="A214" s="4">
        <v>107316</v>
      </c>
      <c r="B214" s="2" t="s">
        <v>214</v>
      </c>
      <c r="C214" s="15">
        <v>1</v>
      </c>
      <c r="D214" s="15">
        <v>1</v>
      </c>
      <c r="E214" s="15">
        <v>1</v>
      </c>
      <c r="F214" s="15">
        <f t="shared" si="3"/>
        <v>3</v>
      </c>
    </row>
    <row r="215" spans="1:6" x14ac:dyDescent="0.3">
      <c r="A215" s="4">
        <v>405570</v>
      </c>
      <c r="B215" s="2" t="s">
        <v>215</v>
      </c>
      <c r="C215" s="15">
        <v>0</v>
      </c>
      <c r="D215" s="15">
        <v>1</v>
      </c>
      <c r="E215" s="15">
        <v>0</v>
      </c>
      <c r="F215" s="15">
        <f t="shared" si="3"/>
        <v>1</v>
      </c>
    </row>
    <row r="216" spans="1:6" x14ac:dyDescent="0.3">
      <c r="A216" s="4">
        <v>353003</v>
      </c>
      <c r="B216" s="2" t="s">
        <v>216</v>
      </c>
      <c r="C216" s="15">
        <v>1</v>
      </c>
      <c r="D216" s="15">
        <f>IFERROR(VLOOKUP(A216,'[3]Consumo SEMANAL PV '!$B:$B,1,0),0)</f>
        <v>0</v>
      </c>
      <c r="E216" s="15">
        <v>0</v>
      </c>
      <c r="F216" s="15">
        <f t="shared" si="3"/>
        <v>1</v>
      </c>
    </row>
    <row r="217" spans="1:6" x14ac:dyDescent="0.3">
      <c r="A217" s="4">
        <v>107095</v>
      </c>
      <c r="B217" s="2" t="s">
        <v>217</v>
      </c>
      <c r="C217" s="15">
        <v>1</v>
      </c>
      <c r="D217" s="15">
        <v>1</v>
      </c>
      <c r="E217" s="15">
        <v>0</v>
      </c>
      <c r="F217" s="15">
        <f t="shared" si="3"/>
        <v>2</v>
      </c>
    </row>
    <row r="218" spans="1:6" x14ac:dyDescent="0.3">
      <c r="A218" s="4">
        <v>405436</v>
      </c>
      <c r="B218" s="2" t="s">
        <v>218</v>
      </c>
      <c r="C218" s="15">
        <v>1</v>
      </c>
      <c r="D218" s="15">
        <v>1</v>
      </c>
      <c r="E218" s="15">
        <v>0</v>
      </c>
      <c r="F218" s="15">
        <f t="shared" si="3"/>
        <v>2</v>
      </c>
    </row>
    <row r="219" spans="1:6" x14ac:dyDescent="0.3">
      <c r="A219" s="4">
        <v>405133</v>
      </c>
      <c r="B219" s="2" t="s">
        <v>219</v>
      </c>
      <c r="C219" s="15">
        <v>1</v>
      </c>
      <c r="D219" s="15">
        <v>1</v>
      </c>
      <c r="E219" s="15">
        <v>0</v>
      </c>
      <c r="F219" s="15">
        <f t="shared" si="3"/>
        <v>2</v>
      </c>
    </row>
    <row r="220" spans="1:6" x14ac:dyDescent="0.3">
      <c r="A220" s="4">
        <v>405556</v>
      </c>
      <c r="B220" s="2" t="s">
        <v>220</v>
      </c>
      <c r="C220" s="15">
        <v>1</v>
      </c>
      <c r="D220" s="15">
        <v>1</v>
      </c>
      <c r="E220" s="15">
        <v>0</v>
      </c>
      <c r="F220" s="15">
        <f t="shared" si="3"/>
        <v>2</v>
      </c>
    </row>
    <row r="221" spans="1:6" x14ac:dyDescent="0.3">
      <c r="A221" s="4">
        <v>107360</v>
      </c>
      <c r="B221" s="2" t="s">
        <v>221</v>
      </c>
      <c r="C221" s="15">
        <v>1</v>
      </c>
      <c r="D221" s="15">
        <f>IFERROR(VLOOKUP(A221,'[3]Consumo SEMANAL PV '!$B:$B,1,0),0)</f>
        <v>0</v>
      </c>
      <c r="E221" s="15">
        <v>0</v>
      </c>
      <c r="F221" s="15">
        <f t="shared" si="3"/>
        <v>1</v>
      </c>
    </row>
    <row r="222" spans="1:6" x14ac:dyDescent="0.3">
      <c r="A222" s="4">
        <v>107204</v>
      </c>
      <c r="B222" s="2" t="s">
        <v>222</v>
      </c>
      <c r="C222" s="15">
        <v>1</v>
      </c>
      <c r="D222" s="15">
        <v>1</v>
      </c>
      <c r="E222" s="15">
        <v>0</v>
      </c>
      <c r="F222" s="15">
        <f t="shared" si="3"/>
        <v>2</v>
      </c>
    </row>
    <row r="223" spans="1:6" x14ac:dyDescent="0.3">
      <c r="A223" s="4">
        <v>107262</v>
      </c>
      <c r="B223" s="2" t="s">
        <v>223</v>
      </c>
      <c r="C223" s="15">
        <v>1</v>
      </c>
      <c r="D223" s="15">
        <v>1</v>
      </c>
      <c r="E223" s="15">
        <v>0</v>
      </c>
      <c r="F223" s="15">
        <f t="shared" si="3"/>
        <v>2</v>
      </c>
    </row>
    <row r="224" spans="1:6" x14ac:dyDescent="0.3">
      <c r="A224" s="4">
        <v>170180</v>
      </c>
      <c r="B224" s="2" t="s">
        <v>224</v>
      </c>
      <c r="C224" s="15">
        <v>1</v>
      </c>
      <c r="D224" s="15">
        <f>IFERROR(VLOOKUP(A224,'[3]Consumo SEMANAL PV '!$B:$B,1,0),0)</f>
        <v>0</v>
      </c>
      <c r="E224" s="15">
        <v>0</v>
      </c>
      <c r="F224" s="15">
        <f t="shared" si="3"/>
        <v>1</v>
      </c>
    </row>
    <row r="225" spans="1:6" x14ac:dyDescent="0.3">
      <c r="A225" s="4">
        <v>107148</v>
      </c>
      <c r="B225" s="2" t="s">
        <v>225</v>
      </c>
      <c r="C225" s="15">
        <v>1</v>
      </c>
      <c r="D225" s="15">
        <v>1</v>
      </c>
      <c r="E225" s="15">
        <v>0</v>
      </c>
      <c r="F225" s="15">
        <f t="shared" si="3"/>
        <v>2</v>
      </c>
    </row>
    <row r="226" spans="1:6" x14ac:dyDescent="0.3">
      <c r="A226" s="4">
        <v>107246</v>
      </c>
      <c r="B226" s="2" t="s">
        <v>226</v>
      </c>
      <c r="C226" s="15">
        <v>1</v>
      </c>
      <c r="D226" s="15">
        <f>IFERROR(VLOOKUP(A226,'[3]Consumo SEMANAL PV '!$B:$B,1,0),0)</f>
        <v>0</v>
      </c>
      <c r="E226" s="15">
        <v>0</v>
      </c>
      <c r="F226" s="15">
        <f t="shared" si="3"/>
        <v>1</v>
      </c>
    </row>
    <row r="227" spans="1:6" x14ac:dyDescent="0.3">
      <c r="A227" s="4">
        <v>107275</v>
      </c>
      <c r="B227" s="2" t="s">
        <v>227</v>
      </c>
      <c r="C227" s="15">
        <v>1</v>
      </c>
      <c r="D227" s="15">
        <f>IFERROR(VLOOKUP(A227,'[3]Consumo SEMANAL PV '!$B:$B,1,0),0)</f>
        <v>0</v>
      </c>
      <c r="E227" s="15">
        <v>0</v>
      </c>
      <c r="F227" s="15">
        <f t="shared" si="3"/>
        <v>1</v>
      </c>
    </row>
    <row r="228" spans="1:6" x14ac:dyDescent="0.3">
      <c r="A228" s="4">
        <v>405651</v>
      </c>
      <c r="B228" s="2" t="s">
        <v>228</v>
      </c>
      <c r="C228" s="15">
        <v>1</v>
      </c>
      <c r="D228" s="15">
        <f>IFERROR(VLOOKUP(A228,'[3]Consumo SEMANAL PV '!$B:$B,1,0),0)</f>
        <v>0</v>
      </c>
      <c r="E228" s="15">
        <v>0</v>
      </c>
      <c r="F228" s="15">
        <f t="shared" si="3"/>
        <v>1</v>
      </c>
    </row>
    <row r="229" spans="1:6" x14ac:dyDescent="0.3">
      <c r="A229" s="4">
        <v>401015</v>
      </c>
      <c r="B229" s="2" t="s">
        <v>229</v>
      </c>
      <c r="C229" s="15">
        <v>1</v>
      </c>
      <c r="D229" s="15">
        <v>1</v>
      </c>
      <c r="E229" s="15">
        <v>1</v>
      </c>
      <c r="F229" s="15">
        <f t="shared" si="3"/>
        <v>3</v>
      </c>
    </row>
    <row r="230" spans="1:6" x14ac:dyDescent="0.3">
      <c r="A230" s="4">
        <v>401014</v>
      </c>
      <c r="B230" s="2" t="s">
        <v>230</v>
      </c>
      <c r="C230" s="15">
        <v>1</v>
      </c>
      <c r="D230" s="15">
        <v>1</v>
      </c>
      <c r="E230" s="15">
        <v>1</v>
      </c>
      <c r="F230" s="15">
        <f t="shared" si="3"/>
        <v>3</v>
      </c>
    </row>
    <row r="231" spans="1:6" x14ac:dyDescent="0.3">
      <c r="A231" s="4">
        <v>401013</v>
      </c>
      <c r="B231" s="2" t="s">
        <v>231</v>
      </c>
      <c r="C231" s="15">
        <v>1</v>
      </c>
      <c r="D231" s="15">
        <v>1</v>
      </c>
      <c r="E231" s="15">
        <v>1</v>
      </c>
      <c r="F231" s="15">
        <f t="shared" si="3"/>
        <v>3</v>
      </c>
    </row>
    <row r="232" spans="1:6" x14ac:dyDescent="0.3">
      <c r="A232" s="4">
        <v>401010</v>
      </c>
      <c r="B232" s="2" t="s">
        <v>232</v>
      </c>
      <c r="C232" s="15">
        <v>1</v>
      </c>
      <c r="D232" s="15">
        <v>1</v>
      </c>
      <c r="E232" s="15">
        <v>1</v>
      </c>
      <c r="F232" s="15">
        <f t="shared" si="3"/>
        <v>3</v>
      </c>
    </row>
    <row r="233" spans="1:6" x14ac:dyDescent="0.3">
      <c r="A233" s="4">
        <v>401011</v>
      </c>
      <c r="B233" s="2" t="s">
        <v>233</v>
      </c>
      <c r="C233" s="15">
        <v>1</v>
      </c>
      <c r="D233" s="15">
        <v>1</v>
      </c>
      <c r="E233" s="15">
        <v>1</v>
      </c>
      <c r="F233" s="15">
        <f t="shared" si="3"/>
        <v>3</v>
      </c>
    </row>
    <row r="234" spans="1:6" x14ac:dyDescent="0.3">
      <c r="A234" s="4">
        <v>401019</v>
      </c>
      <c r="B234" s="2" t="s">
        <v>234</v>
      </c>
      <c r="C234" s="15">
        <v>1</v>
      </c>
      <c r="D234" s="15">
        <v>1</v>
      </c>
      <c r="E234" s="15">
        <v>0</v>
      </c>
      <c r="F234" s="15">
        <f t="shared" si="3"/>
        <v>2</v>
      </c>
    </row>
    <row r="235" spans="1:6" x14ac:dyDescent="0.3">
      <c r="A235" s="4">
        <v>401012</v>
      </c>
      <c r="B235" s="2" t="s">
        <v>235</v>
      </c>
      <c r="C235" s="15">
        <v>1</v>
      </c>
      <c r="D235" s="15">
        <v>1</v>
      </c>
      <c r="E235" s="15">
        <v>1</v>
      </c>
      <c r="F235" s="15">
        <f t="shared" si="3"/>
        <v>3</v>
      </c>
    </row>
    <row r="236" spans="1:6" x14ac:dyDescent="0.3">
      <c r="A236" s="4">
        <v>393040</v>
      </c>
      <c r="B236" s="2" t="s">
        <v>236</v>
      </c>
      <c r="C236" s="15">
        <v>1</v>
      </c>
      <c r="D236" s="15">
        <v>1</v>
      </c>
      <c r="E236" s="15">
        <v>0</v>
      </c>
      <c r="F236" s="15">
        <f t="shared" si="3"/>
        <v>2</v>
      </c>
    </row>
    <row r="237" spans="1:6" x14ac:dyDescent="0.3">
      <c r="A237" s="4">
        <v>393349</v>
      </c>
      <c r="B237" s="2" t="s">
        <v>237</v>
      </c>
      <c r="C237" s="15">
        <v>1</v>
      </c>
      <c r="D237" s="15">
        <f>IFERROR(VLOOKUP(A237,'[3]Consumo SEMANAL PV '!$B:$B,1,0),0)</f>
        <v>0</v>
      </c>
      <c r="E237" s="15">
        <v>0</v>
      </c>
      <c r="F237" s="15">
        <f t="shared" si="3"/>
        <v>1</v>
      </c>
    </row>
    <row r="238" spans="1:6" x14ac:dyDescent="0.3">
      <c r="A238" s="4">
        <v>405371</v>
      </c>
      <c r="B238" s="2" t="s">
        <v>238</v>
      </c>
      <c r="C238" s="15">
        <v>1</v>
      </c>
      <c r="D238" s="15">
        <f>IFERROR(VLOOKUP(A238,'[3]Consumo SEMANAL PV '!$B:$B,1,0),0)</f>
        <v>0</v>
      </c>
      <c r="E238" s="15">
        <v>0</v>
      </c>
      <c r="F238" s="15">
        <f t="shared" si="3"/>
        <v>1</v>
      </c>
    </row>
    <row r="239" spans="1:6" x14ac:dyDescent="0.3">
      <c r="A239" s="4">
        <v>405134</v>
      </c>
      <c r="B239" s="2" t="s">
        <v>239</v>
      </c>
      <c r="C239" s="15">
        <v>1</v>
      </c>
      <c r="D239" s="15">
        <v>1</v>
      </c>
      <c r="E239" s="15">
        <v>0</v>
      </c>
      <c r="F239" s="15">
        <f t="shared" si="3"/>
        <v>2</v>
      </c>
    </row>
    <row r="240" spans="1:6" x14ac:dyDescent="0.3">
      <c r="A240" s="4">
        <v>405683</v>
      </c>
      <c r="B240" s="2" t="s">
        <v>240</v>
      </c>
      <c r="C240" s="15">
        <v>1</v>
      </c>
      <c r="D240" s="15">
        <f>IFERROR(VLOOKUP(A240,'[3]Consumo SEMANAL PV '!$B:$B,1,0),0)</f>
        <v>0</v>
      </c>
      <c r="E240" s="15">
        <v>0</v>
      </c>
      <c r="F240" s="15">
        <f t="shared" si="3"/>
        <v>1</v>
      </c>
    </row>
    <row r="241" spans="1:6" x14ac:dyDescent="0.3">
      <c r="A241" s="4">
        <v>107102</v>
      </c>
      <c r="B241" s="2" t="s">
        <v>241</v>
      </c>
      <c r="C241" s="15">
        <v>1</v>
      </c>
      <c r="D241" s="15">
        <v>1</v>
      </c>
      <c r="E241" s="15">
        <v>0</v>
      </c>
      <c r="F241" s="15">
        <f t="shared" si="3"/>
        <v>2</v>
      </c>
    </row>
    <row r="242" spans="1:6" x14ac:dyDescent="0.3">
      <c r="A242" s="4">
        <v>405533</v>
      </c>
      <c r="B242" s="2" t="s">
        <v>242</v>
      </c>
      <c r="C242" s="15">
        <v>1</v>
      </c>
      <c r="D242" s="15">
        <v>1</v>
      </c>
      <c r="E242" s="15">
        <v>0</v>
      </c>
      <c r="F242" s="15">
        <f t="shared" si="3"/>
        <v>2</v>
      </c>
    </row>
    <row r="243" spans="1:6" x14ac:dyDescent="0.3">
      <c r="A243" s="4">
        <v>107164</v>
      </c>
      <c r="B243" s="2" t="s">
        <v>243</v>
      </c>
      <c r="C243" s="15">
        <v>1</v>
      </c>
      <c r="D243" s="15">
        <v>1</v>
      </c>
      <c r="E243" s="15">
        <v>0</v>
      </c>
      <c r="F243" s="15">
        <f t="shared" si="3"/>
        <v>2</v>
      </c>
    </row>
    <row r="244" spans="1:6" x14ac:dyDescent="0.3">
      <c r="A244" s="2">
        <v>103104</v>
      </c>
      <c r="B244" s="2" t="s">
        <v>249</v>
      </c>
      <c r="C244" s="15">
        <v>0</v>
      </c>
      <c r="D244" s="15">
        <v>1</v>
      </c>
      <c r="E244" s="15">
        <v>0</v>
      </c>
      <c r="F244" s="15">
        <f t="shared" si="3"/>
        <v>1</v>
      </c>
    </row>
    <row r="245" spans="1:6" x14ac:dyDescent="0.3">
      <c r="A245" s="2">
        <v>104004</v>
      </c>
      <c r="B245" s="2" t="s">
        <v>252</v>
      </c>
      <c r="C245" s="15">
        <v>0</v>
      </c>
      <c r="D245" s="15">
        <v>1</v>
      </c>
      <c r="E245" s="15">
        <v>0</v>
      </c>
      <c r="F245" s="15">
        <f t="shared" si="3"/>
        <v>1</v>
      </c>
    </row>
    <row r="246" spans="1:6" x14ac:dyDescent="0.3">
      <c r="A246" s="2">
        <v>405501</v>
      </c>
      <c r="B246" s="2" t="s">
        <v>253</v>
      </c>
      <c r="C246" s="15">
        <v>1</v>
      </c>
      <c r="D246" s="15">
        <v>1</v>
      </c>
      <c r="E246" s="15">
        <v>0</v>
      </c>
      <c r="F246" s="15">
        <f t="shared" si="3"/>
        <v>2</v>
      </c>
    </row>
    <row r="247" spans="1:6" x14ac:dyDescent="0.3">
      <c r="A247" s="2">
        <v>400205</v>
      </c>
      <c r="B247" s="2" t="s">
        <v>254</v>
      </c>
      <c r="C247" s="15">
        <v>1</v>
      </c>
      <c r="D247" s="15">
        <v>1</v>
      </c>
      <c r="E247" s="15">
        <v>0</v>
      </c>
      <c r="F247" s="15">
        <f t="shared" si="3"/>
        <v>2</v>
      </c>
    </row>
    <row r="248" spans="1:6" x14ac:dyDescent="0.3">
      <c r="A248" s="2">
        <v>400202</v>
      </c>
      <c r="B248" s="2" t="s">
        <v>255</v>
      </c>
      <c r="C248" s="15">
        <v>1</v>
      </c>
      <c r="D248" s="15">
        <v>1</v>
      </c>
      <c r="E248" s="15">
        <v>1</v>
      </c>
      <c r="F248" s="15">
        <f t="shared" si="3"/>
        <v>3</v>
      </c>
    </row>
    <row r="249" spans="1:6" x14ac:dyDescent="0.3">
      <c r="A249" s="2">
        <v>403245</v>
      </c>
      <c r="B249" s="2" t="s">
        <v>256</v>
      </c>
      <c r="C249" s="15">
        <v>1</v>
      </c>
      <c r="D249" s="15">
        <v>1</v>
      </c>
      <c r="E249" s="15">
        <v>0</v>
      </c>
      <c r="F249" s="15">
        <f t="shared" si="3"/>
        <v>2</v>
      </c>
    </row>
    <row r="250" spans="1:6" x14ac:dyDescent="0.3">
      <c r="A250" s="2">
        <v>107365</v>
      </c>
      <c r="B250" s="2" t="s">
        <v>257</v>
      </c>
      <c r="C250" s="15">
        <v>1</v>
      </c>
      <c r="D250" s="15">
        <v>1</v>
      </c>
      <c r="E250" s="15">
        <v>1</v>
      </c>
      <c r="F250" s="15">
        <f t="shared" si="3"/>
        <v>3</v>
      </c>
    </row>
    <row r="251" spans="1:6" x14ac:dyDescent="0.3">
      <c r="A251" s="2">
        <v>402251</v>
      </c>
      <c r="B251" s="2" t="s">
        <v>258</v>
      </c>
      <c r="C251" s="15">
        <v>1</v>
      </c>
      <c r="D251" s="15">
        <v>1</v>
      </c>
      <c r="E251" s="15">
        <v>1</v>
      </c>
      <c r="F251" s="15">
        <f t="shared" si="3"/>
        <v>3</v>
      </c>
    </row>
    <row r="252" spans="1:6" x14ac:dyDescent="0.3">
      <c r="A252" s="2">
        <v>403393</v>
      </c>
      <c r="B252" s="2" t="s">
        <v>259</v>
      </c>
      <c r="C252" s="15">
        <v>1</v>
      </c>
      <c r="D252" s="15">
        <v>1</v>
      </c>
      <c r="E252" s="15">
        <v>0</v>
      </c>
      <c r="F252" s="15">
        <f t="shared" si="3"/>
        <v>2</v>
      </c>
    </row>
    <row r="253" spans="1:6" x14ac:dyDescent="0.3">
      <c r="A253" s="2">
        <v>402253</v>
      </c>
      <c r="B253" s="2" t="s">
        <v>260</v>
      </c>
      <c r="C253" s="15">
        <v>1</v>
      </c>
      <c r="D253" s="15">
        <v>1</v>
      </c>
      <c r="E253" s="15">
        <v>1</v>
      </c>
      <c r="F253" s="15">
        <f t="shared" si="3"/>
        <v>3</v>
      </c>
    </row>
    <row r="254" spans="1:6" x14ac:dyDescent="0.3">
      <c r="A254" s="2">
        <v>106302</v>
      </c>
      <c r="B254" s="2" t="s">
        <v>261</v>
      </c>
      <c r="C254" s="15">
        <v>1</v>
      </c>
      <c r="D254" s="15">
        <v>1</v>
      </c>
      <c r="E254" s="15">
        <v>0</v>
      </c>
      <c r="F254" s="15">
        <f t="shared" si="3"/>
        <v>2</v>
      </c>
    </row>
    <row r="255" spans="1:6" x14ac:dyDescent="0.3">
      <c r="A255" s="2">
        <v>403258</v>
      </c>
      <c r="B255" s="2" t="s">
        <v>262</v>
      </c>
      <c r="C255" s="15">
        <v>0</v>
      </c>
      <c r="D255" s="15">
        <v>1</v>
      </c>
      <c r="E255" s="15">
        <v>0</v>
      </c>
      <c r="F255" s="15">
        <f t="shared" si="3"/>
        <v>1</v>
      </c>
    </row>
    <row r="256" spans="1:6" x14ac:dyDescent="0.3">
      <c r="A256" s="2">
        <v>405728</v>
      </c>
      <c r="B256" s="2" t="s">
        <v>263</v>
      </c>
      <c r="C256" s="15">
        <v>0</v>
      </c>
      <c r="D256" s="15">
        <v>1</v>
      </c>
      <c r="E256" s="15">
        <v>0</v>
      </c>
      <c r="F256" s="15">
        <f t="shared" si="3"/>
        <v>1</v>
      </c>
    </row>
    <row r="257" spans="1:6" x14ac:dyDescent="0.3">
      <c r="A257" s="2">
        <v>405304</v>
      </c>
      <c r="B257" s="2" t="s">
        <v>264</v>
      </c>
      <c r="C257" s="15">
        <v>0</v>
      </c>
      <c r="D257" s="15">
        <v>1</v>
      </c>
      <c r="E257" s="15">
        <v>0</v>
      </c>
      <c r="F257" s="15">
        <f t="shared" si="3"/>
        <v>1</v>
      </c>
    </row>
    <row r="258" spans="1:6" x14ac:dyDescent="0.3">
      <c r="A258" s="2">
        <v>405161</v>
      </c>
      <c r="B258" s="2" t="s">
        <v>265</v>
      </c>
      <c r="C258" s="15">
        <v>0</v>
      </c>
      <c r="D258" s="15">
        <v>1</v>
      </c>
      <c r="E258" s="15">
        <v>0</v>
      </c>
      <c r="F258" s="15">
        <f t="shared" si="3"/>
        <v>1</v>
      </c>
    </row>
    <row r="259" spans="1:6" x14ac:dyDescent="0.3">
      <c r="A259" s="2">
        <v>107417</v>
      </c>
      <c r="B259" s="2" t="s">
        <v>266</v>
      </c>
      <c r="C259" s="15">
        <v>0</v>
      </c>
      <c r="D259" s="15">
        <v>1</v>
      </c>
      <c r="E259" s="15">
        <v>0</v>
      </c>
      <c r="F259" s="15">
        <f t="shared" ref="F259:F322" si="4">COUNTIF(C259:E259,1)</f>
        <v>1</v>
      </c>
    </row>
    <row r="260" spans="1:6" x14ac:dyDescent="0.3">
      <c r="A260" s="2">
        <v>405524</v>
      </c>
      <c r="B260" s="2" t="s">
        <v>267</v>
      </c>
      <c r="C260" s="15">
        <v>0</v>
      </c>
      <c r="D260" s="15">
        <v>1</v>
      </c>
      <c r="E260" s="15">
        <v>0</v>
      </c>
      <c r="F260" s="15">
        <f t="shared" si="4"/>
        <v>1</v>
      </c>
    </row>
    <row r="261" spans="1:6" x14ac:dyDescent="0.3">
      <c r="A261" s="2">
        <v>405214</v>
      </c>
      <c r="B261" s="2" t="s">
        <v>268</v>
      </c>
      <c r="C261" s="15">
        <v>0</v>
      </c>
      <c r="D261" s="15">
        <v>1</v>
      </c>
      <c r="E261" s="15">
        <v>0</v>
      </c>
      <c r="F261" s="15">
        <f t="shared" si="4"/>
        <v>1</v>
      </c>
    </row>
    <row r="262" spans="1:6" x14ac:dyDescent="0.3">
      <c r="A262" s="2">
        <v>107317</v>
      </c>
      <c r="B262" s="2" t="s">
        <v>269</v>
      </c>
      <c r="C262" s="15">
        <v>0</v>
      </c>
      <c r="D262" s="15">
        <v>1</v>
      </c>
      <c r="E262" s="15">
        <v>0</v>
      </c>
      <c r="F262" s="15">
        <f t="shared" si="4"/>
        <v>1</v>
      </c>
    </row>
    <row r="263" spans="1:6" x14ac:dyDescent="0.3">
      <c r="A263" s="2">
        <v>107240</v>
      </c>
      <c r="B263" s="2" t="s">
        <v>270</v>
      </c>
      <c r="C263" s="15">
        <v>0</v>
      </c>
      <c r="D263" s="15">
        <v>1</v>
      </c>
      <c r="E263" s="15">
        <v>0</v>
      </c>
      <c r="F263" s="15">
        <f t="shared" si="4"/>
        <v>1</v>
      </c>
    </row>
    <row r="264" spans="1:6" x14ac:dyDescent="0.3">
      <c r="A264" s="2">
        <v>403244</v>
      </c>
      <c r="B264" s="2" t="s">
        <v>271</v>
      </c>
      <c r="C264" s="15">
        <v>1</v>
      </c>
      <c r="D264" s="15">
        <v>1</v>
      </c>
      <c r="E264" s="15">
        <v>0</v>
      </c>
      <c r="F264" s="15">
        <f t="shared" si="4"/>
        <v>2</v>
      </c>
    </row>
    <row r="265" spans="1:6" x14ac:dyDescent="0.3">
      <c r="A265" s="2">
        <v>405489</v>
      </c>
      <c r="B265" s="2" t="s">
        <v>272</v>
      </c>
      <c r="C265" s="15">
        <v>1</v>
      </c>
      <c r="D265" s="15">
        <v>1</v>
      </c>
      <c r="E265" s="15">
        <v>0</v>
      </c>
      <c r="F265" s="15">
        <f t="shared" si="4"/>
        <v>2</v>
      </c>
    </row>
    <row r="266" spans="1:6" x14ac:dyDescent="0.3">
      <c r="A266" s="2">
        <v>405770</v>
      </c>
      <c r="B266" s="2" t="s">
        <v>273</v>
      </c>
      <c r="C266" s="15">
        <v>0</v>
      </c>
      <c r="D266" s="15">
        <v>1</v>
      </c>
      <c r="E266" s="15">
        <v>0</v>
      </c>
      <c r="F266" s="15">
        <f t="shared" si="4"/>
        <v>1</v>
      </c>
    </row>
    <row r="267" spans="1:6" x14ac:dyDescent="0.3">
      <c r="A267" s="2">
        <v>405594</v>
      </c>
      <c r="B267" s="2" t="s">
        <v>274</v>
      </c>
      <c r="C267" s="15">
        <v>0</v>
      </c>
      <c r="D267" s="15">
        <v>1</v>
      </c>
      <c r="E267" s="15">
        <v>0</v>
      </c>
      <c r="F267" s="15">
        <f t="shared" si="4"/>
        <v>1</v>
      </c>
    </row>
    <row r="268" spans="1:6" x14ac:dyDescent="0.3">
      <c r="A268" s="2">
        <v>201002</v>
      </c>
      <c r="B268" s="2" t="s">
        <v>275</v>
      </c>
      <c r="C268" s="15">
        <v>0</v>
      </c>
      <c r="D268" s="15">
        <v>1</v>
      </c>
      <c r="E268" s="15">
        <v>0</v>
      </c>
      <c r="F268" s="15">
        <f t="shared" si="4"/>
        <v>1</v>
      </c>
    </row>
    <row r="269" spans="1:6" x14ac:dyDescent="0.3">
      <c r="A269" s="2">
        <v>405739</v>
      </c>
      <c r="B269" s="2" t="s">
        <v>276</v>
      </c>
      <c r="C269" s="15">
        <v>0</v>
      </c>
      <c r="D269" s="15">
        <v>1</v>
      </c>
      <c r="E269" s="15">
        <v>0</v>
      </c>
      <c r="F269" s="15">
        <f t="shared" si="4"/>
        <v>1</v>
      </c>
    </row>
    <row r="270" spans="1:6" x14ac:dyDescent="0.3">
      <c r="A270" s="2">
        <v>403108</v>
      </c>
      <c r="B270" s="2" t="s">
        <v>277</v>
      </c>
      <c r="C270" s="15">
        <v>1</v>
      </c>
      <c r="D270" s="15">
        <v>1</v>
      </c>
      <c r="E270" s="15">
        <v>0</v>
      </c>
      <c r="F270" s="15">
        <f t="shared" si="4"/>
        <v>2</v>
      </c>
    </row>
    <row r="271" spans="1:6" x14ac:dyDescent="0.3">
      <c r="A271" s="2">
        <v>405741</v>
      </c>
      <c r="B271" s="2" t="s">
        <v>278</v>
      </c>
      <c r="C271" s="15">
        <v>1</v>
      </c>
      <c r="D271" s="15">
        <v>1</v>
      </c>
      <c r="E271" s="15">
        <v>0</v>
      </c>
      <c r="F271" s="15">
        <f t="shared" si="4"/>
        <v>2</v>
      </c>
    </row>
    <row r="272" spans="1:6" x14ac:dyDescent="0.3">
      <c r="A272" s="2">
        <v>403100</v>
      </c>
      <c r="B272" s="2" t="s">
        <v>279</v>
      </c>
      <c r="C272" s="15">
        <v>1</v>
      </c>
      <c r="D272" s="15">
        <v>1</v>
      </c>
      <c r="E272" s="15">
        <v>0</v>
      </c>
      <c r="F272" s="15">
        <f t="shared" si="4"/>
        <v>2</v>
      </c>
    </row>
    <row r="273" spans="1:6" x14ac:dyDescent="0.3">
      <c r="A273" s="2">
        <v>107125</v>
      </c>
      <c r="B273" s="2" t="s">
        <v>280</v>
      </c>
      <c r="C273" s="15">
        <v>1</v>
      </c>
      <c r="D273" s="15">
        <v>1</v>
      </c>
      <c r="E273" s="15">
        <v>0</v>
      </c>
      <c r="F273" s="15">
        <f t="shared" si="4"/>
        <v>2</v>
      </c>
    </row>
    <row r="274" spans="1:6" x14ac:dyDescent="0.3">
      <c r="A274" s="2">
        <v>107124</v>
      </c>
      <c r="B274" s="2" t="s">
        <v>281</v>
      </c>
      <c r="C274" s="15">
        <v>1</v>
      </c>
      <c r="D274" s="15">
        <v>1</v>
      </c>
      <c r="E274" s="15">
        <v>0</v>
      </c>
      <c r="F274" s="15">
        <f t="shared" si="4"/>
        <v>2</v>
      </c>
    </row>
    <row r="275" spans="1:6" x14ac:dyDescent="0.3">
      <c r="A275" s="2">
        <v>405720</v>
      </c>
      <c r="B275" s="2" t="s">
        <v>282</v>
      </c>
      <c r="C275" s="15">
        <v>0</v>
      </c>
      <c r="D275" s="15">
        <v>1</v>
      </c>
      <c r="E275" s="15">
        <v>0</v>
      </c>
      <c r="F275" s="15">
        <f t="shared" si="4"/>
        <v>1</v>
      </c>
    </row>
    <row r="276" spans="1:6" x14ac:dyDescent="0.3">
      <c r="A276" s="2">
        <v>405719</v>
      </c>
      <c r="B276" s="2" t="s">
        <v>283</v>
      </c>
      <c r="C276" s="15">
        <v>0</v>
      </c>
      <c r="D276" s="15">
        <v>1</v>
      </c>
      <c r="E276" s="15">
        <v>0</v>
      </c>
      <c r="F276" s="15">
        <f t="shared" si="4"/>
        <v>1</v>
      </c>
    </row>
    <row r="277" spans="1:6" x14ac:dyDescent="0.3">
      <c r="A277" s="2">
        <v>405773</v>
      </c>
      <c r="B277" s="2" t="s">
        <v>284</v>
      </c>
      <c r="C277" s="15">
        <v>0</v>
      </c>
      <c r="D277" s="15">
        <v>1</v>
      </c>
      <c r="E277" s="15">
        <v>0</v>
      </c>
      <c r="F277" s="15">
        <f t="shared" si="4"/>
        <v>1</v>
      </c>
    </row>
    <row r="278" spans="1:6" x14ac:dyDescent="0.3">
      <c r="A278" s="2">
        <v>405354</v>
      </c>
      <c r="B278" s="2" t="s">
        <v>285</v>
      </c>
      <c r="C278" s="15">
        <v>0</v>
      </c>
      <c r="D278" s="15">
        <v>1</v>
      </c>
      <c r="E278" s="15">
        <v>0</v>
      </c>
      <c r="F278" s="15">
        <f t="shared" si="4"/>
        <v>1</v>
      </c>
    </row>
    <row r="279" spans="1:6" x14ac:dyDescent="0.3">
      <c r="A279" s="2">
        <v>405704</v>
      </c>
      <c r="B279" s="2" t="s">
        <v>286</v>
      </c>
      <c r="C279" s="15">
        <v>0</v>
      </c>
      <c r="D279" s="15">
        <v>1</v>
      </c>
      <c r="E279" s="15">
        <v>0</v>
      </c>
      <c r="F279" s="15">
        <f t="shared" si="4"/>
        <v>1</v>
      </c>
    </row>
    <row r="280" spans="1:6" x14ac:dyDescent="0.3">
      <c r="A280" s="2">
        <v>405356</v>
      </c>
      <c r="B280" s="2" t="s">
        <v>287</v>
      </c>
      <c r="C280" s="15">
        <v>0</v>
      </c>
      <c r="D280" s="15">
        <v>1</v>
      </c>
      <c r="E280" s="15">
        <v>0</v>
      </c>
      <c r="F280" s="15">
        <f t="shared" si="4"/>
        <v>1</v>
      </c>
    </row>
    <row r="281" spans="1:6" x14ac:dyDescent="0.3">
      <c r="A281" s="2">
        <v>405357</v>
      </c>
      <c r="B281" s="2" t="s">
        <v>288</v>
      </c>
      <c r="C281" s="15">
        <v>0</v>
      </c>
      <c r="D281" s="15">
        <v>1</v>
      </c>
      <c r="E281" s="15">
        <v>0</v>
      </c>
      <c r="F281" s="15">
        <f t="shared" si="4"/>
        <v>1</v>
      </c>
    </row>
    <row r="282" spans="1:6" x14ac:dyDescent="0.3">
      <c r="A282" s="2">
        <v>405718</v>
      </c>
      <c r="B282" s="2" t="s">
        <v>289</v>
      </c>
      <c r="C282" s="15">
        <v>0</v>
      </c>
      <c r="D282" s="15">
        <v>1</v>
      </c>
      <c r="E282" s="15">
        <v>0</v>
      </c>
      <c r="F282" s="15">
        <f t="shared" si="4"/>
        <v>1</v>
      </c>
    </row>
    <row r="283" spans="1:6" x14ac:dyDescent="0.3">
      <c r="A283" s="2">
        <v>405736</v>
      </c>
      <c r="B283" s="2" t="s">
        <v>290</v>
      </c>
      <c r="C283" s="15">
        <v>0</v>
      </c>
      <c r="D283" s="15">
        <v>1</v>
      </c>
      <c r="E283" s="15">
        <v>0</v>
      </c>
      <c r="F283" s="15">
        <f t="shared" si="4"/>
        <v>1</v>
      </c>
    </row>
    <row r="284" spans="1:6" x14ac:dyDescent="0.3">
      <c r="A284" s="2">
        <v>405710</v>
      </c>
      <c r="B284" s="2" t="s">
        <v>291</v>
      </c>
      <c r="C284" s="15">
        <v>0</v>
      </c>
      <c r="D284" s="15">
        <v>1</v>
      </c>
      <c r="E284" s="15">
        <v>0</v>
      </c>
      <c r="F284" s="15">
        <f t="shared" si="4"/>
        <v>1</v>
      </c>
    </row>
    <row r="285" spans="1:6" x14ac:dyDescent="0.3">
      <c r="A285" s="2">
        <v>405711</v>
      </c>
      <c r="B285" s="2" t="s">
        <v>292</v>
      </c>
      <c r="C285" s="15">
        <v>0</v>
      </c>
      <c r="D285" s="15">
        <v>1</v>
      </c>
      <c r="E285" s="15">
        <v>0</v>
      </c>
      <c r="F285" s="15">
        <f t="shared" si="4"/>
        <v>1</v>
      </c>
    </row>
    <row r="286" spans="1:6" x14ac:dyDescent="0.3">
      <c r="A286" s="2">
        <v>405713</v>
      </c>
      <c r="B286" s="2" t="s">
        <v>293</v>
      </c>
      <c r="C286" s="15">
        <v>0</v>
      </c>
      <c r="D286" s="15">
        <v>1</v>
      </c>
      <c r="E286" s="15">
        <v>0</v>
      </c>
      <c r="F286" s="15">
        <f t="shared" si="4"/>
        <v>1</v>
      </c>
    </row>
    <row r="287" spans="1:6" x14ac:dyDescent="0.3">
      <c r="A287" s="2">
        <v>405733</v>
      </c>
      <c r="B287" s="2" t="s">
        <v>294</v>
      </c>
      <c r="C287" s="15">
        <v>0</v>
      </c>
      <c r="D287" s="15">
        <v>1</v>
      </c>
      <c r="E287" s="15">
        <v>0</v>
      </c>
      <c r="F287" s="15">
        <f t="shared" si="4"/>
        <v>1</v>
      </c>
    </row>
    <row r="288" spans="1:6" x14ac:dyDescent="0.3">
      <c r="A288" s="2">
        <v>405709</v>
      </c>
      <c r="B288" s="2" t="s">
        <v>295</v>
      </c>
      <c r="C288" s="15">
        <v>0</v>
      </c>
      <c r="D288" s="15">
        <v>1</v>
      </c>
      <c r="E288" s="15">
        <v>0</v>
      </c>
      <c r="F288" s="15">
        <f t="shared" si="4"/>
        <v>1</v>
      </c>
    </row>
    <row r="289" spans="1:6" x14ac:dyDescent="0.3">
      <c r="A289" s="2">
        <v>405737</v>
      </c>
      <c r="B289" s="2" t="s">
        <v>296</v>
      </c>
      <c r="C289" s="15">
        <v>0</v>
      </c>
      <c r="D289" s="15">
        <v>1</v>
      </c>
      <c r="E289" s="15">
        <v>0</v>
      </c>
      <c r="F289" s="15">
        <f t="shared" si="4"/>
        <v>1</v>
      </c>
    </row>
    <row r="290" spans="1:6" x14ac:dyDescent="0.3">
      <c r="A290" s="2">
        <v>405734</v>
      </c>
      <c r="B290" s="2" t="s">
        <v>297</v>
      </c>
      <c r="C290" s="15">
        <v>0</v>
      </c>
      <c r="D290" s="15">
        <v>1</v>
      </c>
      <c r="E290" s="15">
        <v>0</v>
      </c>
      <c r="F290" s="15">
        <f t="shared" si="4"/>
        <v>1</v>
      </c>
    </row>
    <row r="291" spans="1:6" x14ac:dyDescent="0.3">
      <c r="A291" s="2">
        <v>405716</v>
      </c>
      <c r="B291" s="2" t="s">
        <v>298</v>
      </c>
      <c r="C291" s="15">
        <v>0</v>
      </c>
      <c r="D291" s="15">
        <v>1</v>
      </c>
      <c r="E291" s="15">
        <v>0</v>
      </c>
      <c r="F291" s="15">
        <f t="shared" si="4"/>
        <v>1</v>
      </c>
    </row>
    <row r="292" spans="1:6" x14ac:dyDescent="0.3">
      <c r="A292" s="2">
        <v>405717</v>
      </c>
      <c r="B292" s="2" t="s">
        <v>299</v>
      </c>
      <c r="C292" s="15">
        <v>0</v>
      </c>
      <c r="D292" s="15">
        <v>1</v>
      </c>
      <c r="E292" s="15">
        <v>0</v>
      </c>
      <c r="F292" s="15">
        <f t="shared" si="4"/>
        <v>1</v>
      </c>
    </row>
    <row r="293" spans="1:6" x14ac:dyDescent="0.3">
      <c r="A293" s="2">
        <v>405714</v>
      </c>
      <c r="B293" s="2" t="s">
        <v>300</v>
      </c>
      <c r="C293" s="15">
        <v>0</v>
      </c>
      <c r="D293" s="15">
        <v>1</v>
      </c>
      <c r="E293" s="15">
        <v>0</v>
      </c>
      <c r="F293" s="15">
        <f t="shared" si="4"/>
        <v>1</v>
      </c>
    </row>
    <row r="294" spans="1:6" x14ac:dyDescent="0.3">
      <c r="A294" s="2">
        <v>405735</v>
      </c>
      <c r="B294" s="2" t="s">
        <v>301</v>
      </c>
      <c r="C294" s="15">
        <v>0</v>
      </c>
      <c r="D294" s="15">
        <v>1</v>
      </c>
      <c r="E294" s="15">
        <v>0</v>
      </c>
      <c r="F294" s="15">
        <f t="shared" si="4"/>
        <v>1</v>
      </c>
    </row>
    <row r="295" spans="1:6" x14ac:dyDescent="0.3">
      <c r="A295" s="2">
        <v>405771</v>
      </c>
      <c r="B295" s="2" t="s">
        <v>302</v>
      </c>
      <c r="C295" s="15">
        <v>0</v>
      </c>
      <c r="D295" s="15">
        <v>1</v>
      </c>
      <c r="E295" s="15">
        <v>0</v>
      </c>
      <c r="F295" s="15">
        <f t="shared" si="4"/>
        <v>1</v>
      </c>
    </row>
    <row r="296" spans="1:6" x14ac:dyDescent="0.3">
      <c r="A296" s="2">
        <v>405772</v>
      </c>
      <c r="B296" s="2" t="s">
        <v>303</v>
      </c>
      <c r="C296" s="15">
        <v>0</v>
      </c>
      <c r="D296" s="15">
        <v>1</v>
      </c>
      <c r="E296" s="15">
        <v>0</v>
      </c>
      <c r="F296" s="15">
        <f t="shared" si="4"/>
        <v>1</v>
      </c>
    </row>
    <row r="297" spans="1:6" x14ac:dyDescent="0.3">
      <c r="A297" s="2">
        <v>404720</v>
      </c>
      <c r="B297" s="2" t="s">
        <v>304</v>
      </c>
      <c r="C297" s="15">
        <v>1</v>
      </c>
      <c r="D297" s="15">
        <v>1</v>
      </c>
      <c r="E297" s="15">
        <v>1</v>
      </c>
      <c r="F297" s="15">
        <f t="shared" si="4"/>
        <v>3</v>
      </c>
    </row>
    <row r="298" spans="1:6" x14ac:dyDescent="0.3">
      <c r="A298" s="2">
        <v>405479</v>
      </c>
      <c r="B298" s="2" t="s">
        <v>305</v>
      </c>
      <c r="C298" s="15">
        <v>0</v>
      </c>
      <c r="D298" s="15">
        <v>1</v>
      </c>
      <c r="E298" s="15">
        <v>0</v>
      </c>
      <c r="F298" s="15">
        <f t="shared" si="4"/>
        <v>1</v>
      </c>
    </row>
    <row r="299" spans="1:6" x14ac:dyDescent="0.3">
      <c r="A299" s="2">
        <v>405721</v>
      </c>
      <c r="B299" s="2" t="s">
        <v>306</v>
      </c>
      <c r="C299" s="15">
        <v>0</v>
      </c>
      <c r="D299" s="15">
        <v>1</v>
      </c>
      <c r="E299" s="15">
        <v>1</v>
      </c>
      <c r="F299" s="15">
        <f t="shared" si="4"/>
        <v>2</v>
      </c>
    </row>
    <row r="300" spans="1:6" x14ac:dyDescent="0.3">
      <c r="A300" s="2">
        <v>405722</v>
      </c>
      <c r="B300" s="2" t="s">
        <v>307</v>
      </c>
      <c r="C300" s="15">
        <v>0</v>
      </c>
      <c r="D300" s="15">
        <v>1</v>
      </c>
      <c r="E300" s="15">
        <v>0</v>
      </c>
      <c r="F300" s="15">
        <f t="shared" si="4"/>
        <v>1</v>
      </c>
    </row>
    <row r="301" spans="1:6" x14ac:dyDescent="0.3">
      <c r="A301" s="2">
        <v>405199</v>
      </c>
      <c r="B301" s="2" t="s">
        <v>308</v>
      </c>
      <c r="C301" s="15">
        <v>0</v>
      </c>
      <c r="D301" s="15">
        <v>1</v>
      </c>
      <c r="E301" s="15">
        <v>0</v>
      </c>
      <c r="F301" s="15">
        <f t="shared" si="4"/>
        <v>1</v>
      </c>
    </row>
    <row r="302" spans="1:6" x14ac:dyDescent="0.3">
      <c r="A302" s="2">
        <v>405738</v>
      </c>
      <c r="B302" s="2" t="s">
        <v>309</v>
      </c>
      <c r="C302" s="15">
        <v>0</v>
      </c>
      <c r="D302" s="15">
        <v>1</v>
      </c>
      <c r="E302" s="15">
        <v>0</v>
      </c>
      <c r="F302" s="15">
        <f t="shared" si="4"/>
        <v>1</v>
      </c>
    </row>
    <row r="303" spans="1:6" x14ac:dyDescent="0.3">
      <c r="A303" s="2">
        <v>405493</v>
      </c>
      <c r="B303" s="2" t="s">
        <v>310</v>
      </c>
      <c r="C303" s="15">
        <v>0</v>
      </c>
      <c r="D303" s="15">
        <v>1</v>
      </c>
      <c r="E303" s="15">
        <v>0</v>
      </c>
      <c r="F303" s="15">
        <f t="shared" si="4"/>
        <v>1</v>
      </c>
    </row>
    <row r="304" spans="1:6" x14ac:dyDescent="0.3">
      <c r="A304" s="2">
        <v>405494</v>
      </c>
      <c r="B304" s="2" t="s">
        <v>311</v>
      </c>
      <c r="C304" s="15">
        <v>0</v>
      </c>
      <c r="D304" s="15">
        <v>1</v>
      </c>
      <c r="E304" s="15">
        <v>0</v>
      </c>
      <c r="F304" s="15">
        <f t="shared" si="4"/>
        <v>1</v>
      </c>
    </row>
    <row r="305" spans="1:6" x14ac:dyDescent="0.3">
      <c r="A305" s="2">
        <v>405497</v>
      </c>
      <c r="B305" s="2" t="s">
        <v>312</v>
      </c>
      <c r="C305" s="15">
        <v>0</v>
      </c>
      <c r="D305" s="15">
        <v>1</v>
      </c>
      <c r="E305" s="15">
        <v>0</v>
      </c>
      <c r="F305" s="15">
        <f t="shared" si="4"/>
        <v>1</v>
      </c>
    </row>
    <row r="306" spans="1:6" x14ac:dyDescent="0.3">
      <c r="A306" s="2">
        <v>405495</v>
      </c>
      <c r="B306" s="2" t="s">
        <v>313</v>
      </c>
      <c r="C306" s="15">
        <v>0</v>
      </c>
      <c r="D306" s="15">
        <v>1</v>
      </c>
      <c r="E306" s="15">
        <v>0</v>
      </c>
      <c r="F306" s="15">
        <f t="shared" si="4"/>
        <v>1</v>
      </c>
    </row>
    <row r="307" spans="1:6" x14ac:dyDescent="0.3">
      <c r="A307" s="2">
        <v>405498</v>
      </c>
      <c r="B307" s="2" t="s">
        <v>314</v>
      </c>
      <c r="C307" s="15">
        <v>0</v>
      </c>
      <c r="D307" s="15">
        <v>1</v>
      </c>
      <c r="E307" s="15">
        <v>0</v>
      </c>
      <c r="F307" s="15">
        <f t="shared" si="4"/>
        <v>1</v>
      </c>
    </row>
    <row r="308" spans="1:6" x14ac:dyDescent="0.3">
      <c r="A308" s="2">
        <v>107408</v>
      </c>
      <c r="B308" s="2" t="s">
        <v>315</v>
      </c>
      <c r="C308" s="15">
        <v>0</v>
      </c>
      <c r="D308" s="15">
        <v>1</v>
      </c>
      <c r="E308" s="15">
        <v>0</v>
      </c>
      <c r="F308" s="15">
        <f t="shared" si="4"/>
        <v>1</v>
      </c>
    </row>
    <row r="309" spans="1:6" x14ac:dyDescent="0.3">
      <c r="A309" s="2">
        <v>405491</v>
      </c>
      <c r="B309" s="2" t="s">
        <v>316</v>
      </c>
      <c r="C309" s="15">
        <v>0</v>
      </c>
      <c r="D309" s="15">
        <v>1</v>
      </c>
      <c r="E309" s="15">
        <v>0</v>
      </c>
      <c r="F309" s="15">
        <f t="shared" si="4"/>
        <v>1</v>
      </c>
    </row>
    <row r="310" spans="1:6" x14ac:dyDescent="0.3">
      <c r="A310" s="2">
        <v>107183</v>
      </c>
      <c r="B310" s="2" t="s">
        <v>317</v>
      </c>
      <c r="C310" s="15">
        <v>0</v>
      </c>
      <c r="D310" s="15">
        <v>1</v>
      </c>
      <c r="E310" s="15">
        <v>0</v>
      </c>
      <c r="F310" s="15">
        <f t="shared" si="4"/>
        <v>1</v>
      </c>
    </row>
    <row r="311" spans="1:6" x14ac:dyDescent="0.3">
      <c r="A311" s="2">
        <v>107335</v>
      </c>
      <c r="B311" s="2" t="s">
        <v>318</v>
      </c>
      <c r="C311" s="15">
        <v>0</v>
      </c>
      <c r="D311" s="15">
        <v>1</v>
      </c>
      <c r="E311" s="15">
        <v>0</v>
      </c>
      <c r="F311" s="15">
        <f t="shared" si="4"/>
        <v>1</v>
      </c>
    </row>
    <row r="312" spans="1:6" x14ac:dyDescent="0.3">
      <c r="A312" s="2">
        <v>107311</v>
      </c>
      <c r="B312" s="2" t="s">
        <v>319</v>
      </c>
      <c r="C312" s="15">
        <v>0</v>
      </c>
      <c r="D312" s="15">
        <v>1</v>
      </c>
      <c r="E312" s="15">
        <v>0</v>
      </c>
      <c r="F312" s="15">
        <f t="shared" si="4"/>
        <v>1</v>
      </c>
    </row>
    <row r="313" spans="1:6" x14ac:dyDescent="0.3">
      <c r="A313" s="2">
        <v>403368</v>
      </c>
      <c r="B313" s="2" t="s">
        <v>320</v>
      </c>
      <c r="C313" s="15">
        <v>1</v>
      </c>
      <c r="D313" s="15">
        <v>1</v>
      </c>
      <c r="E313" s="15">
        <v>0</v>
      </c>
      <c r="F313" s="15">
        <f t="shared" si="4"/>
        <v>2</v>
      </c>
    </row>
    <row r="314" spans="1:6" x14ac:dyDescent="0.3">
      <c r="A314" s="2">
        <v>402257</v>
      </c>
      <c r="B314" s="2" t="s">
        <v>321</v>
      </c>
      <c r="C314" s="15">
        <v>1</v>
      </c>
      <c r="D314" s="15">
        <v>1</v>
      </c>
      <c r="E314" s="15">
        <v>1</v>
      </c>
      <c r="F314" s="15">
        <f t="shared" si="4"/>
        <v>3</v>
      </c>
    </row>
    <row r="315" spans="1:6" x14ac:dyDescent="0.3">
      <c r="A315" s="2">
        <v>501147</v>
      </c>
      <c r="B315" s="2" t="s">
        <v>322</v>
      </c>
      <c r="C315" s="15">
        <v>0</v>
      </c>
      <c r="D315" s="15">
        <v>1</v>
      </c>
      <c r="E315" s="15">
        <v>0</v>
      </c>
      <c r="F315" s="15">
        <f t="shared" si="4"/>
        <v>1</v>
      </c>
    </row>
    <row r="316" spans="1:6" x14ac:dyDescent="0.3">
      <c r="A316" s="2">
        <v>100303</v>
      </c>
      <c r="B316" s="2" t="s">
        <v>323</v>
      </c>
      <c r="C316" s="15">
        <v>0</v>
      </c>
      <c r="D316" s="15">
        <v>1</v>
      </c>
      <c r="E316" s="15">
        <v>0</v>
      </c>
      <c r="F316" s="15">
        <f t="shared" si="4"/>
        <v>1</v>
      </c>
    </row>
    <row r="317" spans="1:6" x14ac:dyDescent="0.3">
      <c r="A317" s="2">
        <v>405593</v>
      </c>
      <c r="B317" s="2" t="s">
        <v>324</v>
      </c>
      <c r="C317" s="15">
        <v>0</v>
      </c>
      <c r="D317" s="15">
        <v>1</v>
      </c>
      <c r="E317" s="15">
        <v>0</v>
      </c>
      <c r="F317" s="15">
        <f t="shared" si="4"/>
        <v>1</v>
      </c>
    </row>
    <row r="318" spans="1:6" x14ac:dyDescent="0.3">
      <c r="A318" s="2">
        <v>107147</v>
      </c>
      <c r="B318" s="2" t="s">
        <v>325</v>
      </c>
      <c r="C318" s="15">
        <v>0</v>
      </c>
      <c r="D318" s="15">
        <v>1</v>
      </c>
      <c r="E318" s="15">
        <v>0</v>
      </c>
      <c r="F318" s="15">
        <f t="shared" si="4"/>
        <v>1</v>
      </c>
    </row>
    <row r="319" spans="1:6" x14ac:dyDescent="0.3">
      <c r="A319" s="2">
        <v>405745</v>
      </c>
      <c r="B319" s="2" t="s">
        <v>326</v>
      </c>
      <c r="C319" s="15">
        <v>0</v>
      </c>
      <c r="D319" s="15">
        <v>1</v>
      </c>
      <c r="E319" s="15">
        <v>0</v>
      </c>
      <c r="F319" s="15">
        <f t="shared" si="4"/>
        <v>1</v>
      </c>
    </row>
    <row r="320" spans="1:6" x14ac:dyDescent="0.3">
      <c r="A320" s="2">
        <v>103007</v>
      </c>
      <c r="B320" s="2" t="s">
        <v>327</v>
      </c>
      <c r="C320" s="15">
        <v>0</v>
      </c>
      <c r="D320" s="15">
        <v>1</v>
      </c>
      <c r="E320" s="15">
        <v>0</v>
      </c>
      <c r="F320" s="15">
        <f t="shared" si="4"/>
        <v>1</v>
      </c>
    </row>
    <row r="321" spans="1:6" x14ac:dyDescent="0.3">
      <c r="A321" s="2">
        <v>107324</v>
      </c>
      <c r="B321" s="2" t="s">
        <v>328</v>
      </c>
      <c r="C321" s="15">
        <v>1</v>
      </c>
      <c r="D321" s="15">
        <v>1</v>
      </c>
      <c r="E321" s="15">
        <v>1</v>
      </c>
      <c r="F321" s="15">
        <f t="shared" si="4"/>
        <v>3</v>
      </c>
    </row>
    <row r="322" spans="1:6" x14ac:dyDescent="0.3">
      <c r="A322" s="2">
        <v>107155</v>
      </c>
      <c r="B322" s="2" t="s">
        <v>329</v>
      </c>
      <c r="C322" s="15">
        <v>1</v>
      </c>
      <c r="D322" s="15">
        <v>1</v>
      </c>
      <c r="E322" s="15">
        <v>0</v>
      </c>
      <c r="F322" s="15">
        <f t="shared" si="4"/>
        <v>2</v>
      </c>
    </row>
    <row r="323" spans="1:6" x14ac:dyDescent="0.3">
      <c r="A323" s="2">
        <v>107321</v>
      </c>
      <c r="B323" s="2" t="s">
        <v>330</v>
      </c>
      <c r="C323" s="15">
        <v>1</v>
      </c>
      <c r="D323" s="15">
        <v>1</v>
      </c>
      <c r="E323" s="15">
        <v>0</v>
      </c>
      <c r="F323" s="15">
        <f t="shared" ref="F323:F369" si="5">COUNTIF(C323:E323,1)</f>
        <v>2</v>
      </c>
    </row>
    <row r="324" spans="1:6" x14ac:dyDescent="0.3">
      <c r="A324" s="2">
        <v>405318</v>
      </c>
      <c r="B324" s="2" t="s">
        <v>331</v>
      </c>
      <c r="C324" s="15">
        <v>0</v>
      </c>
      <c r="D324" s="15">
        <v>1</v>
      </c>
      <c r="E324" s="15">
        <v>0</v>
      </c>
      <c r="F324" s="15">
        <f t="shared" si="5"/>
        <v>1</v>
      </c>
    </row>
    <row r="325" spans="1:6" x14ac:dyDescent="0.3">
      <c r="A325" s="2">
        <v>403391</v>
      </c>
      <c r="B325" s="2" t="s">
        <v>332</v>
      </c>
      <c r="C325" s="15">
        <v>1</v>
      </c>
      <c r="D325" s="15">
        <v>1</v>
      </c>
      <c r="E325" s="15">
        <v>0</v>
      </c>
      <c r="F325" s="15">
        <f t="shared" si="5"/>
        <v>2</v>
      </c>
    </row>
    <row r="326" spans="1:6" x14ac:dyDescent="0.3">
      <c r="A326" s="2">
        <v>403408</v>
      </c>
      <c r="B326" s="2" t="s">
        <v>333</v>
      </c>
      <c r="C326" s="15">
        <v>0</v>
      </c>
      <c r="D326" s="15">
        <v>1</v>
      </c>
      <c r="E326" s="15">
        <v>0</v>
      </c>
      <c r="F326" s="15">
        <f t="shared" si="5"/>
        <v>1</v>
      </c>
    </row>
    <row r="327" spans="1:6" x14ac:dyDescent="0.3">
      <c r="A327" s="2">
        <v>403407</v>
      </c>
      <c r="B327" s="2" t="s">
        <v>334</v>
      </c>
      <c r="C327" s="15">
        <v>1</v>
      </c>
      <c r="D327" s="15">
        <v>1</v>
      </c>
      <c r="E327" s="15">
        <v>0</v>
      </c>
      <c r="F327" s="15">
        <f t="shared" si="5"/>
        <v>2</v>
      </c>
    </row>
    <row r="328" spans="1:6" x14ac:dyDescent="0.3">
      <c r="A328" s="2">
        <v>107131</v>
      </c>
      <c r="B328" s="2" t="s">
        <v>335</v>
      </c>
      <c r="C328" s="15">
        <v>0</v>
      </c>
      <c r="D328" s="15">
        <v>1</v>
      </c>
      <c r="E328" s="15">
        <v>0</v>
      </c>
      <c r="F328" s="15">
        <f t="shared" si="5"/>
        <v>1</v>
      </c>
    </row>
    <row r="329" spans="1:6" x14ac:dyDescent="0.3">
      <c r="A329" s="2">
        <v>107359</v>
      </c>
      <c r="B329" s="2" t="s">
        <v>336</v>
      </c>
      <c r="C329" s="15">
        <v>0</v>
      </c>
      <c r="D329" s="15">
        <v>1</v>
      </c>
      <c r="E329" s="15">
        <v>0</v>
      </c>
      <c r="F329" s="15">
        <f t="shared" si="5"/>
        <v>1</v>
      </c>
    </row>
    <row r="330" spans="1:6" x14ac:dyDescent="0.3">
      <c r="A330" s="2">
        <v>100105</v>
      </c>
      <c r="B330" s="2" t="s">
        <v>337</v>
      </c>
      <c r="C330" s="15">
        <v>0</v>
      </c>
      <c r="D330" s="15">
        <v>1</v>
      </c>
      <c r="E330" s="15">
        <v>0</v>
      </c>
      <c r="F330" s="15">
        <f t="shared" si="5"/>
        <v>1</v>
      </c>
    </row>
    <row r="331" spans="1:6" x14ac:dyDescent="0.3">
      <c r="A331" s="2">
        <v>100207</v>
      </c>
      <c r="B331" s="2" t="s">
        <v>338</v>
      </c>
      <c r="C331" s="15">
        <v>0</v>
      </c>
      <c r="D331" s="15">
        <v>1</v>
      </c>
      <c r="E331" s="15">
        <v>0</v>
      </c>
      <c r="F331" s="15">
        <f t="shared" si="5"/>
        <v>1</v>
      </c>
    </row>
    <row r="332" spans="1:6" x14ac:dyDescent="0.3">
      <c r="A332" s="2">
        <v>403331</v>
      </c>
      <c r="B332" s="2" t="s">
        <v>339</v>
      </c>
      <c r="C332" s="15">
        <v>0</v>
      </c>
      <c r="D332" s="15">
        <v>1</v>
      </c>
      <c r="E332" s="15">
        <v>0</v>
      </c>
      <c r="F332" s="15">
        <f t="shared" si="5"/>
        <v>1</v>
      </c>
    </row>
    <row r="333" spans="1:6" x14ac:dyDescent="0.3">
      <c r="A333" s="2">
        <v>100221</v>
      </c>
      <c r="B333" s="2" t="s">
        <v>340</v>
      </c>
      <c r="C333" s="15">
        <v>0</v>
      </c>
      <c r="D333" s="15">
        <v>1</v>
      </c>
      <c r="E333" s="15">
        <v>0</v>
      </c>
      <c r="F333" s="15">
        <f t="shared" si="5"/>
        <v>1</v>
      </c>
    </row>
    <row r="334" spans="1:6" x14ac:dyDescent="0.3">
      <c r="A334" s="2">
        <v>402128</v>
      </c>
      <c r="B334" s="2" t="s">
        <v>341</v>
      </c>
      <c r="C334" s="15">
        <v>0</v>
      </c>
      <c r="D334" s="15">
        <v>1</v>
      </c>
      <c r="E334" s="15">
        <v>0</v>
      </c>
      <c r="F334" s="15">
        <f t="shared" si="5"/>
        <v>1</v>
      </c>
    </row>
    <row r="335" spans="1:6" x14ac:dyDescent="0.3">
      <c r="A335" s="2">
        <v>100200</v>
      </c>
      <c r="B335" s="2" t="s">
        <v>342</v>
      </c>
      <c r="C335" s="15">
        <v>0</v>
      </c>
      <c r="D335" s="15">
        <v>1</v>
      </c>
      <c r="E335" s="15">
        <v>0</v>
      </c>
      <c r="F335" s="15">
        <f t="shared" si="5"/>
        <v>1</v>
      </c>
    </row>
    <row r="336" spans="1:6" x14ac:dyDescent="0.3">
      <c r="A336" s="2">
        <v>405422</v>
      </c>
      <c r="B336" s="2" t="s">
        <v>343</v>
      </c>
      <c r="C336" s="15">
        <v>0</v>
      </c>
      <c r="D336" s="15">
        <v>1</v>
      </c>
      <c r="E336" s="15">
        <v>0</v>
      </c>
      <c r="F336" s="15">
        <f t="shared" si="5"/>
        <v>1</v>
      </c>
    </row>
    <row r="337" spans="1:6" x14ac:dyDescent="0.3">
      <c r="A337" s="2">
        <v>405732</v>
      </c>
      <c r="B337" s="2" t="s">
        <v>344</v>
      </c>
      <c r="C337" s="15">
        <v>0</v>
      </c>
      <c r="D337" s="15">
        <v>1</v>
      </c>
      <c r="E337" s="15">
        <v>0</v>
      </c>
      <c r="F337" s="15">
        <f t="shared" si="5"/>
        <v>1</v>
      </c>
    </row>
    <row r="338" spans="1:6" x14ac:dyDescent="0.3">
      <c r="A338" s="2">
        <v>403015</v>
      </c>
      <c r="B338" s="2" t="s">
        <v>345</v>
      </c>
      <c r="C338" s="15">
        <v>0</v>
      </c>
      <c r="D338" s="15">
        <v>1</v>
      </c>
      <c r="E338" s="15">
        <v>0</v>
      </c>
      <c r="F338" s="15">
        <f t="shared" si="5"/>
        <v>1</v>
      </c>
    </row>
    <row r="339" spans="1:6" x14ac:dyDescent="0.3">
      <c r="A339" s="2">
        <v>107351</v>
      </c>
      <c r="B339" s="2" t="s">
        <v>346</v>
      </c>
      <c r="C339" s="15">
        <v>0</v>
      </c>
      <c r="D339" s="15">
        <v>1</v>
      </c>
      <c r="E339" s="15">
        <v>0</v>
      </c>
      <c r="F339" s="15">
        <f t="shared" si="5"/>
        <v>1</v>
      </c>
    </row>
    <row r="340" spans="1:6" x14ac:dyDescent="0.3">
      <c r="A340" s="2">
        <v>405730</v>
      </c>
      <c r="B340" s="2" t="s">
        <v>347</v>
      </c>
      <c r="C340" s="15">
        <v>0</v>
      </c>
      <c r="D340" s="15">
        <v>1</v>
      </c>
      <c r="E340" s="15">
        <v>0</v>
      </c>
      <c r="F340" s="15">
        <f t="shared" si="5"/>
        <v>1</v>
      </c>
    </row>
    <row r="341" spans="1:6" x14ac:dyDescent="0.3">
      <c r="A341" s="2">
        <v>362029</v>
      </c>
      <c r="B341" s="2" t="s">
        <v>348</v>
      </c>
      <c r="C341" s="15">
        <v>1</v>
      </c>
      <c r="D341" s="15">
        <v>1</v>
      </c>
      <c r="E341" s="15">
        <v>0</v>
      </c>
      <c r="F341" s="15">
        <f t="shared" si="5"/>
        <v>2</v>
      </c>
    </row>
    <row r="342" spans="1:6" x14ac:dyDescent="0.3">
      <c r="A342" s="2">
        <v>393222</v>
      </c>
      <c r="B342" s="2" t="s">
        <v>349</v>
      </c>
      <c r="C342" s="15">
        <v>1</v>
      </c>
      <c r="D342" s="15">
        <v>1</v>
      </c>
      <c r="E342" s="15">
        <v>0</v>
      </c>
      <c r="F342" s="15">
        <f t="shared" si="5"/>
        <v>2</v>
      </c>
    </row>
    <row r="343" spans="1:6" x14ac:dyDescent="0.3">
      <c r="A343" s="2">
        <v>403269</v>
      </c>
      <c r="B343" s="2" t="s">
        <v>350</v>
      </c>
      <c r="C343" s="15">
        <v>1</v>
      </c>
      <c r="D343" s="15">
        <v>1</v>
      </c>
      <c r="E343" s="15">
        <v>1</v>
      </c>
      <c r="F343" s="15">
        <f t="shared" si="5"/>
        <v>3</v>
      </c>
    </row>
    <row r="344" spans="1:6" x14ac:dyDescent="0.3">
      <c r="A344" s="2">
        <v>201103</v>
      </c>
      <c r="B344" s="2" t="s">
        <v>351</v>
      </c>
      <c r="C344" s="15">
        <v>0</v>
      </c>
      <c r="D344" s="15">
        <v>1</v>
      </c>
      <c r="E344" s="15">
        <v>0</v>
      </c>
      <c r="F344" s="15">
        <f t="shared" si="5"/>
        <v>1</v>
      </c>
    </row>
    <row r="345" spans="1:6" x14ac:dyDescent="0.3">
      <c r="A345" s="2">
        <v>405558</v>
      </c>
      <c r="B345" s="2" t="s">
        <v>352</v>
      </c>
      <c r="C345" s="15">
        <v>0</v>
      </c>
      <c r="D345" s="15">
        <v>1</v>
      </c>
      <c r="E345" s="15">
        <v>0</v>
      </c>
      <c r="F345" s="15">
        <f t="shared" si="5"/>
        <v>1</v>
      </c>
    </row>
    <row r="346" spans="1:6" x14ac:dyDescent="0.3">
      <c r="A346" s="2">
        <v>107263</v>
      </c>
      <c r="B346" s="2" t="s">
        <v>353</v>
      </c>
      <c r="C346" s="15">
        <v>1</v>
      </c>
      <c r="D346" s="15">
        <v>1</v>
      </c>
      <c r="E346" s="15">
        <v>0</v>
      </c>
      <c r="F346" s="15">
        <f t="shared" si="5"/>
        <v>2</v>
      </c>
    </row>
    <row r="347" spans="1:6" x14ac:dyDescent="0.3">
      <c r="A347" s="2">
        <v>405612</v>
      </c>
      <c r="B347" s="2" t="s">
        <v>354</v>
      </c>
      <c r="C347" s="15">
        <v>0</v>
      </c>
      <c r="D347" s="15">
        <v>1</v>
      </c>
      <c r="E347" s="15">
        <v>0</v>
      </c>
      <c r="F347" s="15">
        <f t="shared" si="5"/>
        <v>1</v>
      </c>
    </row>
    <row r="348" spans="1:6" x14ac:dyDescent="0.3">
      <c r="A348" s="2">
        <v>405335</v>
      </c>
      <c r="B348" s="2" t="s">
        <v>355</v>
      </c>
      <c r="C348" s="15">
        <v>0</v>
      </c>
      <c r="D348" s="15">
        <v>1</v>
      </c>
      <c r="E348" s="15">
        <v>0</v>
      </c>
      <c r="F348" s="15">
        <f t="shared" si="5"/>
        <v>1</v>
      </c>
    </row>
    <row r="349" spans="1:6" x14ac:dyDescent="0.3">
      <c r="A349" s="2">
        <v>393253</v>
      </c>
      <c r="B349" s="2" t="s">
        <v>356</v>
      </c>
      <c r="C349" s="15">
        <v>1</v>
      </c>
      <c r="D349" s="15">
        <v>1</v>
      </c>
      <c r="E349" s="15">
        <v>0</v>
      </c>
      <c r="F349" s="15">
        <f t="shared" si="5"/>
        <v>2</v>
      </c>
    </row>
    <row r="350" spans="1:6" x14ac:dyDescent="0.3">
      <c r="A350" s="2">
        <v>405658</v>
      </c>
      <c r="B350" s="2" t="s">
        <v>357</v>
      </c>
      <c r="C350" s="15">
        <v>1</v>
      </c>
      <c r="D350" s="15">
        <v>1</v>
      </c>
      <c r="E350" s="15">
        <v>0</v>
      </c>
      <c r="F350" s="15">
        <f t="shared" si="5"/>
        <v>2</v>
      </c>
    </row>
    <row r="351" spans="1:6" x14ac:dyDescent="0.3">
      <c r="A351" s="2">
        <v>405311</v>
      </c>
      <c r="B351" s="2" t="s">
        <v>358</v>
      </c>
      <c r="C351" s="15">
        <v>1</v>
      </c>
      <c r="D351" s="15">
        <v>1</v>
      </c>
      <c r="E351" s="15">
        <v>0</v>
      </c>
      <c r="F351" s="15">
        <f t="shared" si="5"/>
        <v>2</v>
      </c>
    </row>
    <row r="352" spans="1:6" x14ac:dyDescent="0.3">
      <c r="A352" s="2">
        <v>400104</v>
      </c>
      <c r="B352" s="2" t="s">
        <v>398</v>
      </c>
      <c r="C352" s="15">
        <v>1</v>
      </c>
      <c r="D352" s="15">
        <f>IFERROR(VLOOKUP(A352,'[3]Consumo SEMANAL PV '!$B:$B,1,0),0)</f>
        <v>0</v>
      </c>
      <c r="E352" s="15">
        <v>1</v>
      </c>
      <c r="F352" s="15">
        <f t="shared" si="5"/>
        <v>2</v>
      </c>
    </row>
    <row r="353" spans="1:6" x14ac:dyDescent="0.3">
      <c r="A353" s="2">
        <v>403103</v>
      </c>
      <c r="B353" s="2" t="s">
        <v>399</v>
      </c>
      <c r="C353" s="15">
        <v>1</v>
      </c>
      <c r="D353" s="15">
        <f>IFERROR(VLOOKUP(A353,'[3]Consumo SEMANAL PV '!$B:$B,1,0),0)</f>
        <v>0</v>
      </c>
      <c r="E353" s="15">
        <v>1</v>
      </c>
      <c r="F353" s="15">
        <f t="shared" si="5"/>
        <v>2</v>
      </c>
    </row>
    <row r="354" spans="1:6" x14ac:dyDescent="0.3">
      <c r="A354" s="2">
        <v>107187</v>
      </c>
      <c r="B354" s="2" t="s">
        <v>400</v>
      </c>
      <c r="C354" s="15">
        <v>1</v>
      </c>
      <c r="D354" s="15">
        <f>IFERROR(VLOOKUP(A354,'[3]Consumo SEMANAL PV '!$B:$B,1,0),0)</f>
        <v>0</v>
      </c>
      <c r="E354" s="15">
        <v>1</v>
      </c>
      <c r="F354" s="15">
        <f t="shared" si="5"/>
        <v>2</v>
      </c>
    </row>
    <row r="355" spans="1:6" x14ac:dyDescent="0.3">
      <c r="A355" s="2">
        <v>107420</v>
      </c>
      <c r="B355" s="2" t="s">
        <v>401</v>
      </c>
      <c r="C355" s="15">
        <v>1</v>
      </c>
      <c r="D355" s="15">
        <f>IFERROR(VLOOKUP(A355,'[3]Consumo SEMANAL PV '!$B:$B,1,0),0)</f>
        <v>0</v>
      </c>
      <c r="E355" s="15">
        <v>1</v>
      </c>
      <c r="F355" s="15">
        <f t="shared" si="5"/>
        <v>2</v>
      </c>
    </row>
    <row r="356" spans="1:6" x14ac:dyDescent="0.3">
      <c r="A356" s="2">
        <v>405492</v>
      </c>
      <c r="B356" s="2" t="s">
        <v>402</v>
      </c>
      <c r="C356" s="15">
        <v>1</v>
      </c>
      <c r="D356" s="15">
        <v>1</v>
      </c>
      <c r="E356" s="15">
        <v>1</v>
      </c>
      <c r="F356" s="15">
        <f t="shared" si="5"/>
        <v>3</v>
      </c>
    </row>
    <row r="357" spans="1:6" x14ac:dyDescent="0.3">
      <c r="A357" s="2">
        <v>362099</v>
      </c>
      <c r="B357" s="2" t="s">
        <v>403</v>
      </c>
      <c r="C357" s="15">
        <v>1</v>
      </c>
      <c r="D357" s="15">
        <v>1</v>
      </c>
      <c r="E357" s="15">
        <v>1</v>
      </c>
      <c r="F357" s="15">
        <f t="shared" si="5"/>
        <v>3</v>
      </c>
    </row>
    <row r="358" spans="1:6" x14ac:dyDescent="0.3">
      <c r="A358" s="2">
        <v>100206</v>
      </c>
      <c r="B358" s="2" t="s">
        <v>404</v>
      </c>
      <c r="C358" s="15">
        <v>0</v>
      </c>
      <c r="D358" s="15">
        <v>1</v>
      </c>
      <c r="E358" s="15">
        <v>1</v>
      </c>
      <c r="F358" s="15">
        <f t="shared" si="5"/>
        <v>2</v>
      </c>
    </row>
    <row r="359" spans="1:6" x14ac:dyDescent="0.3">
      <c r="A359" s="2">
        <v>405705</v>
      </c>
      <c r="B359" s="2" t="s">
        <v>405</v>
      </c>
      <c r="C359" s="15">
        <v>0</v>
      </c>
      <c r="D359" s="15">
        <f>IFERROR(VLOOKUP(A359,'[3]Consumo SEMANAL PV '!$B:$B,1,0),0)</f>
        <v>0</v>
      </c>
      <c r="E359" s="15">
        <v>1</v>
      </c>
      <c r="F359" s="15">
        <f t="shared" si="5"/>
        <v>1</v>
      </c>
    </row>
    <row r="360" spans="1:6" x14ac:dyDescent="0.3">
      <c r="A360" s="2">
        <v>100104</v>
      </c>
      <c r="B360" s="2" t="s">
        <v>406</v>
      </c>
      <c r="C360" s="15">
        <v>0</v>
      </c>
      <c r="D360" s="15">
        <f>IFERROR(VLOOKUP(A360,'[3]Consumo SEMANAL PV '!$B:$B,1,0),0)</f>
        <v>0</v>
      </c>
      <c r="E360" s="15">
        <v>1</v>
      </c>
      <c r="F360" s="15">
        <f t="shared" si="5"/>
        <v>1</v>
      </c>
    </row>
    <row r="361" spans="1:6" x14ac:dyDescent="0.3">
      <c r="A361" s="2">
        <v>405246</v>
      </c>
      <c r="B361" s="2" t="s">
        <v>407</v>
      </c>
      <c r="C361" s="15">
        <v>1</v>
      </c>
      <c r="D361" s="15">
        <f>IFERROR(VLOOKUP(A361,'[3]Consumo SEMANAL PV '!$B:$B,1,0),0)</f>
        <v>0</v>
      </c>
      <c r="E361" s="15">
        <v>1</v>
      </c>
      <c r="F361" s="15">
        <f t="shared" si="5"/>
        <v>2</v>
      </c>
    </row>
    <row r="362" spans="1:6" x14ac:dyDescent="0.3">
      <c r="A362" s="2">
        <v>403104</v>
      </c>
      <c r="B362" s="2" t="s">
        <v>408</v>
      </c>
      <c r="C362" s="15">
        <v>1</v>
      </c>
      <c r="D362" s="15">
        <f>IFERROR(VLOOKUP(A362,'[3]Consumo SEMANAL PV '!$B:$B,1,0),0)</f>
        <v>0</v>
      </c>
      <c r="E362" s="15">
        <v>1</v>
      </c>
      <c r="F362" s="15">
        <f t="shared" si="5"/>
        <v>2</v>
      </c>
    </row>
    <row r="363" spans="1:6" x14ac:dyDescent="0.3">
      <c r="A363" s="2">
        <v>201006</v>
      </c>
      <c r="B363" s="2" t="s">
        <v>409</v>
      </c>
      <c r="C363" s="15">
        <v>0</v>
      </c>
      <c r="D363" s="15">
        <f>IFERROR(VLOOKUP(A363,'[3]Consumo SEMANAL PV '!$B:$B,1,0),0)</f>
        <v>0</v>
      </c>
      <c r="E363" s="15">
        <v>1</v>
      </c>
      <c r="F363" s="15">
        <f t="shared" si="5"/>
        <v>1</v>
      </c>
    </row>
    <row r="364" spans="1:6" x14ac:dyDescent="0.3">
      <c r="A364" s="2">
        <v>103006</v>
      </c>
      <c r="B364" s="2" t="s">
        <v>410</v>
      </c>
      <c r="C364" s="15">
        <v>1</v>
      </c>
      <c r="D364" s="15">
        <v>1</v>
      </c>
      <c r="E364" s="15">
        <v>1</v>
      </c>
      <c r="F364" s="15">
        <f t="shared" si="5"/>
        <v>3</v>
      </c>
    </row>
    <row r="365" spans="1:6" x14ac:dyDescent="0.3">
      <c r="A365" s="2">
        <v>107285</v>
      </c>
      <c r="B365" s="2" t="s">
        <v>411</v>
      </c>
      <c r="C365" s="15">
        <v>0</v>
      </c>
      <c r="D365" s="15">
        <f>IFERROR(VLOOKUP(A365,'[3]Consumo SEMANAL PV '!$B:$B,1,0),0)</f>
        <v>0</v>
      </c>
      <c r="E365" s="15">
        <v>1</v>
      </c>
      <c r="F365" s="15">
        <f t="shared" si="5"/>
        <v>1</v>
      </c>
    </row>
    <row r="366" spans="1:6" x14ac:dyDescent="0.3">
      <c r="A366" s="2">
        <v>405248</v>
      </c>
      <c r="B366" s="2" t="s">
        <v>412</v>
      </c>
      <c r="C366" s="15">
        <v>0</v>
      </c>
      <c r="D366" s="15">
        <f>IFERROR(VLOOKUP(A366,'[3]Consumo SEMANAL PV '!$B:$B,1,0),0)</f>
        <v>0</v>
      </c>
      <c r="E366" s="15">
        <v>1</v>
      </c>
      <c r="F366" s="15">
        <f t="shared" si="5"/>
        <v>1</v>
      </c>
    </row>
    <row r="367" spans="1:6" x14ac:dyDescent="0.3">
      <c r="A367" s="2">
        <v>403014</v>
      </c>
      <c r="B367" s="2" t="s">
        <v>413</v>
      </c>
      <c r="C367" s="15">
        <v>0</v>
      </c>
      <c r="D367" s="15">
        <f>IFERROR(VLOOKUP(A367,'[3]Consumo SEMANAL PV '!$B:$B,1,0),0)</f>
        <v>0</v>
      </c>
      <c r="E367" s="15">
        <v>1</v>
      </c>
      <c r="F367" s="15">
        <f t="shared" si="5"/>
        <v>1</v>
      </c>
    </row>
    <row r="368" spans="1:6" x14ac:dyDescent="0.3">
      <c r="A368" s="2">
        <v>104010</v>
      </c>
      <c r="B368" s="2" t="s">
        <v>414</v>
      </c>
      <c r="C368" s="15">
        <v>0</v>
      </c>
      <c r="D368" s="15">
        <f>IFERROR(VLOOKUP(A368,'[3]Consumo SEMANAL PV '!$B:$B,1,0),0)</f>
        <v>0</v>
      </c>
      <c r="E368" s="15">
        <v>1</v>
      </c>
      <c r="F368" s="15">
        <f t="shared" si="5"/>
        <v>1</v>
      </c>
    </row>
    <row r="369" spans="1:6" x14ac:dyDescent="0.3">
      <c r="A369" s="2">
        <v>106101</v>
      </c>
      <c r="B369" s="2" t="s">
        <v>415</v>
      </c>
      <c r="C369" s="15">
        <v>0</v>
      </c>
      <c r="D369" s="15">
        <f>IFERROR(VLOOKUP(A369,'[3]Consumo SEMANAL PV '!$B:$B,1,0),0)</f>
        <v>0</v>
      </c>
      <c r="E369" s="15">
        <v>1</v>
      </c>
      <c r="F369" s="15">
        <f t="shared" si="5"/>
        <v>1</v>
      </c>
    </row>
    <row r="370" spans="1:6" x14ac:dyDescent="0.3">
      <c r="A370" s="2">
        <v>368</v>
      </c>
      <c r="C370" s="15">
        <f>SUM(C2:C369)</f>
        <v>276</v>
      </c>
      <c r="D370" s="15">
        <f>SUM(D2:D369)</f>
        <v>224</v>
      </c>
      <c r="E370" s="15">
        <f t="shared" ref="E370" si="6">SUM(E2:E369)</f>
        <v>59</v>
      </c>
    </row>
  </sheetData>
  <autoFilter ref="A1:F370" xr:uid="{9ED38708-ED25-4E54-9CC2-F7D48E20111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C6C7-ADEC-41AB-A359-7A12A45E2914}">
  <dimension ref="A1:E669"/>
  <sheetViews>
    <sheetView topLeftCell="A651" workbookViewId="0">
      <selection activeCell="C670" sqref="C670"/>
    </sheetView>
  </sheetViews>
  <sheetFormatPr baseColWidth="10" defaultRowHeight="14.4" x14ac:dyDescent="0.3"/>
  <cols>
    <col min="2" max="2" width="78.33203125" bestFit="1" customWidth="1"/>
  </cols>
  <sheetData>
    <row r="1" spans="1:5" x14ac:dyDescent="0.3">
      <c r="A1" s="3" t="s">
        <v>428</v>
      </c>
      <c r="B1" s="3" t="s">
        <v>429</v>
      </c>
      <c r="C1" s="3" t="s">
        <v>430</v>
      </c>
      <c r="D1" s="3" t="s">
        <v>431</v>
      </c>
      <c r="E1" s="3" t="s">
        <v>432</v>
      </c>
    </row>
    <row r="2" spans="1:5" x14ac:dyDescent="0.3">
      <c r="A2" s="2">
        <v>100302</v>
      </c>
      <c r="B2" s="2" t="s">
        <v>433</v>
      </c>
      <c r="C2" s="2" t="s">
        <v>385</v>
      </c>
      <c r="D2" s="2">
        <v>2</v>
      </c>
      <c r="E2" s="2" t="s">
        <v>434</v>
      </c>
    </row>
    <row r="3" spans="1:5" x14ac:dyDescent="0.3">
      <c r="A3" s="2">
        <v>101002</v>
      </c>
      <c r="B3" s="2" t="s">
        <v>13</v>
      </c>
      <c r="C3" s="2" t="s">
        <v>365</v>
      </c>
      <c r="D3" s="2">
        <v>3</v>
      </c>
      <c r="E3" s="2" t="s">
        <v>435</v>
      </c>
    </row>
    <row r="4" spans="1:5" x14ac:dyDescent="0.3">
      <c r="A4" s="2">
        <v>102103</v>
      </c>
      <c r="B4" s="2" t="s">
        <v>436</v>
      </c>
      <c r="C4" s="2" t="s">
        <v>394</v>
      </c>
      <c r="D4" s="2">
        <v>3</v>
      </c>
      <c r="E4" s="2" t="s">
        <v>437</v>
      </c>
    </row>
    <row r="5" spans="1:5" x14ac:dyDescent="0.3">
      <c r="A5" s="2">
        <v>103006</v>
      </c>
      <c r="B5" s="2" t="s">
        <v>410</v>
      </c>
      <c r="C5" s="2" t="s">
        <v>388</v>
      </c>
      <c r="D5" s="2">
        <v>3</v>
      </c>
      <c r="E5" s="2" t="s">
        <v>434</v>
      </c>
    </row>
    <row r="6" spans="1:5" x14ac:dyDescent="0.3">
      <c r="A6" s="2">
        <v>103612</v>
      </c>
      <c r="B6" s="2" t="s">
        <v>48</v>
      </c>
      <c r="C6" s="2" t="s">
        <v>376</v>
      </c>
      <c r="D6" s="2">
        <v>3</v>
      </c>
      <c r="E6" s="2" t="s">
        <v>438</v>
      </c>
    </row>
    <row r="7" spans="1:5" x14ac:dyDescent="0.3">
      <c r="A7" s="2">
        <v>104006</v>
      </c>
      <c r="B7" s="2" t="s">
        <v>5</v>
      </c>
      <c r="C7" s="2" t="s">
        <v>364</v>
      </c>
      <c r="D7" s="2">
        <v>3</v>
      </c>
      <c r="E7" s="2" t="s">
        <v>439</v>
      </c>
    </row>
    <row r="8" spans="1:5" x14ac:dyDescent="0.3">
      <c r="A8" s="2">
        <v>104010</v>
      </c>
      <c r="B8" s="2" t="s">
        <v>414</v>
      </c>
      <c r="C8" s="2" t="s">
        <v>418</v>
      </c>
      <c r="D8" s="2">
        <v>2</v>
      </c>
      <c r="E8" s="2" t="s">
        <v>439</v>
      </c>
    </row>
    <row r="9" spans="1:5" x14ac:dyDescent="0.3">
      <c r="A9" s="2">
        <v>106101</v>
      </c>
      <c r="B9" s="2" t="s">
        <v>415</v>
      </c>
      <c r="C9" s="2" t="s">
        <v>418</v>
      </c>
      <c r="D9" s="2">
        <v>5</v>
      </c>
      <c r="E9" s="2" t="s">
        <v>437</v>
      </c>
    </row>
    <row r="10" spans="1:5" x14ac:dyDescent="0.3">
      <c r="A10" s="2">
        <v>106401</v>
      </c>
      <c r="B10" s="2" t="s">
        <v>14</v>
      </c>
      <c r="C10" s="2" t="s">
        <v>363</v>
      </c>
      <c r="D10" s="2">
        <v>3</v>
      </c>
      <c r="E10" s="2" t="s">
        <v>437</v>
      </c>
    </row>
    <row r="11" spans="1:5" x14ac:dyDescent="0.3">
      <c r="A11" s="2">
        <v>107000</v>
      </c>
      <c r="B11" s="2" t="s">
        <v>440</v>
      </c>
      <c r="C11" s="2" t="s">
        <v>370</v>
      </c>
      <c r="D11" s="2">
        <v>5</v>
      </c>
      <c r="E11" s="2" t="s">
        <v>441</v>
      </c>
    </row>
    <row r="12" spans="1:5" x14ac:dyDescent="0.3">
      <c r="A12" s="2">
        <v>107095</v>
      </c>
      <c r="B12" s="2" t="s">
        <v>217</v>
      </c>
      <c r="C12" s="2" t="s">
        <v>368</v>
      </c>
      <c r="D12" s="2">
        <v>2</v>
      </c>
      <c r="E12" s="2" t="s">
        <v>442</v>
      </c>
    </row>
    <row r="13" spans="1:5" x14ac:dyDescent="0.3">
      <c r="A13" s="2">
        <v>107098</v>
      </c>
      <c r="B13" s="2" t="s">
        <v>45</v>
      </c>
      <c r="C13" s="2" t="s">
        <v>376</v>
      </c>
      <c r="D13" s="2">
        <v>3</v>
      </c>
      <c r="E13" s="2" t="s">
        <v>435</v>
      </c>
    </row>
    <row r="14" spans="1:5" x14ac:dyDescent="0.3">
      <c r="A14" s="2">
        <v>107102</v>
      </c>
      <c r="B14" s="2" t="s">
        <v>241</v>
      </c>
      <c r="C14" s="2" t="s">
        <v>370</v>
      </c>
      <c r="D14" s="2">
        <v>3</v>
      </c>
      <c r="E14" s="2" t="s">
        <v>435</v>
      </c>
    </row>
    <row r="15" spans="1:5" x14ac:dyDescent="0.3">
      <c r="A15" s="2">
        <v>107104</v>
      </c>
      <c r="B15" s="2" t="s">
        <v>43</v>
      </c>
      <c r="C15" s="2" t="s">
        <v>376</v>
      </c>
      <c r="D15" s="2">
        <v>3</v>
      </c>
      <c r="E15" s="2" t="s">
        <v>434</v>
      </c>
    </row>
    <row r="16" spans="1:5" x14ac:dyDescent="0.3">
      <c r="A16" s="2">
        <v>107108</v>
      </c>
      <c r="B16" s="2" t="s">
        <v>60</v>
      </c>
      <c r="C16" s="2" t="s">
        <v>365</v>
      </c>
      <c r="D16" s="2">
        <v>3</v>
      </c>
      <c r="E16" s="2" t="s">
        <v>435</v>
      </c>
    </row>
    <row r="17" spans="1:5" x14ac:dyDescent="0.3">
      <c r="A17" s="2">
        <v>107109</v>
      </c>
      <c r="B17" s="2" t="s">
        <v>188</v>
      </c>
      <c r="C17" s="2" t="s">
        <v>379</v>
      </c>
      <c r="D17" s="2">
        <v>3</v>
      </c>
      <c r="E17" s="2" t="s">
        <v>434</v>
      </c>
    </row>
    <row r="18" spans="1:5" x14ac:dyDescent="0.3">
      <c r="A18" s="2">
        <v>107112</v>
      </c>
      <c r="B18" s="2" t="s">
        <v>195</v>
      </c>
      <c r="C18" s="2" t="s">
        <v>366</v>
      </c>
      <c r="D18" s="2">
        <v>3</v>
      </c>
      <c r="E18" s="2" t="s">
        <v>435</v>
      </c>
    </row>
    <row r="19" spans="1:5" x14ac:dyDescent="0.3">
      <c r="A19" s="2">
        <v>107113</v>
      </c>
      <c r="B19" s="2" t="s">
        <v>202</v>
      </c>
      <c r="C19" s="2" t="s">
        <v>368</v>
      </c>
      <c r="D19" s="2">
        <v>2</v>
      </c>
      <c r="E19" s="2" t="s">
        <v>442</v>
      </c>
    </row>
    <row r="20" spans="1:5" x14ac:dyDescent="0.3">
      <c r="A20" s="2">
        <v>107117</v>
      </c>
      <c r="B20" s="2" t="s">
        <v>443</v>
      </c>
      <c r="C20" s="2" t="s">
        <v>370</v>
      </c>
      <c r="D20" s="2">
        <v>3</v>
      </c>
      <c r="E20" s="2" t="s">
        <v>444</v>
      </c>
    </row>
    <row r="21" spans="1:5" x14ac:dyDescent="0.3">
      <c r="A21" s="2">
        <v>107120</v>
      </c>
      <c r="B21" s="2" t="s">
        <v>12</v>
      </c>
      <c r="C21" s="2" t="s">
        <v>368</v>
      </c>
      <c r="D21" s="2">
        <v>3</v>
      </c>
      <c r="E21" s="2" t="s">
        <v>435</v>
      </c>
    </row>
    <row r="22" spans="1:5" x14ac:dyDescent="0.3">
      <c r="A22" s="2">
        <v>107124</v>
      </c>
      <c r="B22" s="2" t="s">
        <v>281</v>
      </c>
      <c r="C22" s="2" t="s">
        <v>370</v>
      </c>
      <c r="D22" s="2">
        <v>3</v>
      </c>
      <c r="E22" s="2" t="s">
        <v>444</v>
      </c>
    </row>
    <row r="23" spans="1:5" x14ac:dyDescent="0.3">
      <c r="A23" s="2">
        <v>107127</v>
      </c>
      <c r="B23" s="2" t="s">
        <v>59</v>
      </c>
      <c r="C23" s="2" t="s">
        <v>365</v>
      </c>
      <c r="D23" s="2">
        <v>3</v>
      </c>
      <c r="E23" s="2" t="s">
        <v>435</v>
      </c>
    </row>
    <row r="24" spans="1:5" x14ac:dyDescent="0.3">
      <c r="A24" s="2">
        <v>107129</v>
      </c>
      <c r="B24" s="2" t="s">
        <v>201</v>
      </c>
      <c r="C24" s="2" t="s">
        <v>368</v>
      </c>
      <c r="D24" s="2">
        <v>2</v>
      </c>
      <c r="E24" s="2" t="s">
        <v>442</v>
      </c>
    </row>
    <row r="25" spans="1:5" x14ac:dyDescent="0.3">
      <c r="A25" s="2">
        <v>107133</v>
      </c>
      <c r="B25" s="2" t="s">
        <v>158</v>
      </c>
      <c r="C25" s="2" t="s">
        <v>365</v>
      </c>
      <c r="D25" s="2">
        <v>3</v>
      </c>
      <c r="E25" s="2" t="s">
        <v>435</v>
      </c>
    </row>
    <row r="26" spans="1:5" x14ac:dyDescent="0.3">
      <c r="A26" s="2">
        <v>107134</v>
      </c>
      <c r="B26" s="2" t="s">
        <v>30</v>
      </c>
      <c r="C26" s="2" t="s">
        <v>363</v>
      </c>
      <c r="D26" s="2">
        <v>2</v>
      </c>
      <c r="E26" s="2" t="s">
        <v>444</v>
      </c>
    </row>
    <row r="27" spans="1:5" x14ac:dyDescent="0.3">
      <c r="A27" s="2">
        <v>107142</v>
      </c>
      <c r="B27" s="2" t="s">
        <v>44</v>
      </c>
      <c r="C27" s="2" t="s">
        <v>376</v>
      </c>
      <c r="D27" s="2">
        <v>3</v>
      </c>
      <c r="E27" s="2" t="s">
        <v>445</v>
      </c>
    </row>
    <row r="28" spans="1:5" x14ac:dyDescent="0.3">
      <c r="A28" s="2">
        <v>107157</v>
      </c>
      <c r="B28" s="2" t="s">
        <v>198</v>
      </c>
      <c r="C28" s="2" t="s">
        <v>368</v>
      </c>
      <c r="D28" s="2">
        <v>2</v>
      </c>
      <c r="E28" s="2" t="s">
        <v>442</v>
      </c>
    </row>
    <row r="29" spans="1:5" x14ac:dyDescent="0.3">
      <c r="A29" s="2">
        <v>107158</v>
      </c>
      <c r="B29" s="2" t="s">
        <v>194</v>
      </c>
      <c r="C29" s="2" t="s">
        <v>368</v>
      </c>
      <c r="D29" s="2">
        <v>2</v>
      </c>
      <c r="E29" s="2" t="s">
        <v>442</v>
      </c>
    </row>
    <row r="30" spans="1:5" x14ac:dyDescent="0.3">
      <c r="A30" s="2">
        <v>107159</v>
      </c>
      <c r="B30" s="2" t="s">
        <v>161</v>
      </c>
      <c r="C30" s="2" t="s">
        <v>383</v>
      </c>
      <c r="D30" s="2">
        <v>2</v>
      </c>
      <c r="E30" s="2" t="s">
        <v>444</v>
      </c>
    </row>
    <row r="31" spans="1:5" x14ac:dyDescent="0.3">
      <c r="A31" s="2">
        <v>107160</v>
      </c>
      <c r="B31" s="2" t="s">
        <v>159</v>
      </c>
      <c r="C31" s="2" t="s">
        <v>383</v>
      </c>
      <c r="D31" s="2">
        <v>2</v>
      </c>
      <c r="E31" s="2" t="s">
        <v>444</v>
      </c>
    </row>
    <row r="32" spans="1:5" x14ac:dyDescent="0.3">
      <c r="A32" s="2">
        <v>107164</v>
      </c>
      <c r="B32" s="2" t="s">
        <v>243</v>
      </c>
      <c r="C32" s="2" t="s">
        <v>390</v>
      </c>
      <c r="D32" s="2">
        <v>3</v>
      </c>
      <c r="E32" s="2" t="s">
        <v>434</v>
      </c>
    </row>
    <row r="33" spans="1:5" x14ac:dyDescent="0.3">
      <c r="A33" s="2">
        <v>107170</v>
      </c>
      <c r="B33" s="2" t="s">
        <v>165</v>
      </c>
      <c r="C33" s="2" t="s">
        <v>365</v>
      </c>
      <c r="D33" s="2">
        <v>4</v>
      </c>
      <c r="E33" s="2" t="s">
        <v>446</v>
      </c>
    </row>
    <row r="34" spans="1:5" x14ac:dyDescent="0.3">
      <c r="A34" s="2">
        <v>107174</v>
      </c>
      <c r="B34" s="2" t="s">
        <v>447</v>
      </c>
      <c r="C34" s="2" t="s">
        <v>390</v>
      </c>
      <c r="D34" s="2">
        <v>2</v>
      </c>
      <c r="E34" s="2" t="s">
        <v>445</v>
      </c>
    </row>
    <row r="35" spans="1:5" x14ac:dyDescent="0.3">
      <c r="A35" s="2">
        <v>107181</v>
      </c>
      <c r="B35" s="2" t="s">
        <v>448</v>
      </c>
      <c r="C35" s="2" t="s">
        <v>368</v>
      </c>
      <c r="D35" s="2">
        <v>2</v>
      </c>
      <c r="E35" s="2" t="s">
        <v>449</v>
      </c>
    </row>
    <row r="36" spans="1:5" x14ac:dyDescent="0.3">
      <c r="A36" s="2">
        <v>107193</v>
      </c>
      <c r="B36" s="2" t="s">
        <v>203</v>
      </c>
      <c r="C36" s="2" t="s">
        <v>368</v>
      </c>
      <c r="D36" s="2">
        <v>2</v>
      </c>
      <c r="E36" s="2" t="s">
        <v>442</v>
      </c>
    </row>
    <row r="37" spans="1:5" x14ac:dyDescent="0.3">
      <c r="A37" s="2">
        <v>107204</v>
      </c>
      <c r="B37" s="2" t="s">
        <v>222</v>
      </c>
      <c r="C37" s="2" t="s">
        <v>368</v>
      </c>
      <c r="D37" s="2">
        <v>2</v>
      </c>
      <c r="E37" s="2" t="s">
        <v>442</v>
      </c>
    </row>
    <row r="38" spans="1:5" x14ac:dyDescent="0.3">
      <c r="A38" s="2">
        <v>107209</v>
      </c>
      <c r="B38" s="2" t="s">
        <v>49</v>
      </c>
      <c r="C38" s="2" t="s">
        <v>376</v>
      </c>
      <c r="D38" s="2">
        <v>3</v>
      </c>
      <c r="E38" s="2" t="s">
        <v>450</v>
      </c>
    </row>
    <row r="39" spans="1:5" x14ac:dyDescent="0.3">
      <c r="A39" s="2">
        <v>107210</v>
      </c>
      <c r="B39" s="2" t="s">
        <v>67</v>
      </c>
      <c r="C39" s="2" t="s">
        <v>366</v>
      </c>
      <c r="D39" s="2">
        <v>3</v>
      </c>
      <c r="E39" s="2" t="s">
        <v>451</v>
      </c>
    </row>
    <row r="40" spans="1:5" x14ac:dyDescent="0.3">
      <c r="A40" s="2">
        <v>107211</v>
      </c>
      <c r="B40" s="2" t="s">
        <v>196</v>
      </c>
      <c r="C40" s="2" t="s">
        <v>366</v>
      </c>
      <c r="D40" s="2">
        <v>3</v>
      </c>
      <c r="E40" s="2" t="s">
        <v>451</v>
      </c>
    </row>
    <row r="41" spans="1:5" x14ac:dyDescent="0.3">
      <c r="A41" s="2">
        <v>107215</v>
      </c>
      <c r="B41" s="2" t="s">
        <v>185</v>
      </c>
      <c r="C41" s="2" t="s">
        <v>387</v>
      </c>
      <c r="D41" s="2">
        <v>3</v>
      </c>
      <c r="E41" s="2" t="s">
        <v>452</v>
      </c>
    </row>
    <row r="42" spans="1:5" x14ac:dyDescent="0.3">
      <c r="A42" s="2">
        <v>107227</v>
      </c>
      <c r="B42" s="2" t="s">
        <v>111</v>
      </c>
      <c r="C42" s="2" t="s">
        <v>361</v>
      </c>
      <c r="D42" s="2">
        <v>6</v>
      </c>
      <c r="E42" s="2" t="s">
        <v>453</v>
      </c>
    </row>
    <row r="43" spans="1:5" x14ac:dyDescent="0.3">
      <c r="A43" s="2">
        <v>107228</v>
      </c>
      <c r="B43" s="2" t="s">
        <v>112</v>
      </c>
      <c r="C43" s="2" t="s">
        <v>361</v>
      </c>
      <c r="D43" s="2">
        <v>6</v>
      </c>
      <c r="E43" s="2" t="s">
        <v>453</v>
      </c>
    </row>
    <row r="44" spans="1:5" x14ac:dyDescent="0.3">
      <c r="A44" s="2">
        <v>107237</v>
      </c>
      <c r="B44" s="2" t="s">
        <v>42</v>
      </c>
      <c r="C44" s="2" t="s">
        <v>376</v>
      </c>
      <c r="D44" s="2">
        <v>3</v>
      </c>
      <c r="E44" s="2" t="s">
        <v>450</v>
      </c>
    </row>
    <row r="45" spans="1:5" x14ac:dyDescent="0.3">
      <c r="A45" s="2">
        <v>107239</v>
      </c>
      <c r="B45" s="2" t="s">
        <v>454</v>
      </c>
      <c r="C45" s="2" t="s">
        <v>373</v>
      </c>
      <c r="D45" s="2">
        <v>3</v>
      </c>
      <c r="E45" s="2" t="s">
        <v>455</v>
      </c>
    </row>
    <row r="46" spans="1:5" x14ac:dyDescent="0.3">
      <c r="A46" s="2">
        <v>107242</v>
      </c>
      <c r="B46" s="2" t="s">
        <v>46</v>
      </c>
      <c r="C46" s="2" t="s">
        <v>376</v>
      </c>
      <c r="D46" s="2">
        <v>2</v>
      </c>
      <c r="E46" s="2" t="s">
        <v>442</v>
      </c>
    </row>
    <row r="47" spans="1:5" x14ac:dyDescent="0.3">
      <c r="A47" s="2">
        <v>107247</v>
      </c>
      <c r="B47" s="2" t="s">
        <v>71</v>
      </c>
      <c r="C47" s="2" t="s">
        <v>379</v>
      </c>
      <c r="D47" s="2">
        <v>2</v>
      </c>
      <c r="E47" s="2" t="s">
        <v>438</v>
      </c>
    </row>
    <row r="48" spans="1:5" x14ac:dyDescent="0.3">
      <c r="A48" s="2">
        <v>107249</v>
      </c>
      <c r="B48" s="2" t="s">
        <v>29</v>
      </c>
      <c r="C48" s="2" t="s">
        <v>365</v>
      </c>
      <c r="D48" s="2">
        <v>3</v>
      </c>
      <c r="E48" s="2" t="s">
        <v>435</v>
      </c>
    </row>
    <row r="49" spans="1:5" x14ac:dyDescent="0.3">
      <c r="A49" s="2">
        <v>107259</v>
      </c>
      <c r="B49" s="2" t="s">
        <v>180</v>
      </c>
      <c r="C49" s="2" t="s">
        <v>385</v>
      </c>
      <c r="D49" s="2">
        <v>3</v>
      </c>
      <c r="E49" s="2" t="s">
        <v>434</v>
      </c>
    </row>
    <row r="50" spans="1:5" x14ac:dyDescent="0.3">
      <c r="A50" s="2">
        <v>107260</v>
      </c>
      <c r="B50" s="2" t="s">
        <v>181</v>
      </c>
      <c r="C50" s="2" t="s">
        <v>385</v>
      </c>
      <c r="D50" s="2">
        <v>3</v>
      </c>
      <c r="E50" s="2" t="s">
        <v>434</v>
      </c>
    </row>
    <row r="51" spans="1:5" x14ac:dyDescent="0.3">
      <c r="A51" s="2">
        <v>107262</v>
      </c>
      <c r="B51" s="2" t="s">
        <v>223</v>
      </c>
      <c r="C51" s="2" t="s">
        <v>385</v>
      </c>
      <c r="D51" s="2">
        <v>2</v>
      </c>
      <c r="E51" s="2" t="s">
        <v>450</v>
      </c>
    </row>
    <row r="52" spans="1:5" x14ac:dyDescent="0.3">
      <c r="A52" s="2">
        <v>107275</v>
      </c>
      <c r="B52" s="2" t="s">
        <v>227</v>
      </c>
      <c r="C52" s="2" t="s">
        <v>368</v>
      </c>
      <c r="D52" s="2">
        <v>2</v>
      </c>
      <c r="E52" s="2" t="s">
        <v>442</v>
      </c>
    </row>
    <row r="53" spans="1:5" x14ac:dyDescent="0.3">
      <c r="A53" s="2">
        <v>107276</v>
      </c>
      <c r="B53" s="2" t="s">
        <v>456</v>
      </c>
      <c r="C53" s="2" t="s">
        <v>369</v>
      </c>
      <c r="D53" s="2">
        <v>15</v>
      </c>
      <c r="E53" s="2" t="s">
        <v>457</v>
      </c>
    </row>
    <row r="54" spans="1:5" x14ac:dyDescent="0.3">
      <c r="A54" s="2">
        <v>107278</v>
      </c>
      <c r="B54" s="2" t="s">
        <v>182</v>
      </c>
      <c r="C54" s="2" t="s">
        <v>385</v>
      </c>
      <c r="D54" s="2">
        <v>2</v>
      </c>
      <c r="E54" s="2" t="s">
        <v>442</v>
      </c>
    </row>
    <row r="55" spans="1:5" x14ac:dyDescent="0.3">
      <c r="A55" s="2">
        <v>107280</v>
      </c>
      <c r="B55" s="2" t="s">
        <v>205</v>
      </c>
      <c r="C55" s="2" t="s">
        <v>368</v>
      </c>
      <c r="D55" s="2">
        <v>3</v>
      </c>
      <c r="E55" s="2" t="s">
        <v>435</v>
      </c>
    </row>
    <row r="56" spans="1:5" x14ac:dyDescent="0.3">
      <c r="A56" s="2">
        <v>107282</v>
      </c>
      <c r="B56" s="2" t="s">
        <v>458</v>
      </c>
      <c r="C56" s="2" t="s">
        <v>380</v>
      </c>
      <c r="D56" s="2">
        <v>2</v>
      </c>
      <c r="E56" s="2" t="s">
        <v>459</v>
      </c>
    </row>
    <row r="57" spans="1:5" x14ac:dyDescent="0.3">
      <c r="A57" s="2">
        <v>107283</v>
      </c>
      <c r="B57" s="2" t="s">
        <v>460</v>
      </c>
      <c r="C57" s="2" t="s">
        <v>376</v>
      </c>
      <c r="D57" s="2">
        <v>2</v>
      </c>
      <c r="E57" s="2" t="s">
        <v>450</v>
      </c>
    </row>
    <row r="58" spans="1:5" x14ac:dyDescent="0.3">
      <c r="A58" s="2">
        <v>107292</v>
      </c>
      <c r="B58" s="2" t="s">
        <v>65</v>
      </c>
      <c r="C58" s="2" t="s">
        <v>378</v>
      </c>
      <c r="D58" s="2">
        <v>15</v>
      </c>
      <c r="E58" s="2" t="s">
        <v>461</v>
      </c>
    </row>
    <row r="59" spans="1:5" x14ac:dyDescent="0.3">
      <c r="A59" s="2">
        <v>107294</v>
      </c>
      <c r="B59" s="2" t="s">
        <v>72</v>
      </c>
      <c r="C59" s="2" t="s">
        <v>368</v>
      </c>
      <c r="D59" s="2">
        <v>3</v>
      </c>
      <c r="E59" s="2" t="s">
        <v>434</v>
      </c>
    </row>
    <row r="60" spans="1:5" x14ac:dyDescent="0.3">
      <c r="A60" s="2">
        <v>107300</v>
      </c>
      <c r="B60" s="2" t="s">
        <v>36</v>
      </c>
      <c r="C60" s="2" t="s">
        <v>362</v>
      </c>
      <c r="D60" s="2">
        <v>2</v>
      </c>
      <c r="E60" s="2" t="s">
        <v>462</v>
      </c>
    </row>
    <row r="61" spans="1:5" x14ac:dyDescent="0.3">
      <c r="A61" s="2">
        <v>107303</v>
      </c>
      <c r="B61" s="2" t="s">
        <v>58</v>
      </c>
      <c r="C61" s="2" t="s">
        <v>365</v>
      </c>
      <c r="D61" s="2">
        <v>3</v>
      </c>
      <c r="E61" s="2" t="s">
        <v>435</v>
      </c>
    </row>
    <row r="62" spans="1:5" x14ac:dyDescent="0.3">
      <c r="A62" s="2">
        <v>107306</v>
      </c>
      <c r="B62" s="2" t="s">
        <v>463</v>
      </c>
      <c r="C62" s="2" t="s">
        <v>382</v>
      </c>
      <c r="D62" s="2">
        <v>3</v>
      </c>
      <c r="E62" s="2" t="s">
        <v>434</v>
      </c>
    </row>
    <row r="63" spans="1:5" x14ac:dyDescent="0.3">
      <c r="A63" s="2">
        <v>107308</v>
      </c>
      <c r="B63" s="2" t="s">
        <v>464</v>
      </c>
      <c r="C63" s="2" t="s">
        <v>391</v>
      </c>
      <c r="D63" s="2">
        <v>3</v>
      </c>
      <c r="E63" s="2" t="s">
        <v>434</v>
      </c>
    </row>
    <row r="64" spans="1:5" x14ac:dyDescent="0.3">
      <c r="A64" s="2">
        <v>107310</v>
      </c>
      <c r="B64" s="2" t="s">
        <v>465</v>
      </c>
      <c r="C64" s="2" t="s">
        <v>366</v>
      </c>
      <c r="D64" s="2">
        <v>3</v>
      </c>
      <c r="E64" s="2" t="s">
        <v>439</v>
      </c>
    </row>
    <row r="65" spans="1:5" x14ac:dyDescent="0.3">
      <c r="A65" s="2">
        <v>107312</v>
      </c>
      <c r="B65" s="2" t="s">
        <v>22</v>
      </c>
      <c r="C65" s="2" t="s">
        <v>370</v>
      </c>
      <c r="D65" s="2">
        <v>3</v>
      </c>
      <c r="E65" s="2" t="s">
        <v>466</v>
      </c>
    </row>
    <row r="66" spans="1:5" x14ac:dyDescent="0.3">
      <c r="A66" s="2">
        <v>107316</v>
      </c>
      <c r="B66" s="2" t="s">
        <v>214</v>
      </c>
      <c r="C66" s="2" t="s">
        <v>378</v>
      </c>
      <c r="D66" s="2">
        <v>15</v>
      </c>
      <c r="E66" s="2" t="s">
        <v>467</v>
      </c>
    </row>
    <row r="67" spans="1:5" x14ac:dyDescent="0.3">
      <c r="A67" s="2">
        <v>107318</v>
      </c>
      <c r="B67" s="2" t="s">
        <v>468</v>
      </c>
      <c r="C67" s="2" t="s">
        <v>378</v>
      </c>
      <c r="D67" s="2">
        <v>15</v>
      </c>
      <c r="E67" s="2" t="s">
        <v>467</v>
      </c>
    </row>
    <row r="68" spans="1:5" x14ac:dyDescent="0.3">
      <c r="A68" s="2">
        <v>107319</v>
      </c>
      <c r="B68" s="2" t="s">
        <v>154</v>
      </c>
      <c r="C68" s="2" t="s">
        <v>380</v>
      </c>
      <c r="D68" s="2">
        <v>2</v>
      </c>
      <c r="E68" s="2" t="s">
        <v>442</v>
      </c>
    </row>
    <row r="69" spans="1:5" x14ac:dyDescent="0.3">
      <c r="A69" s="2">
        <v>107323</v>
      </c>
      <c r="B69" s="2" t="s">
        <v>35</v>
      </c>
      <c r="C69" s="2" t="s">
        <v>362</v>
      </c>
      <c r="D69" s="2">
        <v>2</v>
      </c>
      <c r="E69" s="2" t="s">
        <v>462</v>
      </c>
    </row>
    <row r="70" spans="1:5" x14ac:dyDescent="0.3">
      <c r="A70" s="2">
        <v>107324</v>
      </c>
      <c r="B70" s="2" t="s">
        <v>328</v>
      </c>
      <c r="C70" s="2" t="s">
        <v>370</v>
      </c>
      <c r="D70" s="2">
        <v>5</v>
      </c>
      <c r="E70" s="2" t="s">
        <v>441</v>
      </c>
    </row>
    <row r="71" spans="1:5" x14ac:dyDescent="0.3">
      <c r="A71" s="2">
        <v>107326</v>
      </c>
      <c r="B71" s="2" t="s">
        <v>469</v>
      </c>
      <c r="C71" s="2" t="s">
        <v>363</v>
      </c>
      <c r="D71" s="2">
        <v>3</v>
      </c>
      <c r="E71" s="2" t="s">
        <v>470</v>
      </c>
    </row>
    <row r="72" spans="1:5" x14ac:dyDescent="0.3">
      <c r="A72" s="2">
        <v>107330</v>
      </c>
      <c r="B72" s="2" t="s">
        <v>166</v>
      </c>
      <c r="C72" s="2" t="s">
        <v>384</v>
      </c>
      <c r="D72" s="2">
        <v>3</v>
      </c>
      <c r="E72" s="2" t="s">
        <v>444</v>
      </c>
    </row>
    <row r="73" spans="1:5" x14ac:dyDescent="0.3">
      <c r="A73" s="2">
        <v>107331</v>
      </c>
      <c r="B73" s="2" t="s">
        <v>189</v>
      </c>
      <c r="C73" s="2" t="s">
        <v>388</v>
      </c>
      <c r="D73" s="2">
        <v>3</v>
      </c>
      <c r="E73" s="2" t="s">
        <v>471</v>
      </c>
    </row>
    <row r="74" spans="1:5" x14ac:dyDescent="0.3">
      <c r="A74" s="2">
        <v>107333</v>
      </c>
      <c r="B74" s="2" t="s">
        <v>186</v>
      </c>
      <c r="C74" s="2" t="s">
        <v>387</v>
      </c>
      <c r="D74" s="2">
        <v>3</v>
      </c>
      <c r="E74" s="2" t="s">
        <v>452</v>
      </c>
    </row>
    <row r="75" spans="1:5" x14ac:dyDescent="0.3">
      <c r="A75" s="2">
        <v>107337</v>
      </c>
      <c r="B75" s="2" t="s">
        <v>472</v>
      </c>
      <c r="C75" s="2" t="s">
        <v>376</v>
      </c>
      <c r="D75" s="2">
        <v>3</v>
      </c>
      <c r="E75" s="2" t="s">
        <v>435</v>
      </c>
    </row>
    <row r="76" spans="1:5" x14ac:dyDescent="0.3">
      <c r="A76" s="2">
        <v>107339</v>
      </c>
      <c r="B76" s="2" t="s">
        <v>54</v>
      </c>
      <c r="C76" s="2" t="s">
        <v>362</v>
      </c>
      <c r="D76" s="2">
        <v>2</v>
      </c>
      <c r="E76" s="2" t="s">
        <v>462</v>
      </c>
    </row>
    <row r="77" spans="1:5" x14ac:dyDescent="0.3">
      <c r="A77" s="2">
        <v>107345</v>
      </c>
      <c r="B77" s="2" t="s">
        <v>51</v>
      </c>
      <c r="C77" s="2" t="s">
        <v>362</v>
      </c>
      <c r="D77" s="2">
        <v>2</v>
      </c>
      <c r="E77" s="2" t="s">
        <v>473</v>
      </c>
    </row>
    <row r="78" spans="1:5" x14ac:dyDescent="0.3">
      <c r="A78" s="2">
        <v>107356</v>
      </c>
      <c r="B78" s="2" t="s">
        <v>24</v>
      </c>
      <c r="C78" s="2" t="s">
        <v>365</v>
      </c>
      <c r="D78" s="2">
        <v>2</v>
      </c>
      <c r="E78" s="2" t="s">
        <v>442</v>
      </c>
    </row>
    <row r="79" spans="1:5" x14ac:dyDescent="0.3">
      <c r="A79" s="2">
        <v>107357</v>
      </c>
      <c r="B79" s="2" t="s">
        <v>474</v>
      </c>
      <c r="C79" s="2" t="s">
        <v>378</v>
      </c>
      <c r="D79" s="2">
        <v>6</v>
      </c>
      <c r="E79" s="2" t="s">
        <v>475</v>
      </c>
    </row>
    <row r="80" spans="1:5" x14ac:dyDescent="0.3">
      <c r="A80" s="2">
        <v>107360</v>
      </c>
      <c r="B80" s="2" t="s">
        <v>221</v>
      </c>
      <c r="C80" s="2" t="s">
        <v>368</v>
      </c>
      <c r="D80" s="2">
        <v>2</v>
      </c>
      <c r="E80" s="2" t="s">
        <v>442</v>
      </c>
    </row>
    <row r="81" spans="1:5" x14ac:dyDescent="0.3">
      <c r="A81" s="2">
        <v>107361</v>
      </c>
      <c r="B81" s="2" t="s">
        <v>15</v>
      </c>
      <c r="C81" s="2" t="s">
        <v>369</v>
      </c>
      <c r="D81" s="2">
        <v>15</v>
      </c>
      <c r="E81" s="2" t="s">
        <v>476</v>
      </c>
    </row>
    <row r="82" spans="1:5" x14ac:dyDescent="0.3">
      <c r="A82" s="2">
        <v>107362</v>
      </c>
      <c r="B82" s="2" t="s">
        <v>477</v>
      </c>
      <c r="C82" s="2" t="s">
        <v>369</v>
      </c>
      <c r="D82" s="2">
        <v>15</v>
      </c>
      <c r="E82" s="2" t="s">
        <v>476</v>
      </c>
    </row>
    <row r="83" spans="1:5" x14ac:dyDescent="0.3">
      <c r="A83" s="2">
        <v>107363</v>
      </c>
      <c r="B83" s="2" t="s">
        <v>478</v>
      </c>
      <c r="C83" s="2" t="s">
        <v>369</v>
      </c>
      <c r="D83" s="2">
        <v>15</v>
      </c>
      <c r="E83" s="2" t="s">
        <v>476</v>
      </c>
    </row>
    <row r="84" spans="1:5" x14ac:dyDescent="0.3">
      <c r="A84" s="2">
        <v>107364</v>
      </c>
      <c r="B84" s="2" t="s">
        <v>479</v>
      </c>
      <c r="C84" s="2" t="s">
        <v>369</v>
      </c>
      <c r="D84" s="2">
        <v>15</v>
      </c>
      <c r="E84" s="2" t="s">
        <v>476</v>
      </c>
    </row>
    <row r="85" spans="1:5" x14ac:dyDescent="0.3">
      <c r="A85" s="2">
        <v>107365</v>
      </c>
      <c r="B85" s="2" t="s">
        <v>257</v>
      </c>
      <c r="C85" s="2" t="s">
        <v>369</v>
      </c>
      <c r="D85" s="2">
        <v>15</v>
      </c>
      <c r="E85" s="2" t="s">
        <v>476</v>
      </c>
    </row>
    <row r="86" spans="1:5" x14ac:dyDescent="0.3">
      <c r="A86" s="2">
        <v>107366</v>
      </c>
      <c r="B86" s="2" t="s">
        <v>17</v>
      </c>
      <c r="C86" s="2" t="s">
        <v>369</v>
      </c>
      <c r="D86" s="2">
        <v>15</v>
      </c>
      <c r="E86" s="2" t="s">
        <v>476</v>
      </c>
    </row>
    <row r="87" spans="1:5" x14ac:dyDescent="0.3">
      <c r="A87" s="2">
        <v>107367</v>
      </c>
      <c r="B87" s="2" t="s">
        <v>16</v>
      </c>
      <c r="C87" s="2" t="s">
        <v>369</v>
      </c>
      <c r="D87" s="2">
        <v>15</v>
      </c>
      <c r="E87" s="2" t="s">
        <v>476</v>
      </c>
    </row>
    <row r="88" spans="1:5" x14ac:dyDescent="0.3">
      <c r="A88" s="2">
        <v>107368</v>
      </c>
      <c r="B88" s="2" t="s">
        <v>480</v>
      </c>
      <c r="C88" s="2" t="s">
        <v>382</v>
      </c>
      <c r="D88" s="2">
        <v>2</v>
      </c>
      <c r="E88" s="2" t="s">
        <v>442</v>
      </c>
    </row>
    <row r="89" spans="1:5" x14ac:dyDescent="0.3">
      <c r="A89" s="2">
        <v>107403</v>
      </c>
      <c r="B89" s="2" t="s">
        <v>481</v>
      </c>
      <c r="C89" s="2" t="s">
        <v>366</v>
      </c>
      <c r="D89" s="2">
        <v>3</v>
      </c>
      <c r="E89" s="2" t="s">
        <v>482</v>
      </c>
    </row>
    <row r="90" spans="1:5" x14ac:dyDescent="0.3">
      <c r="A90" s="2">
        <v>107405</v>
      </c>
      <c r="B90" s="2" t="s">
        <v>483</v>
      </c>
      <c r="C90" s="2" t="s">
        <v>366</v>
      </c>
      <c r="D90" s="2">
        <v>3</v>
      </c>
      <c r="E90" s="2" t="s">
        <v>451</v>
      </c>
    </row>
    <row r="91" spans="1:5" x14ac:dyDescent="0.3">
      <c r="A91" s="2">
        <v>170173</v>
      </c>
      <c r="B91" s="2" t="s">
        <v>197</v>
      </c>
      <c r="C91" s="2" t="s">
        <v>368</v>
      </c>
      <c r="D91" s="2">
        <v>2</v>
      </c>
      <c r="E91" s="2" t="s">
        <v>442</v>
      </c>
    </row>
    <row r="92" spans="1:5" x14ac:dyDescent="0.3">
      <c r="A92" s="2">
        <v>300003</v>
      </c>
      <c r="B92" s="2" t="s">
        <v>163</v>
      </c>
      <c r="C92" s="2" t="s">
        <v>366</v>
      </c>
      <c r="D92" s="2">
        <v>2</v>
      </c>
      <c r="E92" s="2" t="s">
        <v>484</v>
      </c>
    </row>
    <row r="93" spans="1:5" x14ac:dyDescent="0.3">
      <c r="A93" s="2">
        <v>300004</v>
      </c>
      <c r="B93" s="2" t="s">
        <v>162</v>
      </c>
      <c r="C93" s="2" t="s">
        <v>366</v>
      </c>
      <c r="D93" s="2">
        <v>2</v>
      </c>
      <c r="E93" s="2" t="s">
        <v>484</v>
      </c>
    </row>
    <row r="94" spans="1:5" x14ac:dyDescent="0.3">
      <c r="A94" s="2">
        <v>353001</v>
      </c>
      <c r="B94" s="2" t="s">
        <v>179</v>
      </c>
      <c r="C94" s="2" t="s">
        <v>366</v>
      </c>
      <c r="D94" s="2">
        <v>2</v>
      </c>
      <c r="E94" s="2" t="s">
        <v>484</v>
      </c>
    </row>
    <row r="95" spans="1:5" x14ac:dyDescent="0.3">
      <c r="A95" s="2">
        <v>353002</v>
      </c>
      <c r="B95" s="2" t="s">
        <v>178</v>
      </c>
      <c r="C95" s="2" t="s">
        <v>366</v>
      </c>
      <c r="D95" s="2">
        <v>2</v>
      </c>
      <c r="E95" s="2" t="s">
        <v>484</v>
      </c>
    </row>
    <row r="96" spans="1:5" x14ac:dyDescent="0.3">
      <c r="A96" s="2">
        <v>353003</v>
      </c>
      <c r="B96" s="2" t="s">
        <v>216</v>
      </c>
      <c r="C96" s="2" t="s">
        <v>366</v>
      </c>
      <c r="D96" s="2">
        <v>2</v>
      </c>
      <c r="E96" s="2" t="s">
        <v>484</v>
      </c>
    </row>
    <row r="97" spans="1:5" x14ac:dyDescent="0.3">
      <c r="A97" s="2">
        <v>353009</v>
      </c>
      <c r="B97" s="2" t="s">
        <v>485</v>
      </c>
      <c r="C97" s="2" t="s">
        <v>366</v>
      </c>
      <c r="D97" s="2">
        <v>2</v>
      </c>
      <c r="E97" s="2" t="s">
        <v>484</v>
      </c>
    </row>
    <row r="98" spans="1:5" x14ac:dyDescent="0.3">
      <c r="A98" s="2">
        <v>362029</v>
      </c>
      <c r="B98" s="2" t="s">
        <v>348</v>
      </c>
      <c r="C98" s="2" t="s">
        <v>366</v>
      </c>
      <c r="D98" s="2">
        <v>2</v>
      </c>
      <c r="E98" s="2" t="s">
        <v>484</v>
      </c>
    </row>
    <row r="99" spans="1:5" x14ac:dyDescent="0.3">
      <c r="A99" s="2">
        <v>362105</v>
      </c>
      <c r="B99" s="2" t="s">
        <v>171</v>
      </c>
      <c r="C99" s="2" t="s">
        <v>366</v>
      </c>
      <c r="D99" s="2">
        <v>3</v>
      </c>
      <c r="E99" s="2" t="s">
        <v>451</v>
      </c>
    </row>
    <row r="100" spans="1:5" x14ac:dyDescent="0.3">
      <c r="A100" s="2">
        <v>393040</v>
      </c>
      <c r="B100" s="2" t="s">
        <v>236</v>
      </c>
      <c r="C100" s="2" t="s">
        <v>366</v>
      </c>
      <c r="D100" s="2">
        <v>2</v>
      </c>
      <c r="E100" s="2" t="s">
        <v>484</v>
      </c>
    </row>
    <row r="101" spans="1:5" x14ac:dyDescent="0.3">
      <c r="A101" s="2">
        <v>393215</v>
      </c>
      <c r="B101" s="2" t="s">
        <v>486</v>
      </c>
      <c r="C101" s="2" t="s">
        <v>366</v>
      </c>
      <c r="D101" s="2">
        <v>2</v>
      </c>
      <c r="E101" s="2" t="s">
        <v>484</v>
      </c>
    </row>
    <row r="102" spans="1:5" x14ac:dyDescent="0.3">
      <c r="A102" s="2">
        <v>393216</v>
      </c>
      <c r="B102" s="2" t="s">
        <v>173</v>
      </c>
      <c r="C102" s="2" t="s">
        <v>366</v>
      </c>
      <c r="D102" s="2">
        <v>2</v>
      </c>
      <c r="E102" s="2" t="s">
        <v>484</v>
      </c>
    </row>
    <row r="103" spans="1:5" x14ac:dyDescent="0.3">
      <c r="A103" s="2">
        <v>393320</v>
      </c>
      <c r="B103" s="2" t="s">
        <v>169</v>
      </c>
      <c r="C103" s="2" t="s">
        <v>378</v>
      </c>
      <c r="D103" s="2">
        <v>15</v>
      </c>
      <c r="E103" s="2" t="s">
        <v>457</v>
      </c>
    </row>
    <row r="104" spans="1:5" x14ac:dyDescent="0.3">
      <c r="A104" s="2">
        <v>393321</v>
      </c>
      <c r="B104" s="2" t="s">
        <v>170</v>
      </c>
      <c r="C104" s="2" t="s">
        <v>378</v>
      </c>
      <c r="D104" s="2">
        <v>15</v>
      </c>
      <c r="E104" s="2" t="s">
        <v>457</v>
      </c>
    </row>
    <row r="105" spans="1:5" x14ac:dyDescent="0.3">
      <c r="A105" s="2">
        <v>393349</v>
      </c>
      <c r="B105" s="2" t="s">
        <v>237</v>
      </c>
      <c r="C105" s="2" t="s">
        <v>366</v>
      </c>
      <c r="D105" s="2">
        <v>2</v>
      </c>
      <c r="E105" s="2" t="s">
        <v>484</v>
      </c>
    </row>
    <row r="106" spans="1:5" x14ac:dyDescent="0.3">
      <c r="A106" s="2">
        <v>393384</v>
      </c>
      <c r="B106" s="2" t="s">
        <v>487</v>
      </c>
      <c r="C106" s="2" t="s">
        <v>366</v>
      </c>
      <c r="D106" s="2">
        <v>2</v>
      </c>
      <c r="E106" s="2" t="s">
        <v>484</v>
      </c>
    </row>
    <row r="107" spans="1:5" x14ac:dyDescent="0.3">
      <c r="A107" s="2">
        <v>393399</v>
      </c>
      <c r="B107" s="2" t="s">
        <v>210</v>
      </c>
      <c r="C107" s="2" t="s">
        <v>365</v>
      </c>
      <c r="D107" s="2">
        <v>3</v>
      </c>
      <c r="E107" s="2" t="s">
        <v>435</v>
      </c>
    </row>
    <row r="108" spans="1:5" x14ac:dyDescent="0.3">
      <c r="A108" s="2">
        <v>393400</v>
      </c>
      <c r="B108" s="2" t="s">
        <v>38</v>
      </c>
      <c r="C108" s="2" t="s">
        <v>365</v>
      </c>
      <c r="D108" s="2">
        <v>3</v>
      </c>
      <c r="E108" s="2" t="s">
        <v>435</v>
      </c>
    </row>
    <row r="109" spans="1:5" x14ac:dyDescent="0.3">
      <c r="A109" s="2">
        <v>393415</v>
      </c>
      <c r="B109" s="2" t="s">
        <v>488</v>
      </c>
      <c r="C109" s="2" t="s">
        <v>366</v>
      </c>
      <c r="D109" s="2">
        <v>2</v>
      </c>
      <c r="E109" s="2" t="s">
        <v>484</v>
      </c>
    </row>
    <row r="110" spans="1:5" x14ac:dyDescent="0.3">
      <c r="A110" s="2">
        <v>393419</v>
      </c>
      <c r="B110" s="2" t="s">
        <v>176</v>
      </c>
      <c r="C110" s="2" t="s">
        <v>366</v>
      </c>
      <c r="D110" s="2">
        <v>2</v>
      </c>
      <c r="E110" s="2" t="s">
        <v>484</v>
      </c>
    </row>
    <row r="111" spans="1:5" x14ac:dyDescent="0.3">
      <c r="A111" s="2">
        <v>393421</v>
      </c>
      <c r="B111" s="2" t="s">
        <v>119</v>
      </c>
      <c r="C111" s="2" t="s">
        <v>361</v>
      </c>
      <c r="D111" s="2">
        <v>6</v>
      </c>
      <c r="E111" s="2" t="s">
        <v>453</v>
      </c>
    </row>
    <row r="112" spans="1:5" x14ac:dyDescent="0.3">
      <c r="A112" s="2">
        <v>393422</v>
      </c>
      <c r="B112" s="2" t="s">
        <v>118</v>
      </c>
      <c r="C112" s="2" t="s">
        <v>361</v>
      </c>
      <c r="D112" s="2">
        <v>6</v>
      </c>
      <c r="E112" s="2" t="s">
        <v>453</v>
      </c>
    </row>
    <row r="113" spans="1:5" x14ac:dyDescent="0.3">
      <c r="A113" s="2">
        <v>393423</v>
      </c>
      <c r="B113" s="2" t="s">
        <v>127</v>
      </c>
      <c r="C113" s="2" t="s">
        <v>361</v>
      </c>
      <c r="D113" s="2">
        <v>6</v>
      </c>
      <c r="E113" s="2" t="s">
        <v>453</v>
      </c>
    </row>
    <row r="114" spans="1:5" x14ac:dyDescent="0.3">
      <c r="A114" s="2">
        <v>393424</v>
      </c>
      <c r="B114" s="2" t="s">
        <v>489</v>
      </c>
      <c r="C114" s="2" t="s">
        <v>361</v>
      </c>
      <c r="D114" s="2">
        <v>6</v>
      </c>
      <c r="E114" s="2" t="s">
        <v>453</v>
      </c>
    </row>
    <row r="115" spans="1:5" x14ac:dyDescent="0.3">
      <c r="A115" s="2">
        <v>393425</v>
      </c>
      <c r="B115" s="2" t="s">
        <v>130</v>
      </c>
      <c r="C115" s="2" t="s">
        <v>361</v>
      </c>
      <c r="D115" s="2">
        <v>6</v>
      </c>
      <c r="E115" s="2" t="s">
        <v>453</v>
      </c>
    </row>
    <row r="116" spans="1:5" x14ac:dyDescent="0.3">
      <c r="A116" s="2">
        <v>393426</v>
      </c>
      <c r="B116" s="2" t="s">
        <v>122</v>
      </c>
      <c r="C116" s="2" t="s">
        <v>361</v>
      </c>
      <c r="D116" s="2">
        <v>6</v>
      </c>
      <c r="E116" s="2" t="s">
        <v>453</v>
      </c>
    </row>
    <row r="117" spans="1:5" x14ac:dyDescent="0.3">
      <c r="A117" s="2">
        <v>393427</v>
      </c>
      <c r="B117" s="2" t="s">
        <v>490</v>
      </c>
      <c r="C117" s="2" t="s">
        <v>366</v>
      </c>
      <c r="D117" s="2">
        <v>2</v>
      </c>
      <c r="E117" s="2" t="s">
        <v>484</v>
      </c>
    </row>
    <row r="118" spans="1:5" x14ac:dyDescent="0.3">
      <c r="A118" s="2">
        <v>393437</v>
      </c>
      <c r="B118" s="2" t="s">
        <v>491</v>
      </c>
      <c r="C118" s="2" t="s">
        <v>366</v>
      </c>
      <c r="D118" s="2">
        <v>2</v>
      </c>
      <c r="E118" s="2" t="s">
        <v>484</v>
      </c>
    </row>
    <row r="119" spans="1:5" x14ac:dyDescent="0.3">
      <c r="A119" s="2">
        <v>400104</v>
      </c>
      <c r="B119" s="2" t="s">
        <v>398</v>
      </c>
      <c r="C119" s="2" t="s">
        <v>367</v>
      </c>
      <c r="D119" s="2">
        <v>6</v>
      </c>
      <c r="E119" s="2" t="s">
        <v>492</v>
      </c>
    </row>
    <row r="120" spans="1:5" x14ac:dyDescent="0.3">
      <c r="A120" s="2">
        <v>400202</v>
      </c>
      <c r="B120" s="2" t="s">
        <v>255</v>
      </c>
      <c r="C120" s="2" t="s">
        <v>367</v>
      </c>
      <c r="D120" s="2">
        <v>6</v>
      </c>
      <c r="E120" s="2" t="s">
        <v>492</v>
      </c>
    </row>
    <row r="121" spans="1:5" x14ac:dyDescent="0.3">
      <c r="A121" s="2">
        <v>400203</v>
      </c>
      <c r="B121" s="2" t="s">
        <v>11</v>
      </c>
      <c r="C121" s="2" t="s">
        <v>367</v>
      </c>
      <c r="D121" s="2">
        <v>6</v>
      </c>
      <c r="E121" s="2" t="s">
        <v>492</v>
      </c>
    </row>
    <row r="122" spans="1:5" x14ac:dyDescent="0.3">
      <c r="A122" s="2">
        <v>401010</v>
      </c>
      <c r="B122" s="2" t="s">
        <v>232</v>
      </c>
      <c r="C122" s="2" t="s">
        <v>381</v>
      </c>
      <c r="D122" s="2">
        <v>4</v>
      </c>
      <c r="E122" s="2" t="s">
        <v>493</v>
      </c>
    </row>
    <row r="123" spans="1:5" x14ac:dyDescent="0.3">
      <c r="A123" s="2">
        <v>401011</v>
      </c>
      <c r="B123" s="2" t="s">
        <v>233</v>
      </c>
      <c r="C123" s="2" t="s">
        <v>381</v>
      </c>
      <c r="D123" s="2">
        <v>4</v>
      </c>
      <c r="E123" s="2" t="s">
        <v>493</v>
      </c>
    </row>
    <row r="124" spans="1:5" x14ac:dyDescent="0.3">
      <c r="A124" s="2">
        <v>401012</v>
      </c>
      <c r="B124" s="2" t="s">
        <v>235</v>
      </c>
      <c r="C124" s="2" t="s">
        <v>381</v>
      </c>
      <c r="D124" s="2">
        <v>4</v>
      </c>
      <c r="E124" s="2" t="s">
        <v>493</v>
      </c>
    </row>
    <row r="125" spans="1:5" x14ac:dyDescent="0.3">
      <c r="A125" s="2">
        <v>401013</v>
      </c>
      <c r="B125" s="2" t="s">
        <v>231</v>
      </c>
      <c r="C125" s="2" t="s">
        <v>381</v>
      </c>
      <c r="D125" s="2">
        <v>4</v>
      </c>
      <c r="E125" s="2" t="s">
        <v>493</v>
      </c>
    </row>
    <row r="126" spans="1:5" x14ac:dyDescent="0.3">
      <c r="A126" s="2">
        <v>401014</v>
      </c>
      <c r="B126" s="2" t="s">
        <v>230</v>
      </c>
      <c r="C126" s="2" t="s">
        <v>381</v>
      </c>
      <c r="D126" s="2">
        <v>4</v>
      </c>
      <c r="E126" s="2" t="s">
        <v>493</v>
      </c>
    </row>
    <row r="127" spans="1:5" x14ac:dyDescent="0.3">
      <c r="A127" s="2">
        <v>401015</v>
      </c>
      <c r="B127" s="2" t="s">
        <v>229</v>
      </c>
      <c r="C127" s="2" t="s">
        <v>381</v>
      </c>
      <c r="D127" s="2">
        <v>4</v>
      </c>
      <c r="E127" s="2" t="s">
        <v>493</v>
      </c>
    </row>
    <row r="128" spans="1:5" x14ac:dyDescent="0.3">
      <c r="A128" s="2">
        <v>401019</v>
      </c>
      <c r="B128" s="2" t="s">
        <v>234</v>
      </c>
      <c r="C128" s="2" t="s">
        <v>381</v>
      </c>
      <c r="D128" s="2">
        <v>4</v>
      </c>
      <c r="E128" s="2" t="s">
        <v>493</v>
      </c>
    </row>
    <row r="129" spans="1:5" x14ac:dyDescent="0.3">
      <c r="A129" s="2">
        <v>402132</v>
      </c>
      <c r="B129" s="2" t="s">
        <v>156</v>
      </c>
      <c r="C129" s="2" t="s">
        <v>382</v>
      </c>
      <c r="D129" s="2">
        <v>3</v>
      </c>
      <c r="E129" s="2" t="s">
        <v>494</v>
      </c>
    </row>
    <row r="130" spans="1:5" x14ac:dyDescent="0.3">
      <c r="A130" s="2">
        <v>402251</v>
      </c>
      <c r="B130" s="2" t="s">
        <v>258</v>
      </c>
      <c r="C130" s="2" t="s">
        <v>369</v>
      </c>
      <c r="D130" s="2">
        <v>15</v>
      </c>
      <c r="E130" s="2" t="s">
        <v>467</v>
      </c>
    </row>
    <row r="131" spans="1:5" x14ac:dyDescent="0.3">
      <c r="A131" s="2">
        <v>402252</v>
      </c>
      <c r="B131" s="2" t="s">
        <v>495</v>
      </c>
      <c r="C131" s="2" t="s">
        <v>369</v>
      </c>
      <c r="D131" s="2">
        <v>15</v>
      </c>
      <c r="E131" s="2" t="s">
        <v>467</v>
      </c>
    </row>
    <row r="132" spans="1:5" x14ac:dyDescent="0.3">
      <c r="A132" s="2">
        <v>402253</v>
      </c>
      <c r="B132" s="2" t="s">
        <v>260</v>
      </c>
      <c r="C132" s="2" t="s">
        <v>369</v>
      </c>
      <c r="D132" s="2">
        <v>15</v>
      </c>
      <c r="E132" s="2" t="s">
        <v>467</v>
      </c>
    </row>
    <row r="133" spans="1:5" x14ac:dyDescent="0.3">
      <c r="A133" s="2">
        <v>402254</v>
      </c>
      <c r="B133" s="2" t="s">
        <v>496</v>
      </c>
      <c r="C133" s="2" t="s">
        <v>367</v>
      </c>
      <c r="D133" s="2">
        <v>11</v>
      </c>
      <c r="E133" s="2" t="s">
        <v>467</v>
      </c>
    </row>
    <row r="134" spans="1:5" x14ac:dyDescent="0.3">
      <c r="A134" s="2">
        <v>402255</v>
      </c>
      <c r="B134" s="2" t="s">
        <v>26</v>
      </c>
      <c r="C134" s="2" t="s">
        <v>372</v>
      </c>
      <c r="D134" s="2">
        <v>3</v>
      </c>
      <c r="E134" s="2" t="s">
        <v>497</v>
      </c>
    </row>
    <row r="135" spans="1:5" x14ac:dyDescent="0.3">
      <c r="A135" s="2">
        <v>402257</v>
      </c>
      <c r="B135" s="2" t="s">
        <v>321</v>
      </c>
      <c r="C135" s="2" t="s">
        <v>378</v>
      </c>
      <c r="D135" s="2">
        <v>15</v>
      </c>
      <c r="E135" s="2" t="s">
        <v>467</v>
      </c>
    </row>
    <row r="136" spans="1:5" x14ac:dyDescent="0.3">
      <c r="A136" s="2">
        <v>403101</v>
      </c>
      <c r="B136" s="2" t="s">
        <v>62</v>
      </c>
      <c r="C136" s="2" t="s">
        <v>378</v>
      </c>
      <c r="D136" s="2">
        <v>6</v>
      </c>
      <c r="E136" s="2" t="s">
        <v>498</v>
      </c>
    </row>
    <row r="137" spans="1:5" x14ac:dyDescent="0.3">
      <c r="A137" s="2">
        <v>403103</v>
      </c>
      <c r="B137" s="2" t="s">
        <v>399</v>
      </c>
      <c r="C137" s="2" t="s">
        <v>378</v>
      </c>
      <c r="D137" s="2">
        <v>6</v>
      </c>
      <c r="E137" s="2" t="s">
        <v>498</v>
      </c>
    </row>
    <row r="138" spans="1:5" x14ac:dyDescent="0.3">
      <c r="A138" s="2">
        <v>403104</v>
      </c>
      <c r="B138" s="2" t="s">
        <v>408</v>
      </c>
      <c r="C138" s="2" t="s">
        <v>378</v>
      </c>
      <c r="D138" s="2">
        <v>6</v>
      </c>
      <c r="E138" s="2" t="s">
        <v>498</v>
      </c>
    </row>
    <row r="139" spans="1:5" x14ac:dyDescent="0.3">
      <c r="A139" s="2">
        <v>403210</v>
      </c>
      <c r="B139" s="2" t="s">
        <v>499</v>
      </c>
      <c r="C139" s="2" t="s">
        <v>362</v>
      </c>
      <c r="D139" s="2">
        <v>2</v>
      </c>
      <c r="E139" s="2" t="s">
        <v>500</v>
      </c>
    </row>
    <row r="140" spans="1:5" x14ac:dyDescent="0.3">
      <c r="A140" s="2">
        <v>403225</v>
      </c>
      <c r="B140" s="2" t="s">
        <v>501</v>
      </c>
      <c r="C140" s="2" t="s">
        <v>362</v>
      </c>
      <c r="D140" s="2">
        <v>2</v>
      </c>
      <c r="E140" s="2" t="s">
        <v>473</v>
      </c>
    </row>
    <row r="141" spans="1:5" x14ac:dyDescent="0.3">
      <c r="A141" s="2">
        <v>403231</v>
      </c>
      <c r="B141" s="2" t="s">
        <v>502</v>
      </c>
      <c r="C141" s="2" t="s">
        <v>362</v>
      </c>
      <c r="D141" s="2">
        <v>2</v>
      </c>
      <c r="E141" s="2" t="s">
        <v>500</v>
      </c>
    </row>
    <row r="142" spans="1:5" x14ac:dyDescent="0.3">
      <c r="A142" s="2">
        <v>403268</v>
      </c>
      <c r="B142" s="2" t="s">
        <v>172</v>
      </c>
      <c r="C142" s="2" t="s">
        <v>366</v>
      </c>
      <c r="D142" s="2">
        <v>2</v>
      </c>
      <c r="E142" s="2" t="s">
        <v>484</v>
      </c>
    </row>
    <row r="143" spans="1:5" x14ac:dyDescent="0.3">
      <c r="A143" s="2">
        <v>403278</v>
      </c>
      <c r="B143" s="2" t="s">
        <v>63</v>
      </c>
      <c r="C143" s="2" t="s">
        <v>378</v>
      </c>
      <c r="D143" s="2">
        <v>15</v>
      </c>
      <c r="E143" s="2" t="s">
        <v>467</v>
      </c>
    </row>
    <row r="144" spans="1:5" x14ac:dyDescent="0.3">
      <c r="A144" s="2">
        <v>403314</v>
      </c>
      <c r="B144" s="2" t="s">
        <v>503</v>
      </c>
      <c r="C144" s="2" t="s">
        <v>378</v>
      </c>
      <c r="D144" s="2">
        <v>6</v>
      </c>
      <c r="E144" s="2" t="s">
        <v>498</v>
      </c>
    </row>
    <row r="145" spans="1:5" x14ac:dyDescent="0.3">
      <c r="A145" s="2">
        <v>403338</v>
      </c>
      <c r="B145" s="2" t="s">
        <v>9</v>
      </c>
      <c r="C145" s="2" t="s">
        <v>362</v>
      </c>
      <c r="D145" s="2">
        <v>2</v>
      </c>
      <c r="E145" s="2" t="s">
        <v>473</v>
      </c>
    </row>
    <row r="146" spans="1:5" x14ac:dyDescent="0.3">
      <c r="A146" s="2">
        <v>403393</v>
      </c>
      <c r="B146" s="2" t="s">
        <v>259</v>
      </c>
      <c r="C146" s="2" t="s">
        <v>369</v>
      </c>
      <c r="D146" s="2">
        <v>15</v>
      </c>
      <c r="E146" s="2" t="s">
        <v>457</v>
      </c>
    </row>
    <row r="147" spans="1:5" x14ac:dyDescent="0.3">
      <c r="A147" s="2">
        <v>403394</v>
      </c>
      <c r="B147" s="2" t="s">
        <v>504</v>
      </c>
      <c r="C147" s="2" t="s">
        <v>369</v>
      </c>
      <c r="D147" s="2">
        <v>15</v>
      </c>
      <c r="E147" s="2" t="s">
        <v>457</v>
      </c>
    </row>
    <row r="148" spans="1:5" x14ac:dyDescent="0.3">
      <c r="A148" s="2">
        <v>403395</v>
      </c>
      <c r="B148" s="2" t="s">
        <v>505</v>
      </c>
      <c r="C148" s="2" t="s">
        <v>378</v>
      </c>
      <c r="D148" s="2">
        <v>15</v>
      </c>
      <c r="E148" s="2" t="s">
        <v>457</v>
      </c>
    </row>
    <row r="149" spans="1:5" x14ac:dyDescent="0.3">
      <c r="A149" s="2">
        <v>403407</v>
      </c>
      <c r="B149" s="2" t="s">
        <v>334</v>
      </c>
      <c r="C149" s="2" t="s">
        <v>368</v>
      </c>
      <c r="D149" s="2">
        <v>2</v>
      </c>
      <c r="E149" s="2" t="s">
        <v>442</v>
      </c>
    </row>
    <row r="150" spans="1:5" x14ac:dyDescent="0.3">
      <c r="A150" s="2">
        <v>404309</v>
      </c>
      <c r="B150" s="2" t="s">
        <v>27</v>
      </c>
      <c r="C150" s="2" t="s">
        <v>365</v>
      </c>
      <c r="D150" s="2">
        <v>4</v>
      </c>
      <c r="E150" s="2" t="s">
        <v>470</v>
      </c>
    </row>
    <row r="151" spans="1:5" x14ac:dyDescent="0.3">
      <c r="A151" s="2">
        <v>404316</v>
      </c>
      <c r="B151" s="2" t="s">
        <v>506</v>
      </c>
      <c r="C151" s="2" t="s">
        <v>366</v>
      </c>
      <c r="D151" s="2">
        <v>3</v>
      </c>
      <c r="E151" s="2" t="s">
        <v>451</v>
      </c>
    </row>
    <row r="152" spans="1:5" x14ac:dyDescent="0.3">
      <c r="A152" s="2">
        <v>404718</v>
      </c>
      <c r="B152" s="2" t="s">
        <v>103</v>
      </c>
      <c r="C152" s="2" t="s">
        <v>361</v>
      </c>
      <c r="D152" s="2">
        <v>6</v>
      </c>
      <c r="E152" s="2" t="s">
        <v>453</v>
      </c>
    </row>
    <row r="153" spans="1:5" x14ac:dyDescent="0.3">
      <c r="A153" s="2">
        <v>404719</v>
      </c>
      <c r="B153" s="2" t="s">
        <v>102</v>
      </c>
      <c r="C153" s="2" t="s">
        <v>361</v>
      </c>
      <c r="D153" s="2">
        <v>6</v>
      </c>
      <c r="E153" s="2" t="s">
        <v>453</v>
      </c>
    </row>
    <row r="154" spans="1:5" x14ac:dyDescent="0.3">
      <c r="A154" s="2">
        <v>404720</v>
      </c>
      <c r="B154" s="2" t="s">
        <v>304</v>
      </c>
      <c r="C154" s="2" t="s">
        <v>361</v>
      </c>
      <c r="D154" s="2">
        <v>6</v>
      </c>
      <c r="E154" s="2" t="s">
        <v>453</v>
      </c>
    </row>
    <row r="155" spans="1:5" x14ac:dyDescent="0.3">
      <c r="A155" s="2">
        <v>404722</v>
      </c>
      <c r="B155" s="2" t="s">
        <v>106</v>
      </c>
      <c r="C155" s="2" t="s">
        <v>361</v>
      </c>
      <c r="D155" s="2">
        <v>6</v>
      </c>
      <c r="E155" s="2" t="s">
        <v>453</v>
      </c>
    </row>
    <row r="156" spans="1:5" x14ac:dyDescent="0.3">
      <c r="A156" s="2">
        <v>404731</v>
      </c>
      <c r="B156" s="2" t="s">
        <v>507</v>
      </c>
      <c r="C156" s="2" t="s">
        <v>361</v>
      </c>
      <c r="D156" s="2">
        <v>6</v>
      </c>
      <c r="E156" s="2" t="s">
        <v>453</v>
      </c>
    </row>
    <row r="157" spans="1:5" x14ac:dyDescent="0.3">
      <c r="A157" s="2">
        <v>404735</v>
      </c>
      <c r="B157" s="2" t="s">
        <v>110</v>
      </c>
      <c r="C157" s="2" t="s">
        <v>361</v>
      </c>
      <c r="D157" s="2">
        <v>6</v>
      </c>
      <c r="E157" s="2" t="s">
        <v>453</v>
      </c>
    </row>
    <row r="158" spans="1:5" x14ac:dyDescent="0.3">
      <c r="A158" s="2">
        <v>404736</v>
      </c>
      <c r="B158" s="2" t="s">
        <v>109</v>
      </c>
      <c r="C158" s="2" t="s">
        <v>361</v>
      </c>
      <c r="D158" s="2">
        <v>6</v>
      </c>
      <c r="E158" s="2" t="s">
        <v>453</v>
      </c>
    </row>
    <row r="159" spans="1:5" x14ac:dyDescent="0.3">
      <c r="A159" s="2">
        <v>404737</v>
      </c>
      <c r="B159" s="2" t="s">
        <v>113</v>
      </c>
      <c r="C159" s="2" t="s">
        <v>361</v>
      </c>
      <c r="D159" s="2">
        <v>6</v>
      </c>
      <c r="E159" s="2" t="s">
        <v>453</v>
      </c>
    </row>
    <row r="160" spans="1:5" x14ac:dyDescent="0.3">
      <c r="A160" s="2">
        <v>404738</v>
      </c>
      <c r="B160" s="2" t="s">
        <v>115</v>
      </c>
      <c r="C160" s="2" t="s">
        <v>361</v>
      </c>
      <c r="D160" s="2">
        <v>6</v>
      </c>
      <c r="E160" s="2" t="s">
        <v>453</v>
      </c>
    </row>
    <row r="161" spans="1:5" x14ac:dyDescent="0.3">
      <c r="A161" s="2">
        <v>404739</v>
      </c>
      <c r="B161" s="2" t="s">
        <v>114</v>
      </c>
      <c r="C161" s="2" t="s">
        <v>361</v>
      </c>
      <c r="D161" s="2">
        <v>6</v>
      </c>
      <c r="E161" s="2" t="s">
        <v>453</v>
      </c>
    </row>
    <row r="162" spans="1:5" x14ac:dyDescent="0.3">
      <c r="A162" s="2">
        <v>404744</v>
      </c>
      <c r="B162" s="2" t="s">
        <v>116</v>
      </c>
      <c r="C162" s="2" t="s">
        <v>361</v>
      </c>
      <c r="D162" s="2">
        <v>6</v>
      </c>
      <c r="E162" s="2" t="s">
        <v>453</v>
      </c>
    </row>
    <row r="163" spans="1:5" x14ac:dyDescent="0.3">
      <c r="A163" s="2">
        <v>404745</v>
      </c>
      <c r="B163" s="2" t="s">
        <v>117</v>
      </c>
      <c r="C163" s="2" t="s">
        <v>361</v>
      </c>
      <c r="D163" s="2">
        <v>6</v>
      </c>
      <c r="E163" s="2" t="s">
        <v>453</v>
      </c>
    </row>
    <row r="164" spans="1:5" x14ac:dyDescent="0.3">
      <c r="A164" s="2">
        <v>404748</v>
      </c>
      <c r="B164" s="2" t="s">
        <v>107</v>
      </c>
      <c r="C164" s="2" t="s">
        <v>361</v>
      </c>
      <c r="D164" s="2">
        <v>6</v>
      </c>
      <c r="E164" s="2" t="s">
        <v>453</v>
      </c>
    </row>
    <row r="165" spans="1:5" x14ac:dyDescent="0.3">
      <c r="A165" s="2">
        <v>405031</v>
      </c>
      <c r="B165" s="2" t="s">
        <v>150</v>
      </c>
      <c r="C165" s="2" t="s">
        <v>361</v>
      </c>
      <c r="D165" s="2">
        <v>6</v>
      </c>
      <c r="E165" s="2" t="s">
        <v>453</v>
      </c>
    </row>
    <row r="166" spans="1:5" x14ac:dyDescent="0.3">
      <c r="A166" s="2">
        <v>405034</v>
      </c>
      <c r="B166" s="2" t="s">
        <v>144</v>
      </c>
      <c r="C166" s="2" t="s">
        <v>361</v>
      </c>
      <c r="D166" s="2">
        <v>6</v>
      </c>
      <c r="E166" s="2" t="s">
        <v>453</v>
      </c>
    </row>
    <row r="167" spans="1:5" x14ac:dyDescent="0.3">
      <c r="A167" s="2">
        <v>405036</v>
      </c>
      <c r="B167" s="2" t="s">
        <v>139</v>
      </c>
      <c r="C167" s="2" t="s">
        <v>361</v>
      </c>
      <c r="D167" s="2">
        <v>6</v>
      </c>
      <c r="E167" s="2" t="s">
        <v>453</v>
      </c>
    </row>
    <row r="168" spans="1:5" x14ac:dyDescent="0.3">
      <c r="A168" s="2">
        <v>405050</v>
      </c>
      <c r="B168" s="2" t="s">
        <v>508</v>
      </c>
      <c r="C168" s="2" t="s">
        <v>361</v>
      </c>
      <c r="D168" s="2">
        <v>6</v>
      </c>
      <c r="E168" s="2" t="s">
        <v>453</v>
      </c>
    </row>
    <row r="169" spans="1:5" x14ac:dyDescent="0.3">
      <c r="A169" s="2">
        <v>405089</v>
      </c>
      <c r="B169" s="2" t="s">
        <v>135</v>
      </c>
      <c r="C169" s="2" t="s">
        <v>361</v>
      </c>
      <c r="D169" s="2">
        <v>6</v>
      </c>
      <c r="E169" s="2" t="s">
        <v>453</v>
      </c>
    </row>
    <row r="170" spans="1:5" x14ac:dyDescent="0.3">
      <c r="A170" s="2">
        <v>405090</v>
      </c>
      <c r="B170" s="2" t="s">
        <v>137</v>
      </c>
      <c r="C170" s="2" t="s">
        <v>361</v>
      </c>
      <c r="D170" s="2">
        <v>6</v>
      </c>
      <c r="E170" s="2" t="s">
        <v>453</v>
      </c>
    </row>
    <row r="171" spans="1:5" x14ac:dyDescent="0.3">
      <c r="A171" s="2">
        <v>405103</v>
      </c>
      <c r="B171" s="2" t="s">
        <v>105</v>
      </c>
      <c r="C171" s="2" t="s">
        <v>361</v>
      </c>
      <c r="D171" s="2">
        <v>6</v>
      </c>
      <c r="E171" s="2" t="s">
        <v>453</v>
      </c>
    </row>
    <row r="172" spans="1:5" x14ac:dyDescent="0.3">
      <c r="A172" s="2">
        <v>405108</v>
      </c>
      <c r="B172" s="2" t="s">
        <v>133</v>
      </c>
      <c r="C172" s="2" t="s">
        <v>361</v>
      </c>
      <c r="D172" s="2">
        <v>6</v>
      </c>
      <c r="E172" s="2" t="s">
        <v>453</v>
      </c>
    </row>
    <row r="173" spans="1:5" x14ac:dyDescent="0.3">
      <c r="A173" s="2">
        <v>405111</v>
      </c>
      <c r="B173" s="2" t="s">
        <v>509</v>
      </c>
      <c r="C173" s="2" t="s">
        <v>361</v>
      </c>
      <c r="D173" s="2">
        <v>6</v>
      </c>
      <c r="E173" s="2" t="s">
        <v>453</v>
      </c>
    </row>
    <row r="174" spans="1:5" x14ac:dyDescent="0.3">
      <c r="A174" s="2">
        <v>405115</v>
      </c>
      <c r="B174" s="2" t="s">
        <v>510</v>
      </c>
      <c r="C174" s="2" t="s">
        <v>376</v>
      </c>
      <c r="D174" s="2">
        <v>3</v>
      </c>
      <c r="E174" s="2" t="s">
        <v>435</v>
      </c>
    </row>
    <row r="175" spans="1:5" x14ac:dyDescent="0.3">
      <c r="A175" s="2">
        <v>405119</v>
      </c>
      <c r="B175" s="2" t="s">
        <v>146</v>
      </c>
      <c r="C175" s="2" t="s">
        <v>361</v>
      </c>
      <c r="D175" s="2">
        <v>6</v>
      </c>
      <c r="E175" s="2" t="s">
        <v>453</v>
      </c>
    </row>
    <row r="176" spans="1:5" x14ac:dyDescent="0.3">
      <c r="A176" s="2">
        <v>405120</v>
      </c>
      <c r="B176" s="2" t="s">
        <v>138</v>
      </c>
      <c r="C176" s="2" t="s">
        <v>361</v>
      </c>
      <c r="D176" s="2">
        <v>6</v>
      </c>
      <c r="E176" s="2" t="s">
        <v>453</v>
      </c>
    </row>
    <row r="177" spans="1:5" x14ac:dyDescent="0.3">
      <c r="A177" s="2">
        <v>405121</v>
      </c>
      <c r="B177" s="2" t="s">
        <v>151</v>
      </c>
      <c r="C177" s="2" t="s">
        <v>361</v>
      </c>
      <c r="D177" s="2">
        <v>6</v>
      </c>
      <c r="E177" s="2" t="s">
        <v>453</v>
      </c>
    </row>
    <row r="178" spans="1:5" x14ac:dyDescent="0.3">
      <c r="A178" s="2">
        <v>405122</v>
      </c>
      <c r="B178" s="2" t="s">
        <v>511</v>
      </c>
      <c r="C178" s="2" t="s">
        <v>361</v>
      </c>
      <c r="D178" s="2">
        <v>6</v>
      </c>
      <c r="E178" s="2" t="s">
        <v>453</v>
      </c>
    </row>
    <row r="179" spans="1:5" x14ac:dyDescent="0.3">
      <c r="A179" s="2">
        <v>405123</v>
      </c>
      <c r="B179" s="2" t="s">
        <v>149</v>
      </c>
      <c r="C179" s="2" t="s">
        <v>361</v>
      </c>
      <c r="D179" s="2">
        <v>6</v>
      </c>
      <c r="E179" s="2" t="s">
        <v>453</v>
      </c>
    </row>
    <row r="180" spans="1:5" x14ac:dyDescent="0.3">
      <c r="A180" s="2">
        <v>405124</v>
      </c>
      <c r="B180" s="2" t="s">
        <v>141</v>
      </c>
      <c r="C180" s="2" t="s">
        <v>361</v>
      </c>
      <c r="D180" s="2">
        <v>6</v>
      </c>
      <c r="E180" s="2" t="s">
        <v>453</v>
      </c>
    </row>
    <row r="181" spans="1:5" x14ac:dyDescent="0.3">
      <c r="A181" s="2">
        <v>405126</v>
      </c>
      <c r="B181" s="2" t="s">
        <v>142</v>
      </c>
      <c r="C181" s="2" t="s">
        <v>361</v>
      </c>
      <c r="D181" s="2">
        <v>6</v>
      </c>
      <c r="E181" s="2" t="s">
        <v>453</v>
      </c>
    </row>
    <row r="182" spans="1:5" x14ac:dyDescent="0.3">
      <c r="A182" s="2">
        <v>405127</v>
      </c>
      <c r="B182" s="2" t="s">
        <v>99</v>
      </c>
      <c r="C182" s="2" t="s">
        <v>361</v>
      </c>
      <c r="D182" s="2">
        <v>6</v>
      </c>
      <c r="E182" s="2" t="s">
        <v>453</v>
      </c>
    </row>
    <row r="183" spans="1:5" x14ac:dyDescent="0.3">
      <c r="A183" s="2">
        <v>405128</v>
      </c>
      <c r="B183" s="2" t="s">
        <v>125</v>
      </c>
      <c r="C183" s="2" t="s">
        <v>361</v>
      </c>
      <c r="D183" s="2">
        <v>6</v>
      </c>
      <c r="E183" s="2" t="s">
        <v>453</v>
      </c>
    </row>
    <row r="184" spans="1:5" x14ac:dyDescent="0.3">
      <c r="A184" s="2">
        <v>405129</v>
      </c>
      <c r="B184" s="2" t="s">
        <v>94</v>
      </c>
      <c r="C184" s="2" t="s">
        <v>361</v>
      </c>
      <c r="D184" s="2">
        <v>6</v>
      </c>
      <c r="E184" s="2" t="s">
        <v>453</v>
      </c>
    </row>
    <row r="185" spans="1:5" x14ac:dyDescent="0.3">
      <c r="A185" s="2">
        <v>405130</v>
      </c>
      <c r="B185" s="2" t="s">
        <v>148</v>
      </c>
      <c r="C185" s="2" t="s">
        <v>361</v>
      </c>
      <c r="D185" s="2">
        <v>6</v>
      </c>
      <c r="E185" s="2" t="s">
        <v>453</v>
      </c>
    </row>
    <row r="186" spans="1:5" x14ac:dyDescent="0.3">
      <c r="A186" s="2">
        <v>405131</v>
      </c>
      <c r="B186" s="2" t="s">
        <v>140</v>
      </c>
      <c r="C186" s="2" t="s">
        <v>361</v>
      </c>
      <c r="D186" s="2">
        <v>6</v>
      </c>
      <c r="E186" s="2" t="s">
        <v>453</v>
      </c>
    </row>
    <row r="187" spans="1:5" x14ac:dyDescent="0.3">
      <c r="A187" s="2">
        <v>405133</v>
      </c>
      <c r="B187" s="2" t="s">
        <v>219</v>
      </c>
      <c r="C187" s="2" t="s">
        <v>365</v>
      </c>
      <c r="D187" s="2">
        <v>4</v>
      </c>
      <c r="E187" s="2" t="s">
        <v>470</v>
      </c>
    </row>
    <row r="188" spans="1:5" x14ac:dyDescent="0.3">
      <c r="A188" s="2">
        <v>405159</v>
      </c>
      <c r="B188" s="2" t="s">
        <v>104</v>
      </c>
      <c r="C188" s="2" t="s">
        <v>361</v>
      </c>
      <c r="D188" s="2">
        <v>6</v>
      </c>
      <c r="E188" s="2" t="s">
        <v>453</v>
      </c>
    </row>
    <row r="189" spans="1:5" x14ac:dyDescent="0.3">
      <c r="A189" s="2">
        <v>405160</v>
      </c>
      <c r="B189" s="2" t="s">
        <v>100</v>
      </c>
      <c r="C189" s="2" t="s">
        <v>361</v>
      </c>
      <c r="D189" s="2">
        <v>6</v>
      </c>
      <c r="E189" s="2" t="s">
        <v>453</v>
      </c>
    </row>
    <row r="190" spans="1:5" x14ac:dyDescent="0.3">
      <c r="A190" s="2">
        <v>405168</v>
      </c>
      <c r="B190" s="2" t="s">
        <v>512</v>
      </c>
      <c r="C190" s="2" t="s">
        <v>361</v>
      </c>
      <c r="D190" s="2">
        <v>6</v>
      </c>
      <c r="E190" s="2" t="s">
        <v>453</v>
      </c>
    </row>
    <row r="191" spans="1:5" x14ac:dyDescent="0.3">
      <c r="A191" s="2">
        <v>405205</v>
      </c>
      <c r="B191" s="2" t="s">
        <v>98</v>
      </c>
      <c r="C191" s="2" t="s">
        <v>361</v>
      </c>
      <c r="D191" s="2">
        <v>6</v>
      </c>
      <c r="E191" s="2" t="s">
        <v>453</v>
      </c>
    </row>
    <row r="192" spans="1:5" x14ac:dyDescent="0.3">
      <c r="A192" s="2">
        <v>405206</v>
      </c>
      <c r="B192" s="2" t="s">
        <v>97</v>
      </c>
      <c r="C192" s="2" t="s">
        <v>361</v>
      </c>
      <c r="D192" s="2">
        <v>6</v>
      </c>
      <c r="E192" s="2" t="s">
        <v>453</v>
      </c>
    </row>
    <row r="193" spans="1:5" x14ac:dyDescent="0.3">
      <c r="A193" s="2">
        <v>405207</v>
      </c>
      <c r="B193" s="2" t="s">
        <v>96</v>
      </c>
      <c r="C193" s="2" t="s">
        <v>361</v>
      </c>
      <c r="D193" s="2">
        <v>6</v>
      </c>
      <c r="E193" s="2" t="s">
        <v>453</v>
      </c>
    </row>
    <row r="194" spans="1:5" x14ac:dyDescent="0.3">
      <c r="A194" s="2">
        <v>405246</v>
      </c>
      <c r="B194" s="2" t="s">
        <v>407</v>
      </c>
      <c r="C194" s="2" t="s">
        <v>417</v>
      </c>
      <c r="D194" s="2">
        <v>3</v>
      </c>
      <c r="E194" s="2" t="s">
        <v>513</v>
      </c>
    </row>
    <row r="195" spans="1:5" x14ac:dyDescent="0.3">
      <c r="A195" s="2">
        <v>405278</v>
      </c>
      <c r="B195" s="2" t="s">
        <v>56</v>
      </c>
      <c r="C195" s="2" t="s">
        <v>362</v>
      </c>
      <c r="D195" s="2">
        <v>2</v>
      </c>
      <c r="E195" s="2" t="s">
        <v>462</v>
      </c>
    </row>
    <row r="196" spans="1:5" x14ac:dyDescent="0.3">
      <c r="A196" s="2">
        <v>405283</v>
      </c>
      <c r="B196" s="2" t="s">
        <v>514</v>
      </c>
      <c r="C196" s="2" t="s">
        <v>362</v>
      </c>
      <c r="D196" s="2">
        <v>2</v>
      </c>
      <c r="E196" s="2" t="s">
        <v>475</v>
      </c>
    </row>
    <row r="197" spans="1:5" x14ac:dyDescent="0.3">
      <c r="A197" s="2">
        <v>405300</v>
      </c>
      <c r="B197" s="2" t="s">
        <v>91</v>
      </c>
      <c r="C197" s="2" t="s">
        <v>361</v>
      </c>
      <c r="D197" s="2">
        <v>6</v>
      </c>
      <c r="E197" s="2" t="s">
        <v>453</v>
      </c>
    </row>
    <row r="198" spans="1:5" x14ac:dyDescent="0.3">
      <c r="A198" s="2">
        <v>405301</v>
      </c>
      <c r="B198" s="2" t="s">
        <v>90</v>
      </c>
      <c r="C198" s="2" t="s">
        <v>361</v>
      </c>
      <c r="D198" s="2">
        <v>6</v>
      </c>
      <c r="E198" s="2" t="s">
        <v>453</v>
      </c>
    </row>
    <row r="199" spans="1:5" x14ac:dyDescent="0.3">
      <c r="A199" s="2">
        <v>405302</v>
      </c>
      <c r="B199" s="2" t="s">
        <v>92</v>
      </c>
      <c r="C199" s="2" t="s">
        <v>361</v>
      </c>
      <c r="D199" s="2">
        <v>6</v>
      </c>
      <c r="E199" s="2" t="s">
        <v>453</v>
      </c>
    </row>
    <row r="200" spans="1:5" x14ac:dyDescent="0.3">
      <c r="A200" s="2">
        <v>405305</v>
      </c>
      <c r="B200" s="2" t="s">
        <v>74</v>
      </c>
      <c r="C200" s="2" t="s">
        <v>363</v>
      </c>
      <c r="D200" s="2">
        <v>3</v>
      </c>
      <c r="E200" s="2" t="s">
        <v>515</v>
      </c>
    </row>
    <row r="201" spans="1:5" x14ac:dyDescent="0.3">
      <c r="A201" s="2">
        <v>405310</v>
      </c>
      <c r="B201" s="2" t="s">
        <v>132</v>
      </c>
      <c r="C201" s="2" t="s">
        <v>361</v>
      </c>
      <c r="D201" s="2">
        <v>6</v>
      </c>
      <c r="E201" s="2" t="s">
        <v>453</v>
      </c>
    </row>
    <row r="202" spans="1:5" x14ac:dyDescent="0.3">
      <c r="A202" s="2">
        <v>405319</v>
      </c>
      <c r="B202" s="2" t="s">
        <v>184</v>
      </c>
      <c r="C202" s="2" t="s">
        <v>378</v>
      </c>
      <c r="D202" s="2">
        <v>6</v>
      </c>
      <c r="E202" s="2" t="s">
        <v>475</v>
      </c>
    </row>
    <row r="203" spans="1:5" x14ac:dyDescent="0.3">
      <c r="A203" s="2">
        <v>405320</v>
      </c>
      <c r="B203" s="2" t="s">
        <v>516</v>
      </c>
      <c r="C203" s="2" t="s">
        <v>386</v>
      </c>
      <c r="D203" s="2">
        <v>3</v>
      </c>
      <c r="E203" s="2" t="s">
        <v>471</v>
      </c>
    </row>
    <row r="204" spans="1:5" x14ac:dyDescent="0.3">
      <c r="A204" s="2">
        <v>405330</v>
      </c>
      <c r="B204" s="2" t="s">
        <v>517</v>
      </c>
      <c r="C204" s="2" t="s">
        <v>386</v>
      </c>
      <c r="D204" s="2">
        <v>2</v>
      </c>
      <c r="E204" s="2" t="s">
        <v>518</v>
      </c>
    </row>
    <row r="205" spans="1:5" x14ac:dyDescent="0.3">
      <c r="A205" s="2">
        <v>405350</v>
      </c>
      <c r="B205" s="2" t="s">
        <v>519</v>
      </c>
      <c r="C205" s="2" t="s">
        <v>365</v>
      </c>
      <c r="D205" s="2">
        <v>9</v>
      </c>
      <c r="E205" s="2" t="s">
        <v>520</v>
      </c>
    </row>
    <row r="206" spans="1:5" x14ac:dyDescent="0.3">
      <c r="A206" s="2">
        <v>405352</v>
      </c>
      <c r="B206" s="2" t="s">
        <v>521</v>
      </c>
      <c r="C206" s="2" t="s">
        <v>361</v>
      </c>
      <c r="D206" s="2">
        <v>6</v>
      </c>
      <c r="E206" s="2" t="s">
        <v>453</v>
      </c>
    </row>
    <row r="207" spans="1:5" x14ac:dyDescent="0.3">
      <c r="A207" s="2">
        <v>405358</v>
      </c>
      <c r="B207" s="2" t="s">
        <v>76</v>
      </c>
      <c r="C207" s="2" t="s">
        <v>361</v>
      </c>
      <c r="D207" s="2">
        <v>6</v>
      </c>
      <c r="E207" s="2" t="s">
        <v>453</v>
      </c>
    </row>
    <row r="208" spans="1:5" x14ac:dyDescent="0.3">
      <c r="A208" s="2">
        <v>405359</v>
      </c>
      <c r="B208" s="2" t="s">
        <v>522</v>
      </c>
      <c r="C208" s="2" t="s">
        <v>361</v>
      </c>
      <c r="D208" s="2">
        <v>6</v>
      </c>
      <c r="E208" s="2" t="s">
        <v>453</v>
      </c>
    </row>
    <row r="209" spans="1:5" x14ac:dyDescent="0.3">
      <c r="A209" s="2">
        <v>405370</v>
      </c>
      <c r="B209" s="2" t="s">
        <v>523</v>
      </c>
      <c r="C209" s="2" t="s">
        <v>387</v>
      </c>
      <c r="D209" s="2">
        <v>3</v>
      </c>
      <c r="E209" s="2" t="s">
        <v>524</v>
      </c>
    </row>
    <row r="210" spans="1:5" x14ac:dyDescent="0.3">
      <c r="A210" s="2">
        <v>405376</v>
      </c>
      <c r="B210" s="2" t="s">
        <v>129</v>
      </c>
      <c r="C210" s="2" t="s">
        <v>361</v>
      </c>
      <c r="D210" s="2">
        <v>6</v>
      </c>
      <c r="E210" s="2" t="s">
        <v>453</v>
      </c>
    </row>
    <row r="211" spans="1:5" x14ac:dyDescent="0.3">
      <c r="A211" s="2">
        <v>405377</v>
      </c>
      <c r="B211" s="2" t="s">
        <v>126</v>
      </c>
      <c r="C211" s="2" t="s">
        <v>361</v>
      </c>
      <c r="D211" s="2">
        <v>6</v>
      </c>
      <c r="E211" s="2" t="s">
        <v>453</v>
      </c>
    </row>
    <row r="212" spans="1:5" x14ac:dyDescent="0.3">
      <c r="A212" s="2">
        <v>405378</v>
      </c>
      <c r="B212" s="2" t="s">
        <v>124</v>
      </c>
      <c r="C212" s="2" t="s">
        <v>361</v>
      </c>
      <c r="D212" s="2">
        <v>6</v>
      </c>
      <c r="E212" s="2" t="s">
        <v>453</v>
      </c>
    </row>
    <row r="213" spans="1:5" x14ac:dyDescent="0.3">
      <c r="A213" s="2">
        <v>405380</v>
      </c>
      <c r="B213" s="2" t="s">
        <v>525</v>
      </c>
      <c r="C213" s="2" t="s">
        <v>362</v>
      </c>
      <c r="D213" s="2">
        <v>2</v>
      </c>
      <c r="E213" s="2" t="s">
        <v>475</v>
      </c>
    </row>
    <row r="214" spans="1:5" x14ac:dyDescent="0.3">
      <c r="A214" s="2">
        <v>405382</v>
      </c>
      <c r="B214" s="2" t="s">
        <v>526</v>
      </c>
      <c r="C214" s="2" t="s">
        <v>387</v>
      </c>
      <c r="D214" s="2">
        <v>3</v>
      </c>
      <c r="E214" s="2" t="s">
        <v>439</v>
      </c>
    </row>
    <row r="215" spans="1:5" x14ac:dyDescent="0.3">
      <c r="A215" s="2">
        <v>501146</v>
      </c>
      <c r="B215" s="2" t="s">
        <v>527</v>
      </c>
      <c r="C215" s="2" t="s">
        <v>369</v>
      </c>
      <c r="D215" s="2">
        <v>15</v>
      </c>
      <c r="E215" s="2" t="s">
        <v>484</v>
      </c>
    </row>
    <row r="216" spans="1:5" x14ac:dyDescent="0.3">
      <c r="A216" s="2">
        <v>501147</v>
      </c>
      <c r="B216" s="2" t="s">
        <v>322</v>
      </c>
      <c r="C216" s="2" t="s">
        <v>385</v>
      </c>
      <c r="D216" s="2">
        <v>2</v>
      </c>
      <c r="E216" s="2" t="s">
        <v>442</v>
      </c>
    </row>
    <row r="217" spans="1:5" x14ac:dyDescent="0.3">
      <c r="A217" s="2">
        <v>100105</v>
      </c>
      <c r="B217" s="2" t="s">
        <v>337</v>
      </c>
      <c r="C217" s="2" t="s">
        <v>384</v>
      </c>
      <c r="D217" s="2">
        <v>3</v>
      </c>
      <c r="E217" s="2" t="s">
        <v>435</v>
      </c>
    </row>
    <row r="218" spans="1:5" x14ac:dyDescent="0.3">
      <c r="A218" s="2">
        <v>100207</v>
      </c>
      <c r="B218" s="2" t="s">
        <v>338</v>
      </c>
      <c r="C218" s="2" t="s">
        <v>384</v>
      </c>
      <c r="D218" s="2">
        <v>3</v>
      </c>
      <c r="E218" s="2" t="s">
        <v>449</v>
      </c>
    </row>
    <row r="219" spans="1:5" x14ac:dyDescent="0.3">
      <c r="A219" s="2">
        <v>100221</v>
      </c>
      <c r="B219" s="2" t="s">
        <v>340</v>
      </c>
      <c r="C219" s="2" t="s">
        <v>384</v>
      </c>
      <c r="D219" s="2">
        <v>3</v>
      </c>
      <c r="E219" s="2" t="s">
        <v>449</v>
      </c>
    </row>
    <row r="220" spans="1:5" x14ac:dyDescent="0.3">
      <c r="A220" s="2">
        <v>100236</v>
      </c>
      <c r="B220" s="2" t="s">
        <v>528</v>
      </c>
      <c r="C220" s="2" t="s">
        <v>384</v>
      </c>
      <c r="D220" s="2">
        <v>3</v>
      </c>
      <c r="E220" s="2" t="s">
        <v>449</v>
      </c>
    </row>
    <row r="221" spans="1:5" x14ac:dyDescent="0.3">
      <c r="A221" s="2">
        <v>100303</v>
      </c>
      <c r="B221" s="2" t="s">
        <v>323</v>
      </c>
      <c r="C221" s="2" t="s">
        <v>385</v>
      </c>
      <c r="D221" s="2">
        <v>2</v>
      </c>
      <c r="E221" s="2" t="s">
        <v>442</v>
      </c>
    </row>
    <row r="222" spans="1:5" x14ac:dyDescent="0.3">
      <c r="A222" s="2">
        <v>102237</v>
      </c>
      <c r="B222" s="2" t="s">
        <v>529</v>
      </c>
      <c r="C222" s="2" t="s">
        <v>384</v>
      </c>
      <c r="D222" s="2">
        <v>3</v>
      </c>
      <c r="E222" s="2" t="s">
        <v>449</v>
      </c>
    </row>
    <row r="223" spans="1:5" x14ac:dyDescent="0.3">
      <c r="A223" s="2">
        <v>102238</v>
      </c>
      <c r="B223" s="2" t="s">
        <v>530</v>
      </c>
      <c r="C223" s="2" t="s">
        <v>384</v>
      </c>
      <c r="D223" s="2">
        <v>3</v>
      </c>
      <c r="E223" s="2" t="s">
        <v>449</v>
      </c>
    </row>
    <row r="224" spans="1:5" x14ac:dyDescent="0.3">
      <c r="A224" s="2">
        <v>102239</v>
      </c>
      <c r="B224" s="2" t="s">
        <v>531</v>
      </c>
      <c r="C224" s="2" t="s">
        <v>384</v>
      </c>
      <c r="D224" s="2">
        <v>3</v>
      </c>
      <c r="E224" s="2" t="s">
        <v>449</v>
      </c>
    </row>
    <row r="225" spans="1:5" x14ac:dyDescent="0.3">
      <c r="A225" s="2">
        <v>103007</v>
      </c>
      <c r="B225" s="2" t="s">
        <v>327</v>
      </c>
      <c r="C225" s="2" t="s">
        <v>388</v>
      </c>
      <c r="D225" s="2">
        <v>2</v>
      </c>
      <c r="E225" s="2" t="s">
        <v>532</v>
      </c>
    </row>
    <row r="226" spans="1:5" x14ac:dyDescent="0.3">
      <c r="A226" s="2">
        <v>103104</v>
      </c>
      <c r="B226" s="2" t="s">
        <v>533</v>
      </c>
      <c r="C226" s="2" t="s">
        <v>391</v>
      </c>
      <c r="D226" s="2">
        <v>3</v>
      </c>
      <c r="E226" s="2" t="s">
        <v>439</v>
      </c>
    </row>
    <row r="227" spans="1:5" x14ac:dyDescent="0.3">
      <c r="A227" s="2">
        <v>104001</v>
      </c>
      <c r="B227" s="2" t="s">
        <v>534</v>
      </c>
      <c r="C227" s="2" t="s">
        <v>364</v>
      </c>
      <c r="D227" s="2">
        <v>3</v>
      </c>
      <c r="E227" s="2" t="s">
        <v>444</v>
      </c>
    </row>
    <row r="228" spans="1:5" x14ac:dyDescent="0.3">
      <c r="A228" s="2">
        <v>104003</v>
      </c>
      <c r="B228" s="2" t="s">
        <v>535</v>
      </c>
      <c r="C228" s="2" t="s">
        <v>364</v>
      </c>
      <c r="D228" s="2">
        <v>3</v>
      </c>
      <c r="E228" s="2" t="s">
        <v>446</v>
      </c>
    </row>
    <row r="229" spans="1:5" x14ac:dyDescent="0.3">
      <c r="A229" s="2">
        <v>104004</v>
      </c>
      <c r="B229" s="2" t="s">
        <v>252</v>
      </c>
      <c r="C229" s="2" t="s">
        <v>364</v>
      </c>
      <c r="D229" s="2">
        <v>3</v>
      </c>
      <c r="E229" s="2" t="s">
        <v>439</v>
      </c>
    </row>
    <row r="230" spans="1:5" x14ac:dyDescent="0.3">
      <c r="A230" s="2">
        <v>105001</v>
      </c>
      <c r="B230" s="2" t="s">
        <v>536</v>
      </c>
      <c r="C230" s="2" t="s">
        <v>417</v>
      </c>
      <c r="D230" s="2">
        <v>3</v>
      </c>
      <c r="E230" s="2" t="s">
        <v>537</v>
      </c>
    </row>
    <row r="231" spans="1:5" x14ac:dyDescent="0.3">
      <c r="A231" s="2">
        <v>105002</v>
      </c>
      <c r="B231" s="2" t="s">
        <v>538</v>
      </c>
      <c r="C231" s="2" t="s">
        <v>417</v>
      </c>
      <c r="D231" s="2">
        <v>3</v>
      </c>
      <c r="E231" s="2" t="s">
        <v>539</v>
      </c>
    </row>
    <row r="232" spans="1:5" x14ac:dyDescent="0.3">
      <c r="A232" s="2">
        <v>106302</v>
      </c>
      <c r="B232" s="2" t="s">
        <v>261</v>
      </c>
      <c r="C232" s="2" t="s">
        <v>363</v>
      </c>
      <c r="D232" s="2">
        <v>2</v>
      </c>
      <c r="E232" s="2" t="s">
        <v>444</v>
      </c>
    </row>
    <row r="233" spans="1:5" x14ac:dyDescent="0.3">
      <c r="A233" s="2">
        <v>107125</v>
      </c>
      <c r="B233" s="2" t="s">
        <v>280</v>
      </c>
      <c r="C233" s="2" t="s">
        <v>370</v>
      </c>
      <c r="D233" s="2">
        <v>3</v>
      </c>
      <c r="E233" s="2" t="s">
        <v>444</v>
      </c>
    </row>
    <row r="234" spans="1:5" x14ac:dyDescent="0.3">
      <c r="A234" s="2">
        <v>107130</v>
      </c>
      <c r="B234" s="2" t="s">
        <v>540</v>
      </c>
      <c r="C234" s="2" t="s">
        <v>368</v>
      </c>
      <c r="D234" s="2">
        <v>2</v>
      </c>
      <c r="E234" s="2" t="s">
        <v>442</v>
      </c>
    </row>
    <row r="235" spans="1:5" x14ac:dyDescent="0.3">
      <c r="A235" s="2">
        <v>107131</v>
      </c>
      <c r="B235" s="2" t="s">
        <v>335</v>
      </c>
      <c r="C235" s="2" t="s">
        <v>368</v>
      </c>
      <c r="D235" s="2">
        <v>2</v>
      </c>
      <c r="E235" s="2" t="s">
        <v>442</v>
      </c>
    </row>
    <row r="236" spans="1:5" x14ac:dyDescent="0.3">
      <c r="A236" s="2">
        <v>107144</v>
      </c>
      <c r="B236" s="2" t="s">
        <v>190</v>
      </c>
      <c r="C236" s="2" t="s">
        <v>380</v>
      </c>
      <c r="D236" s="2">
        <v>2</v>
      </c>
      <c r="E236" s="2" t="s">
        <v>442</v>
      </c>
    </row>
    <row r="237" spans="1:5" x14ac:dyDescent="0.3">
      <c r="A237" s="2">
        <v>107147</v>
      </c>
      <c r="B237" s="2" t="s">
        <v>325</v>
      </c>
      <c r="C237" s="2" t="s">
        <v>379</v>
      </c>
      <c r="D237" s="2">
        <v>2</v>
      </c>
      <c r="E237" s="2" t="s">
        <v>541</v>
      </c>
    </row>
    <row r="238" spans="1:5" x14ac:dyDescent="0.3">
      <c r="A238" s="2">
        <v>107148</v>
      </c>
      <c r="B238" s="2" t="s">
        <v>225</v>
      </c>
      <c r="C238" s="2" t="s">
        <v>363</v>
      </c>
      <c r="D238" s="2">
        <v>4</v>
      </c>
      <c r="E238" s="2" t="s">
        <v>542</v>
      </c>
    </row>
    <row r="239" spans="1:5" x14ac:dyDescent="0.3">
      <c r="A239" s="2">
        <v>107155</v>
      </c>
      <c r="B239" s="2" t="s">
        <v>329</v>
      </c>
      <c r="C239" s="2" t="s">
        <v>368</v>
      </c>
      <c r="D239" s="2">
        <v>2</v>
      </c>
      <c r="E239" s="2" t="s">
        <v>442</v>
      </c>
    </row>
    <row r="240" spans="1:5" x14ac:dyDescent="0.3">
      <c r="A240" s="2">
        <v>107156</v>
      </c>
      <c r="B240" s="2" t="s">
        <v>543</v>
      </c>
      <c r="C240" s="2" t="s">
        <v>368</v>
      </c>
      <c r="D240" s="2">
        <v>3</v>
      </c>
      <c r="E240" s="2" t="s">
        <v>434</v>
      </c>
    </row>
    <row r="241" spans="1:5" x14ac:dyDescent="0.3">
      <c r="A241" s="2">
        <v>107172</v>
      </c>
      <c r="B241" s="2" t="s">
        <v>200</v>
      </c>
      <c r="C241" s="2" t="s">
        <v>368</v>
      </c>
      <c r="D241" s="2">
        <v>2</v>
      </c>
      <c r="E241" s="2" t="s">
        <v>442</v>
      </c>
    </row>
    <row r="242" spans="1:5" x14ac:dyDescent="0.3">
      <c r="A242" s="2">
        <v>107183</v>
      </c>
      <c r="B242" s="2" t="s">
        <v>317</v>
      </c>
      <c r="C242" s="2" t="s">
        <v>380</v>
      </c>
      <c r="D242" s="2">
        <v>5</v>
      </c>
      <c r="E242" s="2" t="s">
        <v>441</v>
      </c>
    </row>
    <row r="243" spans="1:5" x14ac:dyDescent="0.3">
      <c r="A243" s="2">
        <v>107240</v>
      </c>
      <c r="B243" s="2" t="s">
        <v>270</v>
      </c>
      <c r="C243" s="2" t="s">
        <v>370</v>
      </c>
      <c r="D243" s="2">
        <v>3</v>
      </c>
      <c r="E243" s="2" t="s">
        <v>444</v>
      </c>
    </row>
    <row r="244" spans="1:5" x14ac:dyDescent="0.3">
      <c r="A244" s="2">
        <v>107263</v>
      </c>
      <c r="B244" s="2" t="s">
        <v>353</v>
      </c>
      <c r="C244" s="2" t="s">
        <v>368</v>
      </c>
      <c r="D244" s="2">
        <v>3</v>
      </c>
      <c r="E244" s="2" t="s">
        <v>435</v>
      </c>
    </row>
    <row r="245" spans="1:5" x14ac:dyDescent="0.3">
      <c r="A245" s="2">
        <v>107277</v>
      </c>
      <c r="B245" s="2" t="s">
        <v>544</v>
      </c>
      <c r="C245" s="2" t="s">
        <v>382</v>
      </c>
      <c r="D245" s="2">
        <v>3</v>
      </c>
      <c r="E245" s="2" t="s">
        <v>494</v>
      </c>
    </row>
    <row r="246" spans="1:5" x14ac:dyDescent="0.3">
      <c r="A246" s="2">
        <v>107287</v>
      </c>
      <c r="B246" s="2" t="s">
        <v>545</v>
      </c>
      <c r="C246" s="2" t="s">
        <v>417</v>
      </c>
      <c r="D246" s="2">
        <v>3</v>
      </c>
      <c r="E246" s="2" t="s">
        <v>546</v>
      </c>
    </row>
    <row r="247" spans="1:5" x14ac:dyDescent="0.3">
      <c r="A247" s="2">
        <v>107298</v>
      </c>
      <c r="B247" s="2" t="s">
        <v>547</v>
      </c>
      <c r="C247" s="2" t="s">
        <v>361</v>
      </c>
      <c r="D247" s="2">
        <v>6</v>
      </c>
      <c r="E247" s="2" t="s">
        <v>453</v>
      </c>
    </row>
    <row r="248" spans="1:5" x14ac:dyDescent="0.3">
      <c r="A248" s="2">
        <v>107301</v>
      </c>
      <c r="B248" s="2" t="s">
        <v>548</v>
      </c>
      <c r="C248" s="2" t="s">
        <v>384</v>
      </c>
      <c r="D248" s="2">
        <v>3</v>
      </c>
      <c r="E248" s="2" t="s">
        <v>435</v>
      </c>
    </row>
    <row r="249" spans="1:5" x14ac:dyDescent="0.3">
      <c r="A249" s="2">
        <v>107311</v>
      </c>
      <c r="B249" s="2" t="s">
        <v>319</v>
      </c>
      <c r="C249" s="2" t="s">
        <v>384</v>
      </c>
      <c r="D249" s="2">
        <v>3</v>
      </c>
      <c r="E249" s="2" t="s">
        <v>449</v>
      </c>
    </row>
    <row r="250" spans="1:5" x14ac:dyDescent="0.3">
      <c r="A250" s="2">
        <v>107320</v>
      </c>
      <c r="B250" s="2" t="s">
        <v>33</v>
      </c>
      <c r="C250" s="2" t="s">
        <v>368</v>
      </c>
      <c r="D250" s="2">
        <v>3</v>
      </c>
      <c r="E250" s="2" t="s">
        <v>435</v>
      </c>
    </row>
    <row r="251" spans="1:5" x14ac:dyDescent="0.3">
      <c r="A251" s="2">
        <v>107321</v>
      </c>
      <c r="B251" s="2" t="s">
        <v>330</v>
      </c>
      <c r="C251" s="2" t="s">
        <v>366</v>
      </c>
      <c r="D251" s="2">
        <v>3</v>
      </c>
      <c r="E251" s="2" t="s">
        <v>435</v>
      </c>
    </row>
    <row r="252" spans="1:5" x14ac:dyDescent="0.3">
      <c r="A252" s="2">
        <v>107325</v>
      </c>
      <c r="B252" s="2" t="s">
        <v>549</v>
      </c>
      <c r="C252" s="2" t="s">
        <v>365</v>
      </c>
      <c r="D252" s="2">
        <v>9</v>
      </c>
      <c r="E252" s="2" t="s">
        <v>520</v>
      </c>
    </row>
    <row r="253" spans="1:5" x14ac:dyDescent="0.3">
      <c r="A253" s="2">
        <v>107327</v>
      </c>
      <c r="B253" s="2" t="s">
        <v>550</v>
      </c>
      <c r="C253" s="2" t="s">
        <v>361</v>
      </c>
      <c r="D253" s="2">
        <v>6</v>
      </c>
      <c r="E253" s="2" t="s">
        <v>453</v>
      </c>
    </row>
    <row r="254" spans="1:5" x14ac:dyDescent="0.3">
      <c r="A254" s="2">
        <v>107336</v>
      </c>
      <c r="B254" s="2" t="s">
        <v>551</v>
      </c>
      <c r="C254" s="2" t="s">
        <v>375</v>
      </c>
      <c r="D254" s="2">
        <v>3</v>
      </c>
      <c r="E254" s="2" t="s">
        <v>552</v>
      </c>
    </row>
    <row r="255" spans="1:5" x14ac:dyDescent="0.3">
      <c r="A255" s="2">
        <v>107351</v>
      </c>
      <c r="B255" s="2" t="s">
        <v>346</v>
      </c>
      <c r="C255" s="2" t="s">
        <v>363</v>
      </c>
      <c r="D255" s="2">
        <v>2</v>
      </c>
      <c r="E255" s="2" t="s">
        <v>444</v>
      </c>
    </row>
    <row r="256" spans="1:5" x14ac:dyDescent="0.3">
      <c r="A256" s="2">
        <v>107358</v>
      </c>
      <c r="B256" s="2" t="s">
        <v>553</v>
      </c>
      <c r="C256" s="2" t="s">
        <v>368</v>
      </c>
      <c r="D256" s="2">
        <v>2</v>
      </c>
      <c r="E256" s="2" t="s">
        <v>442</v>
      </c>
    </row>
    <row r="257" spans="1:5" x14ac:dyDescent="0.3">
      <c r="A257" s="2">
        <v>107359</v>
      </c>
      <c r="B257" s="2" t="s">
        <v>336</v>
      </c>
      <c r="C257" s="2" t="s">
        <v>368</v>
      </c>
      <c r="D257" s="2">
        <v>2</v>
      </c>
      <c r="E257" s="2" t="s">
        <v>442</v>
      </c>
    </row>
    <row r="258" spans="1:5" x14ac:dyDescent="0.3">
      <c r="A258" s="2">
        <v>107404</v>
      </c>
      <c r="B258" s="2" t="s">
        <v>554</v>
      </c>
      <c r="C258" s="2" t="s">
        <v>386</v>
      </c>
      <c r="D258" s="2">
        <v>2</v>
      </c>
      <c r="E258" s="2" t="s">
        <v>482</v>
      </c>
    </row>
    <row r="259" spans="1:5" x14ac:dyDescent="0.3">
      <c r="A259" s="2">
        <v>170174</v>
      </c>
      <c r="B259" s="2" t="s">
        <v>555</v>
      </c>
      <c r="C259" s="2" t="s">
        <v>373</v>
      </c>
      <c r="D259" s="2">
        <v>3</v>
      </c>
      <c r="E259" s="2" t="s">
        <v>556</v>
      </c>
    </row>
    <row r="260" spans="1:5" x14ac:dyDescent="0.3">
      <c r="A260" s="2">
        <v>170175</v>
      </c>
      <c r="B260" s="2" t="s">
        <v>557</v>
      </c>
      <c r="C260" s="2" t="s">
        <v>368</v>
      </c>
      <c r="D260" s="2">
        <v>3</v>
      </c>
      <c r="E260" s="2" t="s">
        <v>435</v>
      </c>
    </row>
    <row r="261" spans="1:5" x14ac:dyDescent="0.3">
      <c r="A261" s="2">
        <v>170177</v>
      </c>
      <c r="B261" s="2" t="s">
        <v>558</v>
      </c>
      <c r="C261" s="2" t="s">
        <v>384</v>
      </c>
      <c r="D261" s="2">
        <v>3</v>
      </c>
      <c r="E261" s="2" t="s">
        <v>435</v>
      </c>
    </row>
    <row r="262" spans="1:5" x14ac:dyDescent="0.3">
      <c r="A262" s="2">
        <v>170179</v>
      </c>
      <c r="B262" s="2" t="s">
        <v>559</v>
      </c>
      <c r="C262" s="2" t="s">
        <v>376</v>
      </c>
      <c r="D262" s="2">
        <v>3</v>
      </c>
      <c r="E262" s="2" t="s">
        <v>435</v>
      </c>
    </row>
    <row r="263" spans="1:5" x14ac:dyDescent="0.3">
      <c r="A263" s="2">
        <v>201002</v>
      </c>
      <c r="B263" s="2" t="s">
        <v>275</v>
      </c>
      <c r="C263" s="2" t="s">
        <v>393</v>
      </c>
      <c r="D263" s="2">
        <v>3</v>
      </c>
      <c r="E263" s="2" t="s">
        <v>435</v>
      </c>
    </row>
    <row r="264" spans="1:5" x14ac:dyDescent="0.3">
      <c r="A264" s="2">
        <v>201005</v>
      </c>
      <c r="B264" s="2" t="s">
        <v>560</v>
      </c>
      <c r="C264" s="2" t="s">
        <v>417</v>
      </c>
      <c r="D264" s="2">
        <v>3</v>
      </c>
      <c r="E264" s="2" t="s">
        <v>561</v>
      </c>
    </row>
    <row r="265" spans="1:5" x14ac:dyDescent="0.3">
      <c r="A265" s="2">
        <v>201103</v>
      </c>
      <c r="B265" s="2" t="s">
        <v>351</v>
      </c>
      <c r="C265" s="2" t="s">
        <v>385</v>
      </c>
      <c r="D265" s="2">
        <v>3</v>
      </c>
      <c r="E265" s="2" t="s">
        <v>435</v>
      </c>
    </row>
    <row r="266" spans="1:5" x14ac:dyDescent="0.3">
      <c r="A266" s="2">
        <v>362106</v>
      </c>
      <c r="B266" s="2" t="s">
        <v>562</v>
      </c>
      <c r="C266" s="2" t="s">
        <v>366</v>
      </c>
      <c r="D266" s="2">
        <v>2</v>
      </c>
      <c r="E266" s="2" t="s">
        <v>563</v>
      </c>
    </row>
    <row r="267" spans="1:5" x14ac:dyDescent="0.3">
      <c r="A267" s="2">
        <v>393222</v>
      </c>
      <c r="B267" s="2" t="s">
        <v>349</v>
      </c>
      <c r="C267" s="2" t="s">
        <v>366</v>
      </c>
      <c r="D267" s="2">
        <v>3</v>
      </c>
      <c r="E267" s="2" t="s">
        <v>451</v>
      </c>
    </row>
    <row r="268" spans="1:5" x14ac:dyDescent="0.3">
      <c r="A268" s="2">
        <v>393322</v>
      </c>
      <c r="B268" s="2" t="s">
        <v>168</v>
      </c>
      <c r="C268" s="2" t="s">
        <v>378</v>
      </c>
      <c r="D268" s="2">
        <v>15</v>
      </c>
      <c r="E268" s="2" t="s">
        <v>457</v>
      </c>
    </row>
    <row r="269" spans="1:5" x14ac:dyDescent="0.3">
      <c r="A269" s="2">
        <v>400101</v>
      </c>
      <c r="B269" s="2" t="s">
        <v>564</v>
      </c>
      <c r="C269" s="2" t="s">
        <v>367</v>
      </c>
      <c r="D269" s="2">
        <v>6</v>
      </c>
      <c r="E269" s="2" t="s">
        <v>492</v>
      </c>
    </row>
    <row r="270" spans="1:5" x14ac:dyDescent="0.3">
      <c r="A270" s="2">
        <v>400205</v>
      </c>
      <c r="B270" s="2" t="s">
        <v>254</v>
      </c>
      <c r="C270" s="2" t="s">
        <v>367</v>
      </c>
      <c r="D270" s="2">
        <v>6</v>
      </c>
      <c r="E270" s="2" t="s">
        <v>492</v>
      </c>
    </row>
    <row r="271" spans="1:5" x14ac:dyDescent="0.3">
      <c r="A271" s="2">
        <v>400210</v>
      </c>
      <c r="B271" s="2" t="s">
        <v>565</v>
      </c>
      <c r="C271" s="2" t="s">
        <v>367</v>
      </c>
      <c r="D271" s="2">
        <v>11</v>
      </c>
      <c r="E271" s="2" t="s">
        <v>566</v>
      </c>
    </row>
    <row r="272" spans="1:5" x14ac:dyDescent="0.3">
      <c r="A272" s="2">
        <v>402124</v>
      </c>
      <c r="B272" s="2" t="s">
        <v>567</v>
      </c>
      <c r="C272" s="2" t="s">
        <v>384</v>
      </c>
      <c r="D272" s="2">
        <v>3</v>
      </c>
      <c r="E272" s="2" t="s">
        <v>435</v>
      </c>
    </row>
    <row r="273" spans="1:5" x14ac:dyDescent="0.3">
      <c r="A273" s="2">
        <v>402128</v>
      </c>
      <c r="B273" s="2" t="s">
        <v>341</v>
      </c>
      <c r="C273" s="2" t="s">
        <v>384</v>
      </c>
      <c r="D273" s="2">
        <v>3</v>
      </c>
      <c r="E273" s="2" t="s">
        <v>435</v>
      </c>
    </row>
    <row r="274" spans="1:5" x14ac:dyDescent="0.3">
      <c r="A274" s="2">
        <v>402130</v>
      </c>
      <c r="B274" s="2" t="s">
        <v>208</v>
      </c>
      <c r="C274" s="2" t="s">
        <v>363</v>
      </c>
      <c r="D274" s="2">
        <v>2</v>
      </c>
      <c r="E274" s="2" t="s">
        <v>444</v>
      </c>
    </row>
    <row r="275" spans="1:5" x14ac:dyDescent="0.3">
      <c r="A275" s="2">
        <v>403015</v>
      </c>
      <c r="B275" s="2" t="s">
        <v>345</v>
      </c>
      <c r="C275" s="2" t="s">
        <v>378</v>
      </c>
      <c r="D275" s="2">
        <v>6</v>
      </c>
      <c r="E275" s="2" t="s">
        <v>498</v>
      </c>
    </row>
    <row r="276" spans="1:5" x14ac:dyDescent="0.3">
      <c r="A276" s="2">
        <v>403219</v>
      </c>
      <c r="B276" s="2" t="s">
        <v>20</v>
      </c>
      <c r="C276" s="2" t="s">
        <v>362</v>
      </c>
      <c r="D276" s="2">
        <v>6</v>
      </c>
      <c r="E276" s="2" t="s">
        <v>498</v>
      </c>
    </row>
    <row r="277" spans="1:5" x14ac:dyDescent="0.3">
      <c r="A277" s="2">
        <v>403244</v>
      </c>
      <c r="B277" s="2" t="s">
        <v>271</v>
      </c>
      <c r="C277" s="2" t="s">
        <v>362</v>
      </c>
      <c r="D277" s="2">
        <v>2</v>
      </c>
      <c r="E277" s="2" t="s">
        <v>473</v>
      </c>
    </row>
    <row r="278" spans="1:5" x14ac:dyDescent="0.3">
      <c r="A278" s="2">
        <v>403245</v>
      </c>
      <c r="B278" s="2" t="s">
        <v>256</v>
      </c>
      <c r="C278" s="2" t="s">
        <v>378</v>
      </c>
      <c r="D278" s="2">
        <v>3</v>
      </c>
      <c r="E278" s="2" t="s">
        <v>568</v>
      </c>
    </row>
    <row r="279" spans="1:5" x14ac:dyDescent="0.3">
      <c r="A279" s="2">
        <v>403248</v>
      </c>
      <c r="B279" s="2" t="s">
        <v>569</v>
      </c>
      <c r="C279" s="2" t="s">
        <v>362</v>
      </c>
      <c r="D279" s="2">
        <v>2</v>
      </c>
      <c r="E279" s="2" t="s">
        <v>570</v>
      </c>
    </row>
    <row r="280" spans="1:5" x14ac:dyDescent="0.3">
      <c r="A280" s="2">
        <v>403271</v>
      </c>
      <c r="B280" s="2" t="s">
        <v>64</v>
      </c>
      <c r="C280" s="2" t="s">
        <v>378</v>
      </c>
      <c r="D280" s="2">
        <v>15</v>
      </c>
      <c r="E280" s="2" t="s">
        <v>461</v>
      </c>
    </row>
    <row r="281" spans="1:5" x14ac:dyDescent="0.3">
      <c r="A281" s="2">
        <v>403308</v>
      </c>
      <c r="B281" s="2" t="s">
        <v>571</v>
      </c>
      <c r="C281" s="2" t="s">
        <v>369</v>
      </c>
      <c r="D281" s="2">
        <v>15</v>
      </c>
      <c r="E281" s="2" t="s">
        <v>572</v>
      </c>
    </row>
    <row r="282" spans="1:5" x14ac:dyDescent="0.3">
      <c r="A282" s="2">
        <v>403331</v>
      </c>
      <c r="B282" s="2" t="s">
        <v>339</v>
      </c>
      <c r="C282" s="2" t="s">
        <v>384</v>
      </c>
      <c r="D282" s="2">
        <v>3</v>
      </c>
      <c r="E282" s="2" t="s">
        <v>435</v>
      </c>
    </row>
    <row r="283" spans="1:5" x14ac:dyDescent="0.3">
      <c r="A283" s="2">
        <v>403368</v>
      </c>
      <c r="B283" s="2" t="s">
        <v>320</v>
      </c>
      <c r="C283" s="2" t="s">
        <v>378</v>
      </c>
      <c r="D283" s="2">
        <v>15</v>
      </c>
      <c r="E283" s="2" t="s">
        <v>457</v>
      </c>
    </row>
    <row r="284" spans="1:5" x14ac:dyDescent="0.3">
      <c r="A284" s="2">
        <v>403373</v>
      </c>
      <c r="B284" s="2" t="s">
        <v>167</v>
      </c>
      <c r="C284" s="2" t="s">
        <v>378</v>
      </c>
      <c r="D284" s="2">
        <v>15</v>
      </c>
      <c r="E284" s="2" t="s">
        <v>457</v>
      </c>
    </row>
    <row r="285" spans="1:5" x14ac:dyDescent="0.3">
      <c r="A285" s="2">
        <v>403391</v>
      </c>
      <c r="B285" s="2" t="s">
        <v>332</v>
      </c>
      <c r="C285" s="2" t="s">
        <v>368</v>
      </c>
      <c r="D285" s="2">
        <v>2</v>
      </c>
      <c r="E285" s="2" t="s">
        <v>442</v>
      </c>
    </row>
    <row r="286" spans="1:5" x14ac:dyDescent="0.3">
      <c r="A286" s="2">
        <v>403408</v>
      </c>
      <c r="B286" s="2" t="s">
        <v>333</v>
      </c>
      <c r="C286" s="2" t="s">
        <v>368</v>
      </c>
      <c r="D286" s="2">
        <v>2</v>
      </c>
      <c r="E286" s="2" t="s">
        <v>442</v>
      </c>
    </row>
    <row r="287" spans="1:5" x14ac:dyDescent="0.3">
      <c r="A287" s="2">
        <v>404733</v>
      </c>
      <c r="B287" s="2" t="s">
        <v>573</v>
      </c>
      <c r="C287" s="2" t="s">
        <v>361</v>
      </c>
      <c r="D287" s="2">
        <v>6</v>
      </c>
      <c r="E287" s="2" t="s">
        <v>453</v>
      </c>
    </row>
    <row r="288" spans="1:5" x14ac:dyDescent="0.3">
      <c r="A288" s="2">
        <v>404755</v>
      </c>
      <c r="B288" s="2" t="s">
        <v>574</v>
      </c>
      <c r="C288" s="2" t="s">
        <v>361</v>
      </c>
      <c r="D288" s="2">
        <v>6</v>
      </c>
      <c r="E288" s="2" t="s">
        <v>453</v>
      </c>
    </row>
    <row r="289" spans="1:5" x14ac:dyDescent="0.3">
      <c r="A289" s="2">
        <v>404756</v>
      </c>
      <c r="B289" s="2" t="s">
        <v>575</v>
      </c>
      <c r="C289" s="2" t="s">
        <v>361</v>
      </c>
      <c r="D289" s="2">
        <v>6</v>
      </c>
      <c r="E289" s="2" t="s">
        <v>453</v>
      </c>
    </row>
    <row r="290" spans="1:5" x14ac:dyDescent="0.3">
      <c r="A290" s="2">
        <v>404757</v>
      </c>
      <c r="B290" s="2" t="s">
        <v>576</v>
      </c>
      <c r="C290" s="2" t="s">
        <v>361</v>
      </c>
      <c r="D290" s="2">
        <v>6</v>
      </c>
      <c r="E290" s="2" t="s">
        <v>453</v>
      </c>
    </row>
    <row r="291" spans="1:5" x14ac:dyDescent="0.3">
      <c r="A291" s="2">
        <v>405134</v>
      </c>
      <c r="B291" s="2" t="s">
        <v>239</v>
      </c>
      <c r="C291" s="2" t="s">
        <v>365</v>
      </c>
      <c r="D291" s="2">
        <v>4</v>
      </c>
      <c r="E291" s="2" t="s">
        <v>470</v>
      </c>
    </row>
    <row r="292" spans="1:5" x14ac:dyDescent="0.3">
      <c r="A292" s="2">
        <v>405161</v>
      </c>
      <c r="B292" s="2" t="s">
        <v>265</v>
      </c>
      <c r="C292" s="2" t="s">
        <v>376</v>
      </c>
      <c r="D292" s="2">
        <v>3</v>
      </c>
      <c r="E292" s="2" t="s">
        <v>450</v>
      </c>
    </row>
    <row r="293" spans="1:5" x14ac:dyDescent="0.3">
      <c r="A293" s="2">
        <v>405170</v>
      </c>
      <c r="B293" s="2" t="s">
        <v>577</v>
      </c>
      <c r="C293" s="2" t="s">
        <v>378</v>
      </c>
      <c r="D293" s="2">
        <v>0</v>
      </c>
      <c r="E293" s="2" t="s">
        <v>578</v>
      </c>
    </row>
    <row r="294" spans="1:5" x14ac:dyDescent="0.3">
      <c r="A294" s="2">
        <v>405172</v>
      </c>
      <c r="B294" s="2" t="s">
        <v>579</v>
      </c>
      <c r="C294" s="2" t="s">
        <v>361</v>
      </c>
      <c r="D294" s="2">
        <v>6</v>
      </c>
      <c r="E294" s="2" t="s">
        <v>453</v>
      </c>
    </row>
    <row r="295" spans="1:5" x14ac:dyDescent="0.3">
      <c r="A295" s="2">
        <v>405174</v>
      </c>
      <c r="B295" s="2" t="s">
        <v>580</v>
      </c>
      <c r="C295" s="2" t="s">
        <v>361</v>
      </c>
      <c r="D295" s="2">
        <v>6</v>
      </c>
      <c r="E295" s="2" t="s">
        <v>453</v>
      </c>
    </row>
    <row r="296" spans="1:5" x14ac:dyDescent="0.3">
      <c r="A296" s="2">
        <v>405176</v>
      </c>
      <c r="B296" s="2" t="s">
        <v>581</v>
      </c>
      <c r="C296" s="2" t="s">
        <v>361</v>
      </c>
      <c r="D296" s="2">
        <v>6</v>
      </c>
      <c r="E296" s="2" t="s">
        <v>453</v>
      </c>
    </row>
    <row r="297" spans="1:5" x14ac:dyDescent="0.3">
      <c r="A297" s="2">
        <v>405178</v>
      </c>
      <c r="B297" s="2" t="s">
        <v>582</v>
      </c>
      <c r="C297" s="2" t="s">
        <v>361</v>
      </c>
      <c r="D297" s="2">
        <v>6</v>
      </c>
      <c r="E297" s="2" t="s">
        <v>453</v>
      </c>
    </row>
    <row r="298" spans="1:5" x14ac:dyDescent="0.3">
      <c r="A298" s="2">
        <v>405180</v>
      </c>
      <c r="B298" s="2" t="s">
        <v>583</v>
      </c>
      <c r="C298" s="2" t="s">
        <v>361</v>
      </c>
      <c r="D298" s="2">
        <v>6</v>
      </c>
      <c r="E298" s="2" t="s">
        <v>453</v>
      </c>
    </row>
    <row r="299" spans="1:5" x14ac:dyDescent="0.3">
      <c r="A299" s="2">
        <v>405182</v>
      </c>
      <c r="B299" s="2" t="s">
        <v>584</v>
      </c>
      <c r="C299" s="2" t="s">
        <v>361</v>
      </c>
      <c r="D299" s="2">
        <v>6</v>
      </c>
      <c r="E299" s="2" t="s">
        <v>453</v>
      </c>
    </row>
    <row r="300" spans="1:5" x14ac:dyDescent="0.3">
      <c r="A300" s="2">
        <v>405186</v>
      </c>
      <c r="B300" s="2" t="s">
        <v>585</v>
      </c>
      <c r="C300" s="2" t="s">
        <v>361</v>
      </c>
      <c r="D300" s="2">
        <v>6</v>
      </c>
      <c r="E300" s="2" t="s">
        <v>453</v>
      </c>
    </row>
    <row r="301" spans="1:5" x14ac:dyDescent="0.3">
      <c r="A301" s="2">
        <v>405187</v>
      </c>
      <c r="B301" s="2" t="s">
        <v>586</v>
      </c>
      <c r="C301" s="2" t="s">
        <v>361</v>
      </c>
      <c r="D301" s="2">
        <v>6</v>
      </c>
      <c r="E301" s="2" t="s">
        <v>453</v>
      </c>
    </row>
    <row r="302" spans="1:5" x14ac:dyDescent="0.3">
      <c r="A302" s="2">
        <v>405189</v>
      </c>
      <c r="B302" s="2" t="s">
        <v>587</v>
      </c>
      <c r="C302" s="2" t="s">
        <v>361</v>
      </c>
      <c r="D302" s="2">
        <v>6</v>
      </c>
      <c r="E302" s="2" t="s">
        <v>453</v>
      </c>
    </row>
    <row r="303" spans="1:5" x14ac:dyDescent="0.3">
      <c r="A303" s="2">
        <v>405191</v>
      </c>
      <c r="B303" s="2" t="s">
        <v>588</v>
      </c>
      <c r="C303" s="2" t="s">
        <v>361</v>
      </c>
      <c r="D303" s="2">
        <v>6</v>
      </c>
      <c r="E303" s="2" t="s">
        <v>453</v>
      </c>
    </row>
    <row r="304" spans="1:5" x14ac:dyDescent="0.3">
      <c r="A304" s="2">
        <v>405193</v>
      </c>
      <c r="B304" s="2" t="s">
        <v>589</v>
      </c>
      <c r="C304" s="2" t="s">
        <v>361</v>
      </c>
      <c r="D304" s="2">
        <v>6</v>
      </c>
      <c r="E304" s="2" t="s">
        <v>453</v>
      </c>
    </row>
    <row r="305" spans="1:5" x14ac:dyDescent="0.3">
      <c r="A305" s="2">
        <v>405198</v>
      </c>
      <c r="B305" s="2" t="s">
        <v>590</v>
      </c>
      <c r="C305" s="2" t="s">
        <v>361</v>
      </c>
      <c r="D305" s="2">
        <v>6</v>
      </c>
      <c r="E305" s="2" t="s">
        <v>453</v>
      </c>
    </row>
    <row r="306" spans="1:5" x14ac:dyDescent="0.3">
      <c r="A306" s="2">
        <v>405199</v>
      </c>
      <c r="B306" s="2" t="s">
        <v>308</v>
      </c>
      <c r="C306" s="2" t="s">
        <v>361</v>
      </c>
      <c r="D306" s="2">
        <v>6</v>
      </c>
      <c r="E306" s="2" t="s">
        <v>453</v>
      </c>
    </row>
    <row r="307" spans="1:5" x14ac:dyDescent="0.3">
      <c r="A307" s="2">
        <v>405214</v>
      </c>
      <c r="B307" s="2" t="s">
        <v>268</v>
      </c>
      <c r="C307" s="2" t="s">
        <v>376</v>
      </c>
      <c r="D307" s="2">
        <v>3</v>
      </c>
      <c r="E307" s="2" t="s">
        <v>435</v>
      </c>
    </row>
    <row r="308" spans="1:5" x14ac:dyDescent="0.3">
      <c r="A308" s="2">
        <v>405216</v>
      </c>
      <c r="B308" s="2" t="s">
        <v>591</v>
      </c>
      <c r="C308" s="2" t="s">
        <v>361</v>
      </c>
      <c r="D308" s="2">
        <v>6</v>
      </c>
      <c r="E308" s="2" t="s">
        <v>453</v>
      </c>
    </row>
    <row r="309" spans="1:5" x14ac:dyDescent="0.3">
      <c r="A309" s="2">
        <v>405284</v>
      </c>
      <c r="B309" s="2" t="s">
        <v>592</v>
      </c>
      <c r="C309" s="2" t="s">
        <v>362</v>
      </c>
      <c r="D309" s="2">
        <v>2</v>
      </c>
      <c r="E309" s="2" t="s">
        <v>475</v>
      </c>
    </row>
    <row r="310" spans="1:5" x14ac:dyDescent="0.3">
      <c r="A310" s="2">
        <v>405285</v>
      </c>
      <c r="B310" s="2" t="s">
        <v>593</v>
      </c>
      <c r="C310" s="2" t="s">
        <v>382</v>
      </c>
      <c r="D310" s="2">
        <v>3</v>
      </c>
      <c r="E310" s="2" t="s">
        <v>494</v>
      </c>
    </row>
    <row r="311" spans="1:5" x14ac:dyDescent="0.3">
      <c r="A311" s="2">
        <v>405311</v>
      </c>
      <c r="B311" s="2" t="s">
        <v>358</v>
      </c>
      <c r="C311" s="2" t="s">
        <v>365</v>
      </c>
      <c r="D311" s="2">
        <v>7</v>
      </c>
      <c r="E311" s="2" t="s">
        <v>470</v>
      </c>
    </row>
    <row r="312" spans="1:5" x14ac:dyDescent="0.3">
      <c r="A312" s="2">
        <v>405312</v>
      </c>
      <c r="B312" s="2" t="s">
        <v>594</v>
      </c>
      <c r="C312" s="2" t="s">
        <v>361</v>
      </c>
      <c r="D312" s="2">
        <v>6</v>
      </c>
      <c r="E312" s="2" t="s">
        <v>453</v>
      </c>
    </row>
    <row r="313" spans="1:5" x14ac:dyDescent="0.3">
      <c r="A313" s="2">
        <v>405318</v>
      </c>
      <c r="B313" s="2" t="s">
        <v>331</v>
      </c>
      <c r="C313" s="2" t="s">
        <v>368</v>
      </c>
      <c r="D313" s="2">
        <v>2</v>
      </c>
      <c r="E313" s="2" t="s">
        <v>442</v>
      </c>
    </row>
    <row r="314" spans="1:5" x14ac:dyDescent="0.3">
      <c r="A314" s="2">
        <v>405331</v>
      </c>
      <c r="B314" s="2" t="s">
        <v>595</v>
      </c>
      <c r="C314" s="2" t="s">
        <v>386</v>
      </c>
      <c r="D314" s="2">
        <v>3</v>
      </c>
      <c r="E314" s="2" t="s">
        <v>518</v>
      </c>
    </row>
    <row r="315" spans="1:5" x14ac:dyDescent="0.3">
      <c r="A315" s="2">
        <v>405332</v>
      </c>
      <c r="B315" s="2" t="s">
        <v>596</v>
      </c>
      <c r="C315" s="2" t="s">
        <v>365</v>
      </c>
      <c r="D315" s="2">
        <v>3</v>
      </c>
      <c r="E315" s="2" t="s">
        <v>446</v>
      </c>
    </row>
    <row r="316" spans="1:5" x14ac:dyDescent="0.3">
      <c r="A316" s="2">
        <v>405333</v>
      </c>
      <c r="B316" s="2" t="s">
        <v>597</v>
      </c>
      <c r="C316" s="2" t="s">
        <v>375</v>
      </c>
      <c r="D316" s="2">
        <v>3</v>
      </c>
      <c r="E316" s="2" t="s">
        <v>598</v>
      </c>
    </row>
    <row r="317" spans="1:5" x14ac:dyDescent="0.3">
      <c r="A317" s="2">
        <v>405334</v>
      </c>
      <c r="B317" s="2" t="s">
        <v>599</v>
      </c>
      <c r="C317" s="2" t="s">
        <v>375</v>
      </c>
      <c r="D317" s="2">
        <v>3</v>
      </c>
      <c r="E317" s="2" t="s">
        <v>598</v>
      </c>
    </row>
    <row r="318" spans="1:5" x14ac:dyDescent="0.3">
      <c r="A318" s="2">
        <v>405336</v>
      </c>
      <c r="B318" s="2" t="s">
        <v>600</v>
      </c>
      <c r="C318" s="2" t="s">
        <v>372</v>
      </c>
      <c r="D318" s="2">
        <v>3</v>
      </c>
      <c r="E318" s="2" t="s">
        <v>601</v>
      </c>
    </row>
    <row r="319" spans="1:5" x14ac:dyDescent="0.3">
      <c r="A319" s="2">
        <v>405346</v>
      </c>
      <c r="B319" s="2" t="s">
        <v>602</v>
      </c>
      <c r="C319" s="2" t="s">
        <v>378</v>
      </c>
      <c r="D319" s="2">
        <v>3</v>
      </c>
      <c r="E319" s="2" t="s">
        <v>475</v>
      </c>
    </row>
    <row r="320" spans="1:5" x14ac:dyDescent="0.3">
      <c r="A320" s="2">
        <v>405347</v>
      </c>
      <c r="B320" s="2" t="s">
        <v>603</v>
      </c>
      <c r="C320" s="2" t="s">
        <v>378</v>
      </c>
      <c r="D320" s="2">
        <v>3</v>
      </c>
      <c r="E320" s="2" t="s">
        <v>475</v>
      </c>
    </row>
    <row r="321" spans="1:5" x14ac:dyDescent="0.3">
      <c r="A321" s="2">
        <v>405353</v>
      </c>
      <c r="B321" s="2" t="s">
        <v>82</v>
      </c>
      <c r="C321" s="2" t="s">
        <v>361</v>
      </c>
      <c r="D321" s="2">
        <v>6</v>
      </c>
      <c r="E321" s="2" t="s">
        <v>453</v>
      </c>
    </row>
    <row r="322" spans="1:5" x14ac:dyDescent="0.3">
      <c r="A322" s="2">
        <v>405354</v>
      </c>
      <c r="B322" s="2" t="s">
        <v>285</v>
      </c>
      <c r="C322" s="2" t="s">
        <v>361</v>
      </c>
      <c r="D322" s="2">
        <v>6</v>
      </c>
      <c r="E322" s="2" t="s">
        <v>453</v>
      </c>
    </row>
    <row r="323" spans="1:5" x14ac:dyDescent="0.3">
      <c r="A323" s="2">
        <v>405355</v>
      </c>
      <c r="B323" s="2" t="s">
        <v>604</v>
      </c>
      <c r="C323" s="2" t="s">
        <v>361</v>
      </c>
      <c r="D323" s="2">
        <v>6</v>
      </c>
      <c r="E323" s="2" t="s">
        <v>453</v>
      </c>
    </row>
    <row r="324" spans="1:5" x14ac:dyDescent="0.3">
      <c r="A324" s="2">
        <v>405356</v>
      </c>
      <c r="B324" s="2" t="s">
        <v>287</v>
      </c>
      <c r="C324" s="2" t="s">
        <v>361</v>
      </c>
      <c r="D324" s="2">
        <v>6</v>
      </c>
      <c r="E324" s="2" t="s">
        <v>453</v>
      </c>
    </row>
    <row r="325" spans="1:5" x14ac:dyDescent="0.3">
      <c r="A325" s="2">
        <v>405357</v>
      </c>
      <c r="B325" s="2" t="s">
        <v>288</v>
      </c>
      <c r="C325" s="2" t="s">
        <v>361</v>
      </c>
      <c r="D325" s="2">
        <v>6</v>
      </c>
      <c r="E325" s="2" t="s">
        <v>453</v>
      </c>
    </row>
    <row r="326" spans="1:5" x14ac:dyDescent="0.3">
      <c r="A326" s="2">
        <v>405360</v>
      </c>
      <c r="B326" s="2" t="s">
        <v>605</v>
      </c>
      <c r="C326" s="2" t="s">
        <v>361</v>
      </c>
      <c r="D326" s="2">
        <v>6</v>
      </c>
      <c r="E326" s="2" t="s">
        <v>453</v>
      </c>
    </row>
    <row r="327" spans="1:5" x14ac:dyDescent="0.3">
      <c r="A327" s="2">
        <v>405374</v>
      </c>
      <c r="B327" s="2" t="s">
        <v>606</v>
      </c>
      <c r="C327" s="2" t="s">
        <v>362</v>
      </c>
      <c r="D327" s="2">
        <v>2</v>
      </c>
      <c r="E327" s="2" t="s">
        <v>607</v>
      </c>
    </row>
    <row r="328" spans="1:5" x14ac:dyDescent="0.3">
      <c r="A328" s="2">
        <v>405375</v>
      </c>
      <c r="B328" s="2" t="s">
        <v>608</v>
      </c>
      <c r="C328" s="2" t="s">
        <v>362</v>
      </c>
      <c r="D328" s="2">
        <v>0</v>
      </c>
      <c r="E328" s="2" t="s">
        <v>607</v>
      </c>
    </row>
    <row r="329" spans="1:5" x14ac:dyDescent="0.3">
      <c r="A329" s="2">
        <v>107266</v>
      </c>
      <c r="B329" s="2" t="s">
        <v>131</v>
      </c>
      <c r="C329" s="2" t="s">
        <v>361</v>
      </c>
      <c r="D329" s="2">
        <v>6</v>
      </c>
      <c r="E329" s="2" t="s">
        <v>453</v>
      </c>
    </row>
    <row r="330" spans="1:5" x14ac:dyDescent="0.3">
      <c r="A330" s="2">
        <v>405340</v>
      </c>
      <c r="B330" s="2" t="s">
        <v>177</v>
      </c>
      <c r="C330" s="2" t="s">
        <v>366</v>
      </c>
      <c r="D330" s="2">
        <v>2</v>
      </c>
      <c r="E330" s="2" t="s">
        <v>484</v>
      </c>
    </row>
    <row r="331" spans="1:5" x14ac:dyDescent="0.3">
      <c r="A331" s="2">
        <v>405400</v>
      </c>
      <c r="B331" s="2" t="s">
        <v>609</v>
      </c>
      <c r="C331" s="2" t="s">
        <v>361</v>
      </c>
      <c r="D331" s="2">
        <v>6</v>
      </c>
      <c r="E331" s="2" t="s">
        <v>453</v>
      </c>
    </row>
    <row r="332" spans="1:5" x14ac:dyDescent="0.3">
      <c r="A332" s="2">
        <v>107348</v>
      </c>
      <c r="B332" s="2" t="s">
        <v>212</v>
      </c>
      <c r="C332" s="2" t="s">
        <v>370</v>
      </c>
      <c r="D332" s="2">
        <v>2</v>
      </c>
      <c r="E332" s="2" t="s">
        <v>610</v>
      </c>
    </row>
    <row r="333" spans="1:5" x14ac:dyDescent="0.3">
      <c r="A333" s="2">
        <v>405351</v>
      </c>
      <c r="B333" s="2" t="s">
        <v>611</v>
      </c>
      <c r="C333" s="2" t="s">
        <v>361</v>
      </c>
      <c r="D333" s="2">
        <v>6</v>
      </c>
      <c r="E333" s="2" t="s">
        <v>453</v>
      </c>
    </row>
    <row r="334" spans="1:5" x14ac:dyDescent="0.3">
      <c r="A334" s="2">
        <v>107302</v>
      </c>
      <c r="B334" s="2" t="s">
        <v>7</v>
      </c>
      <c r="C334" s="2" t="s">
        <v>365</v>
      </c>
      <c r="D334" s="2">
        <v>3</v>
      </c>
      <c r="E334" s="2" t="s">
        <v>435</v>
      </c>
    </row>
    <row r="335" spans="1:5" x14ac:dyDescent="0.3">
      <c r="A335" s="2">
        <v>405345</v>
      </c>
      <c r="B335" s="2" t="s">
        <v>612</v>
      </c>
      <c r="C335" s="2" t="s">
        <v>366</v>
      </c>
      <c r="D335" s="2">
        <v>2</v>
      </c>
      <c r="E335" s="2" t="s">
        <v>484</v>
      </c>
    </row>
    <row r="336" spans="1:5" x14ac:dyDescent="0.3">
      <c r="A336" s="2">
        <v>403330</v>
      </c>
      <c r="B336" s="2" t="s">
        <v>613</v>
      </c>
      <c r="C336" s="2" t="s">
        <v>384</v>
      </c>
      <c r="D336" s="2">
        <v>3</v>
      </c>
      <c r="E336" s="2" t="s">
        <v>435</v>
      </c>
    </row>
    <row r="337" spans="1:5" x14ac:dyDescent="0.3">
      <c r="A337" s="2">
        <v>405409</v>
      </c>
      <c r="B337" s="2" t="s">
        <v>614</v>
      </c>
      <c r="C337" s="2" t="s">
        <v>365</v>
      </c>
      <c r="D337" s="2">
        <v>3</v>
      </c>
      <c r="E337" s="2" t="s">
        <v>435</v>
      </c>
    </row>
    <row r="338" spans="1:5" x14ac:dyDescent="0.3">
      <c r="A338" s="2">
        <v>405408</v>
      </c>
      <c r="B338" s="2" t="s">
        <v>192</v>
      </c>
      <c r="C338" s="2" t="s">
        <v>366</v>
      </c>
      <c r="D338" s="2">
        <v>2</v>
      </c>
      <c r="E338" s="2" t="s">
        <v>563</v>
      </c>
    </row>
    <row r="339" spans="1:5" x14ac:dyDescent="0.3">
      <c r="A339" s="2">
        <v>404314</v>
      </c>
      <c r="B339" s="2" t="s">
        <v>53</v>
      </c>
      <c r="C339" s="2" t="s">
        <v>362</v>
      </c>
      <c r="D339" s="2">
        <v>4</v>
      </c>
      <c r="E339" s="2" t="s">
        <v>607</v>
      </c>
    </row>
    <row r="340" spans="1:5" x14ac:dyDescent="0.3">
      <c r="A340" s="2">
        <v>107123</v>
      </c>
      <c r="B340" s="2" t="s">
        <v>615</v>
      </c>
      <c r="C340" s="2" t="s">
        <v>371</v>
      </c>
      <c r="D340" s="2">
        <v>2</v>
      </c>
      <c r="E340" s="2" t="s">
        <v>444</v>
      </c>
    </row>
    <row r="341" spans="1:5" x14ac:dyDescent="0.3">
      <c r="A341" s="2">
        <v>405371</v>
      </c>
      <c r="B341" s="2" t="s">
        <v>238</v>
      </c>
      <c r="C341" s="2" t="s">
        <v>365</v>
      </c>
      <c r="D341" s="2">
        <v>4</v>
      </c>
      <c r="E341" s="2" t="s">
        <v>470</v>
      </c>
    </row>
    <row r="342" spans="1:5" x14ac:dyDescent="0.3">
      <c r="A342" s="2">
        <v>405373</v>
      </c>
      <c r="B342" s="2" t="s">
        <v>25</v>
      </c>
      <c r="C342" s="2" t="s">
        <v>365</v>
      </c>
      <c r="D342" s="2">
        <v>4</v>
      </c>
      <c r="E342" s="2" t="s">
        <v>470</v>
      </c>
    </row>
    <row r="343" spans="1:5" x14ac:dyDescent="0.3">
      <c r="A343" s="2">
        <v>405420</v>
      </c>
      <c r="B343" s="2" t="s">
        <v>193</v>
      </c>
      <c r="C343" s="2" t="s">
        <v>378</v>
      </c>
      <c r="D343" s="2">
        <v>6</v>
      </c>
      <c r="E343" s="2" t="s">
        <v>498</v>
      </c>
    </row>
    <row r="344" spans="1:5" x14ac:dyDescent="0.3">
      <c r="A344" s="2">
        <v>107329</v>
      </c>
      <c r="B344" s="2" t="s">
        <v>458</v>
      </c>
      <c r="C344" s="2" t="s">
        <v>371</v>
      </c>
      <c r="D344" s="2">
        <v>2</v>
      </c>
      <c r="E344" s="2"/>
    </row>
    <row r="345" spans="1:5" x14ac:dyDescent="0.3">
      <c r="A345" s="2">
        <v>362099</v>
      </c>
      <c r="B345" s="2" t="s">
        <v>403</v>
      </c>
      <c r="C345" s="2" t="s">
        <v>366</v>
      </c>
      <c r="D345" s="2">
        <v>2</v>
      </c>
      <c r="E345" s="2" t="s">
        <v>484</v>
      </c>
    </row>
    <row r="346" spans="1:5" x14ac:dyDescent="0.3">
      <c r="A346" s="2">
        <v>402111</v>
      </c>
      <c r="B346" s="2" t="s">
        <v>155</v>
      </c>
      <c r="C346" s="2" t="s">
        <v>381</v>
      </c>
      <c r="D346" s="2">
        <v>4</v>
      </c>
      <c r="E346" s="2" t="e">
        <v>#N/A</v>
      </c>
    </row>
    <row r="347" spans="1:5" x14ac:dyDescent="0.3">
      <c r="A347" s="2">
        <v>405306</v>
      </c>
      <c r="B347" s="2" t="s">
        <v>616</v>
      </c>
      <c r="C347" s="2" t="s">
        <v>368</v>
      </c>
      <c r="D347" s="2">
        <v>3</v>
      </c>
      <c r="E347" s="2" t="s">
        <v>617</v>
      </c>
    </row>
    <row r="348" spans="1:5" x14ac:dyDescent="0.3">
      <c r="A348" s="2">
        <v>405307</v>
      </c>
      <c r="B348" s="2" t="s">
        <v>618</v>
      </c>
      <c r="C348" s="2" t="s">
        <v>365</v>
      </c>
      <c r="D348" s="2">
        <v>4</v>
      </c>
      <c r="E348" s="2" t="s">
        <v>470</v>
      </c>
    </row>
    <row r="349" spans="1:5" x14ac:dyDescent="0.3">
      <c r="A349" s="2">
        <v>404742</v>
      </c>
      <c r="B349" s="2" t="s">
        <v>619</v>
      </c>
      <c r="C349" s="2" t="s">
        <v>361</v>
      </c>
      <c r="D349" s="2">
        <v>6</v>
      </c>
      <c r="E349" s="2" t="s">
        <v>453</v>
      </c>
    </row>
    <row r="350" spans="1:5" x14ac:dyDescent="0.3">
      <c r="A350" s="2">
        <v>405401</v>
      </c>
      <c r="B350" s="2" t="s">
        <v>620</v>
      </c>
      <c r="C350" s="2" t="s">
        <v>361</v>
      </c>
      <c r="D350" s="2">
        <v>6</v>
      </c>
      <c r="E350" s="2" t="s">
        <v>453</v>
      </c>
    </row>
    <row r="351" spans="1:5" x14ac:dyDescent="0.3">
      <c r="A351" s="2">
        <v>104013</v>
      </c>
      <c r="B351" s="2" t="s">
        <v>160</v>
      </c>
      <c r="C351" s="2" t="s">
        <v>383</v>
      </c>
      <c r="D351" s="2">
        <v>2</v>
      </c>
      <c r="E351" s="2" t="s">
        <v>621</v>
      </c>
    </row>
    <row r="352" spans="1:5" x14ac:dyDescent="0.3">
      <c r="A352" s="2">
        <v>405444</v>
      </c>
      <c r="B352" s="2" t="s">
        <v>55</v>
      </c>
      <c r="C352" s="2" t="s">
        <v>362</v>
      </c>
      <c r="D352" s="2">
        <v>2</v>
      </c>
      <c r="E352" s="2" t="s">
        <v>622</v>
      </c>
    </row>
    <row r="353" spans="1:5" x14ac:dyDescent="0.3">
      <c r="A353" s="2">
        <v>405445</v>
      </c>
      <c r="B353" s="2" t="s">
        <v>6</v>
      </c>
      <c r="C353" s="2" t="s">
        <v>362</v>
      </c>
      <c r="D353" s="2">
        <v>2</v>
      </c>
      <c r="E353" s="2" t="s">
        <v>622</v>
      </c>
    </row>
    <row r="354" spans="1:5" x14ac:dyDescent="0.3">
      <c r="A354" s="2">
        <v>405049</v>
      </c>
      <c r="B354" s="2" t="s">
        <v>101</v>
      </c>
      <c r="C354" s="2" t="s">
        <v>361</v>
      </c>
      <c r="D354" s="2">
        <v>6</v>
      </c>
      <c r="E354" s="2" t="s">
        <v>453</v>
      </c>
    </row>
    <row r="355" spans="1:5" x14ac:dyDescent="0.3">
      <c r="A355" s="2">
        <v>403310</v>
      </c>
      <c r="B355" s="2" t="s">
        <v>623</v>
      </c>
      <c r="C355" s="2" t="s">
        <v>369</v>
      </c>
      <c r="D355" s="2">
        <v>15</v>
      </c>
      <c r="E355" s="2" t="s">
        <v>572</v>
      </c>
    </row>
    <row r="356" spans="1:5" x14ac:dyDescent="0.3">
      <c r="A356" s="2">
        <v>405383</v>
      </c>
      <c r="B356" s="2" t="s">
        <v>624</v>
      </c>
      <c r="C356" s="2" t="s">
        <v>362</v>
      </c>
      <c r="D356" s="2">
        <v>15</v>
      </c>
      <c r="E356" s="2" t="s">
        <v>625</v>
      </c>
    </row>
    <row r="357" spans="1:5" x14ac:dyDescent="0.3">
      <c r="A357" s="2">
        <v>405447</v>
      </c>
      <c r="B357" s="2" t="s">
        <v>199</v>
      </c>
      <c r="C357" s="2" t="s">
        <v>368</v>
      </c>
      <c r="D357" s="2">
        <v>2</v>
      </c>
      <c r="E357" s="2" t="s">
        <v>442</v>
      </c>
    </row>
    <row r="358" spans="1:5" x14ac:dyDescent="0.3">
      <c r="A358" s="2">
        <v>405427</v>
      </c>
      <c r="B358" s="2" t="s">
        <v>34</v>
      </c>
      <c r="C358" s="2" t="s">
        <v>374</v>
      </c>
      <c r="D358" s="2">
        <v>9</v>
      </c>
      <c r="E358" s="2" t="s">
        <v>626</v>
      </c>
    </row>
    <row r="359" spans="1:5" x14ac:dyDescent="0.3">
      <c r="A359" s="2">
        <v>107346</v>
      </c>
      <c r="B359" s="2" t="s">
        <v>211</v>
      </c>
      <c r="C359" s="2" t="s">
        <v>371</v>
      </c>
      <c r="D359" s="2">
        <v>2</v>
      </c>
      <c r="E359" s="2" t="s">
        <v>610</v>
      </c>
    </row>
    <row r="360" spans="1:5" x14ac:dyDescent="0.3">
      <c r="A360" s="2">
        <v>405436</v>
      </c>
      <c r="B360" s="2" t="s">
        <v>218</v>
      </c>
      <c r="C360" s="2" t="s">
        <v>368</v>
      </c>
      <c r="D360" s="2">
        <v>2</v>
      </c>
      <c r="E360" s="2" t="s">
        <v>442</v>
      </c>
    </row>
    <row r="361" spans="1:5" x14ac:dyDescent="0.3">
      <c r="A361" s="2">
        <v>405449</v>
      </c>
      <c r="B361" s="2" t="s">
        <v>86</v>
      </c>
      <c r="C361" s="2" t="s">
        <v>361</v>
      </c>
      <c r="D361" s="2">
        <v>6</v>
      </c>
      <c r="E361" s="2" t="s">
        <v>453</v>
      </c>
    </row>
    <row r="362" spans="1:5" x14ac:dyDescent="0.3">
      <c r="A362" s="2">
        <v>107176</v>
      </c>
      <c r="B362" s="2" t="s">
        <v>627</v>
      </c>
      <c r="C362" s="2" t="s">
        <v>373</v>
      </c>
      <c r="D362" s="2">
        <v>3</v>
      </c>
      <c r="E362" s="2" t="s">
        <v>455</v>
      </c>
    </row>
    <row r="363" spans="1:5" x14ac:dyDescent="0.3">
      <c r="A363" s="2">
        <v>405446</v>
      </c>
      <c r="B363" s="2" t="s">
        <v>628</v>
      </c>
      <c r="C363" s="2" t="s">
        <v>386</v>
      </c>
      <c r="D363" s="2">
        <v>3</v>
      </c>
      <c r="E363" s="2" t="s">
        <v>629</v>
      </c>
    </row>
    <row r="364" spans="1:5" x14ac:dyDescent="0.3">
      <c r="A364" s="2">
        <v>405465</v>
      </c>
      <c r="B364" s="2" t="s">
        <v>630</v>
      </c>
      <c r="C364" s="2" t="s">
        <v>386</v>
      </c>
      <c r="D364" s="2">
        <v>3</v>
      </c>
      <c r="E364" s="2" t="s">
        <v>629</v>
      </c>
    </row>
    <row r="365" spans="1:5" x14ac:dyDescent="0.3">
      <c r="A365" s="2">
        <v>403334</v>
      </c>
      <c r="B365" s="2" t="s">
        <v>631</v>
      </c>
      <c r="C365" s="2" t="s">
        <v>379</v>
      </c>
      <c r="D365" s="2">
        <v>2</v>
      </c>
      <c r="E365" s="2" t="s">
        <v>446</v>
      </c>
    </row>
    <row r="366" spans="1:5" x14ac:dyDescent="0.3">
      <c r="A366" s="2">
        <v>403315</v>
      </c>
      <c r="B366" s="2" t="s">
        <v>632</v>
      </c>
      <c r="C366" s="2" t="s">
        <v>369</v>
      </c>
      <c r="D366" s="2">
        <v>15</v>
      </c>
      <c r="E366" s="2" t="s">
        <v>572</v>
      </c>
    </row>
    <row r="367" spans="1:5" x14ac:dyDescent="0.3">
      <c r="A367" s="2">
        <v>100304</v>
      </c>
      <c r="B367" s="2" t="s">
        <v>633</v>
      </c>
      <c r="C367" s="2" t="s">
        <v>385</v>
      </c>
      <c r="D367" s="2">
        <v>3</v>
      </c>
      <c r="E367" s="2" t="s">
        <v>434</v>
      </c>
    </row>
    <row r="368" spans="1:5" x14ac:dyDescent="0.3">
      <c r="A368" s="2">
        <v>107344</v>
      </c>
      <c r="B368" s="2" t="s">
        <v>57</v>
      </c>
      <c r="C368" s="2" t="s">
        <v>362</v>
      </c>
      <c r="D368" s="2">
        <v>2</v>
      </c>
      <c r="E368" s="2" t="s">
        <v>462</v>
      </c>
    </row>
    <row r="369" spans="1:5" x14ac:dyDescent="0.3">
      <c r="A369" s="2">
        <v>107415</v>
      </c>
      <c r="B369" s="2" t="s">
        <v>153</v>
      </c>
      <c r="C369" s="2" t="s">
        <v>371</v>
      </c>
      <c r="D369" s="2">
        <v>2</v>
      </c>
      <c r="E369" s="2" t="s">
        <v>442</v>
      </c>
    </row>
    <row r="370" spans="1:5" x14ac:dyDescent="0.3">
      <c r="A370" s="2">
        <v>107401</v>
      </c>
      <c r="B370" s="2" t="s">
        <v>73</v>
      </c>
      <c r="C370" s="2" t="s">
        <v>371</v>
      </c>
      <c r="D370" s="2">
        <v>2</v>
      </c>
      <c r="E370" s="2" t="s">
        <v>610</v>
      </c>
    </row>
    <row r="371" spans="1:5" x14ac:dyDescent="0.3">
      <c r="A371" s="2">
        <v>107299</v>
      </c>
      <c r="B371" s="2" t="s">
        <v>634</v>
      </c>
      <c r="C371" s="2" t="s">
        <v>362</v>
      </c>
      <c r="D371" s="2">
        <v>2</v>
      </c>
      <c r="E371" s="2" t="s">
        <v>635</v>
      </c>
    </row>
    <row r="372" spans="1:5" x14ac:dyDescent="0.3">
      <c r="A372" s="2">
        <v>405228</v>
      </c>
      <c r="B372" s="2" t="s">
        <v>636</v>
      </c>
      <c r="C372" s="2" t="s">
        <v>362</v>
      </c>
      <c r="D372" s="2">
        <v>3</v>
      </c>
      <c r="E372" s="2" t="s">
        <v>635</v>
      </c>
    </row>
    <row r="373" spans="1:5" x14ac:dyDescent="0.3">
      <c r="A373" s="2">
        <v>403306</v>
      </c>
      <c r="B373" s="2" t="s">
        <v>637</v>
      </c>
      <c r="C373" s="2" t="s">
        <v>369</v>
      </c>
      <c r="D373" s="2">
        <v>15</v>
      </c>
      <c r="E373" s="2" t="s">
        <v>572</v>
      </c>
    </row>
    <row r="374" spans="1:5" x14ac:dyDescent="0.3">
      <c r="A374" s="2">
        <v>405037</v>
      </c>
      <c r="B374" s="2" t="s">
        <v>638</v>
      </c>
      <c r="C374" s="2" t="s">
        <v>361</v>
      </c>
      <c r="D374" s="2">
        <v>6</v>
      </c>
      <c r="E374" s="2" t="s">
        <v>453</v>
      </c>
    </row>
    <row r="375" spans="1:5" x14ac:dyDescent="0.3">
      <c r="A375" s="2">
        <v>107254</v>
      </c>
      <c r="B375" s="2" t="s">
        <v>639</v>
      </c>
      <c r="C375" s="2" t="s">
        <v>377</v>
      </c>
      <c r="D375" s="2">
        <v>3</v>
      </c>
      <c r="E375" s="2" t="s">
        <v>435</v>
      </c>
    </row>
    <row r="376" spans="1:5" x14ac:dyDescent="0.3">
      <c r="A376" s="2">
        <v>107197</v>
      </c>
      <c r="B376" s="2" t="s">
        <v>28</v>
      </c>
      <c r="C376" s="2" t="s">
        <v>365</v>
      </c>
      <c r="D376" s="2">
        <v>3</v>
      </c>
      <c r="E376" s="2" t="s">
        <v>435</v>
      </c>
    </row>
    <row r="377" spans="1:5" x14ac:dyDescent="0.3">
      <c r="A377" s="2">
        <v>107261</v>
      </c>
      <c r="B377" s="2" t="s">
        <v>640</v>
      </c>
      <c r="C377" s="2" t="s">
        <v>379</v>
      </c>
      <c r="D377" s="2">
        <v>2</v>
      </c>
      <c r="E377" s="2" t="s">
        <v>641</v>
      </c>
    </row>
    <row r="378" spans="1:5" x14ac:dyDescent="0.3">
      <c r="A378" s="2">
        <v>107208</v>
      </c>
      <c r="B378" s="2" t="s">
        <v>642</v>
      </c>
      <c r="C378" s="2" t="s">
        <v>366</v>
      </c>
      <c r="D378" s="2">
        <v>2</v>
      </c>
      <c r="E378" s="2" t="s">
        <v>449</v>
      </c>
    </row>
    <row r="379" spans="1:5" x14ac:dyDescent="0.3">
      <c r="A379" s="2">
        <v>107355</v>
      </c>
      <c r="B379" s="2" t="s">
        <v>183</v>
      </c>
      <c r="C379" s="2" t="s">
        <v>386</v>
      </c>
      <c r="D379" s="2">
        <v>3</v>
      </c>
      <c r="E379" s="2" t="s">
        <v>494</v>
      </c>
    </row>
    <row r="380" spans="1:5" x14ac:dyDescent="0.3">
      <c r="A380" s="2">
        <v>405226</v>
      </c>
      <c r="B380" s="2" t="s">
        <v>643</v>
      </c>
      <c r="C380" s="2" t="s">
        <v>362</v>
      </c>
      <c r="D380" s="2">
        <v>2</v>
      </c>
      <c r="E380" s="2" t="s">
        <v>644</v>
      </c>
    </row>
    <row r="381" spans="1:5" x14ac:dyDescent="0.3">
      <c r="A381" s="2">
        <v>403266</v>
      </c>
      <c r="B381" s="2" t="s">
        <v>645</v>
      </c>
      <c r="C381" s="2" t="s">
        <v>378</v>
      </c>
      <c r="D381" s="2">
        <v>15</v>
      </c>
      <c r="E381" s="2" t="s">
        <v>461</v>
      </c>
    </row>
    <row r="382" spans="1:5" x14ac:dyDescent="0.3">
      <c r="A382" s="2">
        <v>405490</v>
      </c>
      <c r="B382" s="2" t="s">
        <v>646</v>
      </c>
      <c r="C382" s="2" t="s">
        <v>362</v>
      </c>
      <c r="D382" s="2">
        <v>2</v>
      </c>
      <c r="E382" s="2" t="s">
        <v>607</v>
      </c>
    </row>
    <row r="383" spans="1:5" x14ac:dyDescent="0.3">
      <c r="A383" s="2">
        <v>405489</v>
      </c>
      <c r="B383" s="2" t="s">
        <v>272</v>
      </c>
      <c r="C383" s="2" t="s">
        <v>362</v>
      </c>
      <c r="D383" s="2">
        <v>2</v>
      </c>
      <c r="E383" s="2" t="s">
        <v>462</v>
      </c>
    </row>
    <row r="384" spans="1:5" x14ac:dyDescent="0.3">
      <c r="A384" s="2">
        <v>403336</v>
      </c>
      <c r="B384" s="2" t="s">
        <v>23</v>
      </c>
      <c r="C384" s="2" t="s">
        <v>371</v>
      </c>
      <c r="D384" s="2">
        <v>2</v>
      </c>
      <c r="E384" s="2" t="s">
        <v>444</v>
      </c>
    </row>
    <row r="385" spans="1:5" x14ac:dyDescent="0.3">
      <c r="A385" s="2">
        <v>405197</v>
      </c>
      <c r="B385" s="2" t="s">
        <v>647</v>
      </c>
      <c r="C385" s="2" t="s">
        <v>376</v>
      </c>
      <c r="D385" s="2">
        <v>2</v>
      </c>
      <c r="E385" s="2" t="s">
        <v>442</v>
      </c>
    </row>
    <row r="386" spans="1:5" x14ac:dyDescent="0.3">
      <c r="A386" s="2">
        <v>403355</v>
      </c>
      <c r="B386" s="2" t="s">
        <v>32</v>
      </c>
      <c r="C386" s="2" t="s">
        <v>373</v>
      </c>
      <c r="D386" s="2">
        <v>3</v>
      </c>
      <c r="E386" s="2" t="s">
        <v>556</v>
      </c>
    </row>
    <row r="387" spans="1:5" x14ac:dyDescent="0.3">
      <c r="A387" s="2">
        <v>353004</v>
      </c>
      <c r="B387" s="2" t="s">
        <v>648</v>
      </c>
      <c r="C387" s="2" t="s">
        <v>366</v>
      </c>
      <c r="D387" s="2">
        <v>2</v>
      </c>
      <c r="E387" s="2" t="s">
        <v>484</v>
      </c>
    </row>
    <row r="388" spans="1:5" x14ac:dyDescent="0.3">
      <c r="A388" s="2">
        <v>353012</v>
      </c>
      <c r="B388" s="2" t="s">
        <v>649</v>
      </c>
      <c r="C388" s="2" t="s">
        <v>366</v>
      </c>
      <c r="D388" s="2">
        <v>2</v>
      </c>
      <c r="E388" s="2" t="s">
        <v>484</v>
      </c>
    </row>
    <row r="389" spans="1:5" x14ac:dyDescent="0.3">
      <c r="A389" s="2">
        <v>403232</v>
      </c>
      <c r="B389" s="2" t="s">
        <v>650</v>
      </c>
      <c r="C389" s="2" t="s">
        <v>362</v>
      </c>
      <c r="D389" s="2">
        <v>2</v>
      </c>
      <c r="E389" s="2" t="s">
        <v>500</v>
      </c>
    </row>
    <row r="390" spans="1:5" x14ac:dyDescent="0.3">
      <c r="A390" s="2">
        <v>403301</v>
      </c>
      <c r="B390" s="2" t="s">
        <v>651</v>
      </c>
      <c r="C390" s="2" t="s">
        <v>369</v>
      </c>
      <c r="D390" s="2">
        <v>15</v>
      </c>
      <c r="E390" s="2" t="s">
        <v>572</v>
      </c>
    </row>
    <row r="391" spans="1:5" x14ac:dyDescent="0.3">
      <c r="A391" s="2">
        <v>107202</v>
      </c>
      <c r="B391" s="2" t="s">
        <v>652</v>
      </c>
      <c r="C391" s="2" t="s">
        <v>368</v>
      </c>
      <c r="D391" s="2">
        <v>3</v>
      </c>
      <c r="E391" s="2" t="s">
        <v>435</v>
      </c>
    </row>
    <row r="392" spans="1:5" x14ac:dyDescent="0.3">
      <c r="A392" s="2">
        <v>402259</v>
      </c>
      <c r="B392" s="2" t="s">
        <v>653</v>
      </c>
      <c r="C392" s="2" t="s">
        <v>366</v>
      </c>
      <c r="D392" s="2">
        <v>2</v>
      </c>
      <c r="E392" s="2" t="s">
        <v>484</v>
      </c>
    </row>
    <row r="393" spans="1:5" x14ac:dyDescent="0.3">
      <c r="A393" s="2">
        <v>393387</v>
      </c>
      <c r="B393" s="2" t="s">
        <v>654</v>
      </c>
      <c r="C393" s="2" t="s">
        <v>366</v>
      </c>
      <c r="D393" s="2">
        <v>2</v>
      </c>
      <c r="E393" s="2" t="s">
        <v>484</v>
      </c>
    </row>
    <row r="394" spans="1:5" x14ac:dyDescent="0.3">
      <c r="A394" s="2">
        <v>403212</v>
      </c>
      <c r="B394" s="2" t="s">
        <v>52</v>
      </c>
      <c r="C394" s="2" t="s">
        <v>362</v>
      </c>
      <c r="D394" s="2">
        <v>2</v>
      </c>
      <c r="E394" s="2" t="s">
        <v>500</v>
      </c>
    </row>
    <row r="395" spans="1:5" x14ac:dyDescent="0.3">
      <c r="A395" s="2">
        <v>107334</v>
      </c>
      <c r="B395" s="2" t="s">
        <v>655</v>
      </c>
      <c r="C395" s="2" t="s">
        <v>379</v>
      </c>
      <c r="D395" s="2">
        <v>2</v>
      </c>
      <c r="E395" s="2" t="s">
        <v>452</v>
      </c>
    </row>
    <row r="396" spans="1:5" x14ac:dyDescent="0.3">
      <c r="A396" s="2">
        <v>107307</v>
      </c>
      <c r="B396" s="2" t="s">
        <v>656</v>
      </c>
      <c r="C396" s="2" t="s">
        <v>369</v>
      </c>
      <c r="D396" s="2">
        <v>15</v>
      </c>
      <c r="E396" s="2" t="s">
        <v>467</v>
      </c>
    </row>
    <row r="397" spans="1:5" x14ac:dyDescent="0.3">
      <c r="A397" s="2">
        <v>107187</v>
      </c>
      <c r="B397" s="2" t="s">
        <v>400</v>
      </c>
      <c r="C397" s="2" t="s">
        <v>378</v>
      </c>
      <c r="D397" s="2">
        <v>6</v>
      </c>
      <c r="E397" s="2" t="s">
        <v>498</v>
      </c>
    </row>
    <row r="398" spans="1:5" x14ac:dyDescent="0.3">
      <c r="A398" s="2">
        <v>107342</v>
      </c>
      <c r="B398" s="2" t="s">
        <v>41</v>
      </c>
      <c r="C398" s="2" t="s">
        <v>376</v>
      </c>
      <c r="D398" s="2">
        <v>3</v>
      </c>
      <c r="E398" s="2" t="s">
        <v>435</v>
      </c>
    </row>
    <row r="399" spans="1:5" x14ac:dyDescent="0.3">
      <c r="A399" s="2">
        <v>393410</v>
      </c>
      <c r="B399" s="2" t="s">
        <v>657</v>
      </c>
      <c r="C399" s="2" t="s">
        <v>366</v>
      </c>
      <c r="D399" s="2">
        <v>2</v>
      </c>
      <c r="E399" s="2" t="s">
        <v>484</v>
      </c>
    </row>
    <row r="400" spans="1:5" x14ac:dyDescent="0.3">
      <c r="A400" s="2">
        <v>201006</v>
      </c>
      <c r="B400" s="2" t="s">
        <v>409</v>
      </c>
      <c r="C400" s="2" t="s">
        <v>388</v>
      </c>
      <c r="D400" s="2">
        <v>2</v>
      </c>
      <c r="E400" s="2" t="s">
        <v>532</v>
      </c>
    </row>
    <row r="401" spans="1:5" x14ac:dyDescent="0.3">
      <c r="A401" s="2">
        <v>107265</v>
      </c>
      <c r="B401" s="2" t="s">
        <v>658</v>
      </c>
      <c r="C401" s="2" t="s">
        <v>379</v>
      </c>
      <c r="D401" s="2">
        <v>3</v>
      </c>
      <c r="E401" s="2" t="s">
        <v>617</v>
      </c>
    </row>
    <row r="402" spans="1:5" x14ac:dyDescent="0.3">
      <c r="A402" s="2">
        <v>107338</v>
      </c>
      <c r="B402" s="2" t="s">
        <v>659</v>
      </c>
      <c r="C402" s="2" t="s">
        <v>378</v>
      </c>
      <c r="D402" s="2">
        <v>3</v>
      </c>
      <c r="E402" s="2" t="s">
        <v>635</v>
      </c>
    </row>
    <row r="403" spans="1:5" x14ac:dyDescent="0.3">
      <c r="A403" s="2">
        <v>405200</v>
      </c>
      <c r="B403" s="2" t="s">
        <v>660</v>
      </c>
      <c r="C403" s="2" t="s">
        <v>361</v>
      </c>
      <c r="D403" s="2">
        <v>6</v>
      </c>
      <c r="E403" s="2" t="s">
        <v>453</v>
      </c>
    </row>
    <row r="404" spans="1:5" x14ac:dyDescent="0.3">
      <c r="A404" s="2">
        <v>402122</v>
      </c>
      <c r="B404" s="2" t="s">
        <v>661</v>
      </c>
      <c r="C404" s="2" t="s">
        <v>374</v>
      </c>
      <c r="D404" s="2">
        <v>4</v>
      </c>
      <c r="E404" s="2" t="s">
        <v>662</v>
      </c>
    </row>
    <row r="405" spans="1:5" x14ac:dyDescent="0.3">
      <c r="A405" s="2">
        <v>107270</v>
      </c>
      <c r="B405" s="2" t="s">
        <v>185</v>
      </c>
      <c r="C405" s="2" t="s">
        <v>387</v>
      </c>
      <c r="D405" s="2">
        <v>2</v>
      </c>
      <c r="E405" s="2" t="s">
        <v>442</v>
      </c>
    </row>
    <row r="406" spans="1:5" x14ac:dyDescent="0.3">
      <c r="A406" s="2">
        <v>400216</v>
      </c>
      <c r="B406" s="2" t="s">
        <v>8</v>
      </c>
      <c r="C406" s="2" t="s">
        <v>366</v>
      </c>
      <c r="D406" s="2">
        <v>3</v>
      </c>
      <c r="E406" s="2" t="s">
        <v>451</v>
      </c>
    </row>
    <row r="407" spans="1:5" x14ac:dyDescent="0.3">
      <c r="A407" s="2">
        <v>107354</v>
      </c>
      <c r="B407" s="2" t="s">
        <v>663</v>
      </c>
      <c r="C407" s="2" t="s">
        <v>382</v>
      </c>
      <c r="D407" s="2">
        <v>3</v>
      </c>
      <c r="E407" s="2" t="s">
        <v>494</v>
      </c>
    </row>
    <row r="408" spans="1:5" x14ac:dyDescent="0.3">
      <c r="A408" s="2">
        <v>405279</v>
      </c>
      <c r="B408" s="2" t="s">
        <v>664</v>
      </c>
      <c r="C408" s="2" t="s">
        <v>379</v>
      </c>
      <c r="D408" s="2">
        <v>3</v>
      </c>
      <c r="E408" s="2" t="s">
        <v>665</v>
      </c>
    </row>
    <row r="409" spans="1:5" x14ac:dyDescent="0.3">
      <c r="A409" s="2">
        <v>362055</v>
      </c>
      <c r="B409" s="2" t="s">
        <v>666</v>
      </c>
      <c r="C409" s="2" t="s">
        <v>366</v>
      </c>
      <c r="D409" s="2">
        <v>2</v>
      </c>
      <c r="E409" s="2" t="s">
        <v>484</v>
      </c>
    </row>
    <row r="410" spans="1:5" x14ac:dyDescent="0.3">
      <c r="A410" s="2">
        <v>352038</v>
      </c>
      <c r="B410" s="2" t="s">
        <v>667</v>
      </c>
      <c r="C410" s="2" t="s">
        <v>366</v>
      </c>
      <c r="D410" s="2">
        <v>2</v>
      </c>
      <c r="E410" s="2" t="s">
        <v>484</v>
      </c>
    </row>
    <row r="411" spans="1:5" x14ac:dyDescent="0.3">
      <c r="A411" s="2">
        <v>352030</v>
      </c>
      <c r="B411" s="2" t="s">
        <v>668</v>
      </c>
      <c r="C411" s="2" t="s">
        <v>366</v>
      </c>
      <c r="D411" s="2">
        <v>2</v>
      </c>
      <c r="E411" s="2" t="s">
        <v>484</v>
      </c>
    </row>
    <row r="412" spans="1:5" x14ac:dyDescent="0.3">
      <c r="A412" s="2">
        <v>107222</v>
      </c>
      <c r="B412" s="2" t="s">
        <v>669</v>
      </c>
      <c r="C412" s="2" t="s">
        <v>388</v>
      </c>
      <c r="D412" s="2">
        <v>2</v>
      </c>
      <c r="E412" s="2" t="s">
        <v>445</v>
      </c>
    </row>
    <row r="413" spans="1:5" x14ac:dyDescent="0.3">
      <c r="A413" s="2">
        <v>404313</v>
      </c>
      <c r="B413" s="2" t="s">
        <v>670</v>
      </c>
      <c r="C413" s="2" t="s">
        <v>378</v>
      </c>
      <c r="D413" s="2">
        <v>0</v>
      </c>
      <c r="E413" s="2" t="e">
        <v>#N/A</v>
      </c>
    </row>
    <row r="414" spans="1:5" x14ac:dyDescent="0.3">
      <c r="A414" s="2">
        <v>403014</v>
      </c>
      <c r="B414" s="2" t="s">
        <v>413</v>
      </c>
      <c r="C414" s="2" t="s">
        <v>378</v>
      </c>
      <c r="D414" s="2">
        <v>6</v>
      </c>
      <c r="E414" s="2" t="s">
        <v>498</v>
      </c>
    </row>
    <row r="415" spans="1:5" x14ac:dyDescent="0.3">
      <c r="A415" s="2" t="s">
        <v>671</v>
      </c>
      <c r="B415" s="2" t="s">
        <v>672</v>
      </c>
      <c r="C415" s="2" t="s">
        <v>378</v>
      </c>
      <c r="D415" s="2">
        <v>0</v>
      </c>
      <c r="E415" s="2" t="s">
        <v>673</v>
      </c>
    </row>
    <row r="416" spans="1:5" x14ac:dyDescent="0.3">
      <c r="A416" s="2">
        <v>405132</v>
      </c>
      <c r="B416" s="2" t="s">
        <v>674</v>
      </c>
      <c r="C416" s="2" t="s">
        <v>378</v>
      </c>
      <c r="D416" s="2">
        <v>8</v>
      </c>
      <c r="E416" s="2" t="s">
        <v>568</v>
      </c>
    </row>
    <row r="417" spans="1:5" x14ac:dyDescent="0.3">
      <c r="A417" s="2">
        <v>405407</v>
      </c>
      <c r="B417" s="2" t="s">
        <v>675</v>
      </c>
      <c r="C417" s="2" t="s">
        <v>676</v>
      </c>
      <c r="D417" s="2">
        <v>3</v>
      </c>
      <c r="E417" s="2" t="s">
        <v>435</v>
      </c>
    </row>
    <row r="418" spans="1:5" x14ac:dyDescent="0.3">
      <c r="A418" s="2">
        <v>405406</v>
      </c>
      <c r="B418" s="2" t="s">
        <v>677</v>
      </c>
      <c r="C418" s="2" t="s">
        <v>676</v>
      </c>
      <c r="D418" s="2">
        <v>3</v>
      </c>
      <c r="E418" s="2" t="s">
        <v>435</v>
      </c>
    </row>
    <row r="419" spans="1:5" x14ac:dyDescent="0.3">
      <c r="A419" s="2">
        <v>405405</v>
      </c>
      <c r="B419" s="2" t="s">
        <v>678</v>
      </c>
      <c r="C419" s="2" t="s">
        <v>676</v>
      </c>
      <c r="D419" s="2">
        <v>3</v>
      </c>
      <c r="E419" s="2" t="s">
        <v>435</v>
      </c>
    </row>
    <row r="420" spans="1:5" x14ac:dyDescent="0.3">
      <c r="A420" s="2">
        <v>107289</v>
      </c>
      <c r="B420" s="2" t="s">
        <v>679</v>
      </c>
      <c r="C420" s="2" t="s">
        <v>366</v>
      </c>
      <c r="D420" s="2">
        <v>2</v>
      </c>
      <c r="E420" s="2" t="s">
        <v>563</v>
      </c>
    </row>
    <row r="421" spans="1:5" x14ac:dyDescent="0.3">
      <c r="A421" s="2">
        <v>107137</v>
      </c>
      <c r="B421" s="2" t="s">
        <v>680</v>
      </c>
      <c r="C421" s="2" t="s">
        <v>363</v>
      </c>
      <c r="D421" s="2">
        <v>2</v>
      </c>
      <c r="E421" s="2" t="s">
        <v>444</v>
      </c>
    </row>
    <row r="422" spans="1:5" x14ac:dyDescent="0.3">
      <c r="A422" s="2">
        <v>405248</v>
      </c>
      <c r="B422" s="2" t="s">
        <v>412</v>
      </c>
      <c r="C422" s="2" t="s">
        <v>384</v>
      </c>
      <c r="D422" s="2">
        <v>3</v>
      </c>
      <c r="E422" s="2" t="s">
        <v>449</v>
      </c>
    </row>
    <row r="423" spans="1:5" x14ac:dyDescent="0.3">
      <c r="A423" s="2">
        <v>107285</v>
      </c>
      <c r="B423" s="2" t="s">
        <v>411</v>
      </c>
      <c r="C423" s="2" t="s">
        <v>384</v>
      </c>
      <c r="D423" s="2">
        <v>3</v>
      </c>
      <c r="E423" s="2" t="s">
        <v>449</v>
      </c>
    </row>
    <row r="424" spans="1:5" x14ac:dyDescent="0.3">
      <c r="A424" s="2">
        <v>430437</v>
      </c>
      <c r="B424" s="2" t="s">
        <v>681</v>
      </c>
      <c r="C424" s="2" t="s">
        <v>676</v>
      </c>
      <c r="D424" s="2">
        <v>3</v>
      </c>
      <c r="E424" s="2" t="s">
        <v>563</v>
      </c>
    </row>
    <row r="425" spans="1:5" x14ac:dyDescent="0.3">
      <c r="A425" s="2">
        <v>405450</v>
      </c>
      <c r="B425" s="2" t="s">
        <v>682</v>
      </c>
      <c r="C425" s="2" t="s">
        <v>361</v>
      </c>
      <c r="D425" s="2">
        <v>6</v>
      </c>
      <c r="E425" s="2" t="s">
        <v>453</v>
      </c>
    </row>
    <row r="426" spans="1:5" x14ac:dyDescent="0.3">
      <c r="A426" s="2">
        <v>405451</v>
      </c>
      <c r="B426" s="2" t="s">
        <v>683</v>
      </c>
      <c r="C426" s="2" t="s">
        <v>361</v>
      </c>
      <c r="D426" s="2">
        <v>6</v>
      </c>
      <c r="E426" s="2" t="s">
        <v>453</v>
      </c>
    </row>
    <row r="427" spans="1:5" x14ac:dyDescent="0.3">
      <c r="A427" s="2">
        <v>405482</v>
      </c>
      <c r="B427" s="2" t="s">
        <v>0</v>
      </c>
      <c r="C427" s="2" t="s">
        <v>363</v>
      </c>
      <c r="D427" s="2">
        <v>3</v>
      </c>
      <c r="E427" s="2" t="s">
        <v>439</v>
      </c>
    </row>
    <row r="428" spans="1:5" x14ac:dyDescent="0.3">
      <c r="A428" s="2">
        <v>100104</v>
      </c>
      <c r="B428" s="2" t="s">
        <v>406</v>
      </c>
      <c r="C428" s="2" t="s">
        <v>384</v>
      </c>
      <c r="D428" s="2">
        <v>3</v>
      </c>
      <c r="E428" s="2" t="s">
        <v>449</v>
      </c>
    </row>
    <row r="429" spans="1:5" x14ac:dyDescent="0.3">
      <c r="A429" s="2">
        <v>405484</v>
      </c>
      <c r="B429" s="2" t="s">
        <v>684</v>
      </c>
      <c r="C429" s="2" t="s">
        <v>685</v>
      </c>
      <c r="D429" s="2">
        <v>2</v>
      </c>
      <c r="E429" s="2" t="s">
        <v>445</v>
      </c>
    </row>
    <row r="430" spans="1:5" x14ac:dyDescent="0.3">
      <c r="A430" s="2">
        <v>403251</v>
      </c>
      <c r="B430" s="2" t="s">
        <v>686</v>
      </c>
      <c r="C430" s="2" t="s">
        <v>362</v>
      </c>
      <c r="D430" s="2">
        <v>2</v>
      </c>
      <c r="E430" s="2" t="s">
        <v>500</v>
      </c>
    </row>
    <row r="431" spans="1:5" x14ac:dyDescent="0.3">
      <c r="A431" s="2">
        <v>403216</v>
      </c>
      <c r="B431" s="2" t="s">
        <v>687</v>
      </c>
      <c r="C431" s="2" t="s">
        <v>362</v>
      </c>
      <c r="D431" s="2">
        <v>0</v>
      </c>
      <c r="E431" s="2" t="e">
        <v>#N/A</v>
      </c>
    </row>
    <row r="432" spans="1:5" x14ac:dyDescent="0.3">
      <c r="A432" s="2">
        <v>107420</v>
      </c>
      <c r="B432" s="2" t="s">
        <v>401</v>
      </c>
      <c r="C432" s="2" t="s">
        <v>378</v>
      </c>
      <c r="D432" s="2">
        <v>6</v>
      </c>
      <c r="E432" s="2" t="s">
        <v>475</v>
      </c>
    </row>
    <row r="433" spans="1:5" x14ac:dyDescent="0.3">
      <c r="A433" s="2">
        <v>403269</v>
      </c>
      <c r="B433" s="2" t="s">
        <v>350</v>
      </c>
      <c r="C433" s="2" t="s">
        <v>394</v>
      </c>
      <c r="D433" s="2">
        <v>3</v>
      </c>
      <c r="E433" s="2" t="s">
        <v>437</v>
      </c>
    </row>
    <row r="434" spans="1:5" x14ac:dyDescent="0.3">
      <c r="A434" s="2">
        <v>405419</v>
      </c>
      <c r="B434" s="2" t="s">
        <v>688</v>
      </c>
      <c r="C434" s="2" t="s">
        <v>369</v>
      </c>
      <c r="D434" s="2">
        <v>15</v>
      </c>
      <c r="E434" s="2" t="s">
        <v>457</v>
      </c>
    </row>
    <row r="435" spans="1:5" x14ac:dyDescent="0.3">
      <c r="A435" s="2">
        <v>402263</v>
      </c>
      <c r="B435" s="2" t="s">
        <v>10</v>
      </c>
      <c r="C435" s="2" t="s">
        <v>367</v>
      </c>
      <c r="D435" s="2">
        <v>11</v>
      </c>
      <c r="E435" s="2" t="s">
        <v>467</v>
      </c>
    </row>
    <row r="436" spans="1:5" x14ac:dyDescent="0.3">
      <c r="A436" s="2">
        <v>405504</v>
      </c>
      <c r="B436" s="2" t="s">
        <v>689</v>
      </c>
      <c r="C436" s="2" t="s">
        <v>394</v>
      </c>
      <c r="D436" s="2">
        <v>3</v>
      </c>
      <c r="E436" s="2" t="s">
        <v>690</v>
      </c>
    </row>
    <row r="437" spans="1:5" x14ac:dyDescent="0.3">
      <c r="A437" s="2">
        <v>405503</v>
      </c>
      <c r="B437" s="2" t="s">
        <v>19</v>
      </c>
      <c r="C437" s="2" t="s">
        <v>369</v>
      </c>
      <c r="D437" s="2">
        <v>15</v>
      </c>
      <c r="E437" s="2" t="s">
        <v>467</v>
      </c>
    </row>
    <row r="438" spans="1:5" x14ac:dyDescent="0.3">
      <c r="A438" s="2">
        <v>101001</v>
      </c>
      <c r="B438" s="2" t="s">
        <v>691</v>
      </c>
      <c r="C438" s="2" t="s">
        <v>365</v>
      </c>
      <c r="D438" s="2">
        <v>0</v>
      </c>
      <c r="E438" s="2" t="e">
        <v>#N/A</v>
      </c>
    </row>
    <row r="439" spans="1:5" x14ac:dyDescent="0.3">
      <c r="A439" s="2">
        <v>405507</v>
      </c>
      <c r="B439" s="2" t="s">
        <v>599</v>
      </c>
      <c r="C439" s="2" t="s">
        <v>375</v>
      </c>
      <c r="D439" s="2">
        <v>3</v>
      </c>
      <c r="E439" s="2" t="s">
        <v>692</v>
      </c>
    </row>
    <row r="440" spans="1:5" x14ac:dyDescent="0.3">
      <c r="A440" s="2">
        <v>403357</v>
      </c>
      <c r="B440" s="2" t="s">
        <v>693</v>
      </c>
      <c r="C440" s="2" t="s">
        <v>369</v>
      </c>
      <c r="D440" s="2">
        <v>0</v>
      </c>
      <c r="E440" s="2" t="e">
        <v>#N/A</v>
      </c>
    </row>
    <row r="441" spans="1:5" x14ac:dyDescent="0.3">
      <c r="A441" s="2">
        <v>403356</v>
      </c>
      <c r="B441" s="2" t="s">
        <v>694</v>
      </c>
      <c r="C441" s="2" t="s">
        <v>369</v>
      </c>
      <c r="D441" s="2">
        <v>0</v>
      </c>
      <c r="E441" s="2" t="e">
        <v>#N/A</v>
      </c>
    </row>
    <row r="442" spans="1:5" x14ac:dyDescent="0.3">
      <c r="A442" s="2">
        <v>405438</v>
      </c>
      <c r="B442" s="2" t="s">
        <v>695</v>
      </c>
      <c r="C442" s="2" t="s">
        <v>378</v>
      </c>
      <c r="D442" s="2">
        <v>0</v>
      </c>
      <c r="E442" s="2" t="s">
        <v>578</v>
      </c>
    </row>
    <row r="443" spans="1:5" x14ac:dyDescent="0.3">
      <c r="A443" s="2">
        <v>405452</v>
      </c>
      <c r="B443" s="2" t="s">
        <v>696</v>
      </c>
      <c r="C443" s="2" t="s">
        <v>361</v>
      </c>
      <c r="D443" s="2">
        <v>6</v>
      </c>
      <c r="E443" s="2" t="s">
        <v>453</v>
      </c>
    </row>
    <row r="444" spans="1:5" x14ac:dyDescent="0.3">
      <c r="A444" s="2">
        <v>405453</v>
      </c>
      <c r="B444" s="2" t="s">
        <v>78</v>
      </c>
      <c r="C444" s="2" t="s">
        <v>361</v>
      </c>
      <c r="D444" s="2">
        <v>6</v>
      </c>
      <c r="E444" s="2" t="s">
        <v>453</v>
      </c>
    </row>
    <row r="445" spans="1:5" x14ac:dyDescent="0.3">
      <c r="A445" s="2">
        <v>405448</v>
      </c>
      <c r="B445" s="2" t="s">
        <v>87</v>
      </c>
      <c r="C445" s="2" t="s">
        <v>361</v>
      </c>
      <c r="D445" s="2">
        <v>6</v>
      </c>
      <c r="E445" s="2" t="s">
        <v>453</v>
      </c>
    </row>
    <row r="446" spans="1:5" x14ac:dyDescent="0.3">
      <c r="A446" s="2">
        <v>405461</v>
      </c>
      <c r="B446" s="2" t="s">
        <v>108</v>
      </c>
      <c r="C446" s="2" t="s">
        <v>361</v>
      </c>
      <c r="D446" s="2">
        <v>6</v>
      </c>
      <c r="E446" s="2" t="s">
        <v>453</v>
      </c>
    </row>
    <row r="447" spans="1:5" x14ac:dyDescent="0.3">
      <c r="A447" s="2">
        <v>405464</v>
      </c>
      <c r="B447" s="2" t="s">
        <v>697</v>
      </c>
      <c r="C447" s="2" t="s">
        <v>361</v>
      </c>
      <c r="D447" s="2">
        <v>6</v>
      </c>
      <c r="E447" s="2" t="s">
        <v>453</v>
      </c>
    </row>
    <row r="448" spans="1:5" x14ac:dyDescent="0.3">
      <c r="A448" s="2">
        <v>405462</v>
      </c>
      <c r="B448" s="2" t="s">
        <v>698</v>
      </c>
      <c r="C448" s="2" t="s">
        <v>361</v>
      </c>
      <c r="D448" s="2">
        <v>6</v>
      </c>
      <c r="E448" s="2" t="s">
        <v>453</v>
      </c>
    </row>
    <row r="449" spans="1:5" x14ac:dyDescent="0.3">
      <c r="A449" s="2">
        <v>405201</v>
      </c>
      <c r="B449" s="2" t="s">
        <v>699</v>
      </c>
      <c r="C449" s="2" t="s">
        <v>361</v>
      </c>
      <c r="D449" s="2">
        <v>6</v>
      </c>
      <c r="E449" s="2" t="e">
        <v>#N/A</v>
      </c>
    </row>
    <row r="450" spans="1:5" x14ac:dyDescent="0.3">
      <c r="A450" s="2">
        <v>405463</v>
      </c>
      <c r="B450" s="2" t="s">
        <v>147</v>
      </c>
      <c r="C450" s="2" t="s">
        <v>361</v>
      </c>
      <c r="D450" s="2">
        <v>6</v>
      </c>
      <c r="E450" s="2" t="s">
        <v>453</v>
      </c>
    </row>
    <row r="451" spans="1:5" x14ac:dyDescent="0.3">
      <c r="A451" s="2">
        <v>405506</v>
      </c>
      <c r="B451" s="2" t="s">
        <v>157</v>
      </c>
      <c r="C451" s="2" t="s">
        <v>375</v>
      </c>
      <c r="D451" s="2">
        <v>3</v>
      </c>
      <c r="E451" s="2" t="s">
        <v>692</v>
      </c>
    </row>
    <row r="452" spans="1:5" x14ac:dyDescent="0.3">
      <c r="A452" s="2">
        <v>405276</v>
      </c>
      <c r="B452" s="2" t="s">
        <v>700</v>
      </c>
      <c r="C452" s="2" t="s">
        <v>417</v>
      </c>
      <c r="D452" s="2">
        <v>3</v>
      </c>
      <c r="E452" s="2" t="s">
        <v>520</v>
      </c>
    </row>
    <row r="453" spans="1:5" x14ac:dyDescent="0.3">
      <c r="A453" s="2">
        <v>107001</v>
      </c>
      <c r="B453" s="2" t="s">
        <v>191</v>
      </c>
      <c r="C453" s="2" t="s">
        <v>371</v>
      </c>
      <c r="D453" s="2">
        <v>2</v>
      </c>
      <c r="E453" s="2" t="s">
        <v>444</v>
      </c>
    </row>
    <row r="454" spans="1:5" x14ac:dyDescent="0.3">
      <c r="A454" s="2">
        <v>405509</v>
      </c>
      <c r="B454" s="2" t="s">
        <v>701</v>
      </c>
      <c r="C454" s="2" t="s">
        <v>702</v>
      </c>
      <c r="D454" s="2">
        <v>3</v>
      </c>
      <c r="E454" s="2" t="s">
        <v>515</v>
      </c>
    </row>
    <row r="455" spans="1:5" x14ac:dyDescent="0.3">
      <c r="A455" s="2">
        <v>405344</v>
      </c>
      <c r="B455" s="2" t="s">
        <v>703</v>
      </c>
      <c r="C455" s="2" t="s">
        <v>366</v>
      </c>
      <c r="D455" s="2">
        <v>2</v>
      </c>
      <c r="E455" s="2" t="s">
        <v>484</v>
      </c>
    </row>
    <row r="456" spans="1:5" x14ac:dyDescent="0.3">
      <c r="A456" s="2">
        <v>405502</v>
      </c>
      <c r="B456" s="2" t="s">
        <v>704</v>
      </c>
      <c r="C456" s="2" t="s">
        <v>378</v>
      </c>
      <c r="D456" s="2">
        <v>15</v>
      </c>
      <c r="E456" s="2" t="s">
        <v>467</v>
      </c>
    </row>
    <row r="457" spans="1:5" x14ac:dyDescent="0.3">
      <c r="A457" s="2">
        <v>405530</v>
      </c>
      <c r="B457" s="2" t="s">
        <v>705</v>
      </c>
      <c r="C457" s="2" t="s">
        <v>365</v>
      </c>
      <c r="D457" s="2">
        <v>3</v>
      </c>
      <c r="E457" s="2" t="s">
        <v>466</v>
      </c>
    </row>
    <row r="458" spans="1:5" x14ac:dyDescent="0.3">
      <c r="A458" s="2">
        <v>405532</v>
      </c>
      <c r="B458" s="2" t="s">
        <v>706</v>
      </c>
      <c r="C458" s="2" t="s">
        <v>365</v>
      </c>
      <c r="D458" s="2">
        <v>3</v>
      </c>
      <c r="E458" s="2" t="s">
        <v>707</v>
      </c>
    </row>
    <row r="459" spans="1:5" x14ac:dyDescent="0.3">
      <c r="A459" s="2">
        <v>405539</v>
      </c>
      <c r="B459" s="2" t="s">
        <v>187</v>
      </c>
      <c r="C459" s="2" t="s">
        <v>387</v>
      </c>
      <c r="D459" s="2">
        <v>3</v>
      </c>
      <c r="E459" s="2" t="s">
        <v>471</v>
      </c>
    </row>
    <row r="460" spans="1:5" x14ac:dyDescent="0.3">
      <c r="A460" s="2">
        <v>107349</v>
      </c>
      <c r="B460" s="2" t="s">
        <v>708</v>
      </c>
      <c r="C460" s="2" t="s">
        <v>365</v>
      </c>
      <c r="D460" s="2">
        <v>7</v>
      </c>
      <c r="E460" s="2" t="s">
        <v>520</v>
      </c>
    </row>
    <row r="461" spans="1:5" x14ac:dyDescent="0.3">
      <c r="A461" s="2">
        <v>405533</v>
      </c>
      <c r="B461" s="2" t="s">
        <v>242</v>
      </c>
      <c r="C461" s="2" t="s">
        <v>377</v>
      </c>
      <c r="D461" s="2">
        <v>3</v>
      </c>
      <c r="E461" s="2" t="s">
        <v>450</v>
      </c>
    </row>
    <row r="462" spans="1:5" x14ac:dyDescent="0.3">
      <c r="A462" s="2">
        <v>107340</v>
      </c>
      <c r="B462" s="2" t="s">
        <v>709</v>
      </c>
      <c r="C462" s="2" t="s">
        <v>365</v>
      </c>
      <c r="D462" s="2">
        <v>7</v>
      </c>
      <c r="E462" s="2" t="s">
        <v>520</v>
      </c>
    </row>
    <row r="463" spans="1:5" x14ac:dyDescent="0.3">
      <c r="A463" s="2">
        <v>405526</v>
      </c>
      <c r="B463" s="2" t="s">
        <v>710</v>
      </c>
      <c r="C463" s="2" t="s">
        <v>365</v>
      </c>
      <c r="D463" s="2">
        <v>3</v>
      </c>
      <c r="E463" s="2" t="s">
        <v>515</v>
      </c>
    </row>
    <row r="464" spans="1:5" x14ac:dyDescent="0.3">
      <c r="A464" s="2">
        <v>405537</v>
      </c>
      <c r="B464" s="2" t="s">
        <v>711</v>
      </c>
      <c r="C464" s="2" t="s">
        <v>368</v>
      </c>
      <c r="D464" s="2">
        <v>2</v>
      </c>
      <c r="E464" s="2" t="s">
        <v>532</v>
      </c>
    </row>
    <row r="465" spans="1:5" x14ac:dyDescent="0.3">
      <c r="A465" s="2">
        <v>405529</v>
      </c>
      <c r="B465" s="2" t="s">
        <v>712</v>
      </c>
      <c r="C465" s="2" t="s">
        <v>365</v>
      </c>
      <c r="D465" s="2">
        <v>7</v>
      </c>
      <c r="E465" s="2" t="s">
        <v>520</v>
      </c>
    </row>
    <row r="466" spans="1:5" x14ac:dyDescent="0.3">
      <c r="A466" s="2">
        <v>405540</v>
      </c>
      <c r="B466" s="2" t="s">
        <v>713</v>
      </c>
      <c r="C466" s="2" t="s">
        <v>361</v>
      </c>
      <c r="D466" s="2">
        <v>6</v>
      </c>
      <c r="E466" s="2" t="s">
        <v>453</v>
      </c>
    </row>
    <row r="467" spans="1:5" x14ac:dyDescent="0.3">
      <c r="A467" s="2">
        <v>107335</v>
      </c>
      <c r="B467" s="2" t="s">
        <v>318</v>
      </c>
      <c r="C467" s="2" t="s">
        <v>375</v>
      </c>
      <c r="D467" s="2">
        <v>3</v>
      </c>
      <c r="E467" s="2" t="s">
        <v>452</v>
      </c>
    </row>
    <row r="468" spans="1:5" x14ac:dyDescent="0.3">
      <c r="A468" s="2">
        <v>405555</v>
      </c>
      <c r="B468" s="2" t="s">
        <v>714</v>
      </c>
      <c r="C468" s="2" t="s">
        <v>388</v>
      </c>
      <c r="D468" s="2">
        <v>2</v>
      </c>
      <c r="E468" s="2" t="s">
        <v>715</v>
      </c>
    </row>
    <row r="469" spans="1:5" x14ac:dyDescent="0.3">
      <c r="A469" s="2">
        <v>405535</v>
      </c>
      <c r="B469" s="2" t="s">
        <v>93</v>
      </c>
      <c r="C469" s="2" t="s">
        <v>361</v>
      </c>
      <c r="D469" s="2">
        <v>6</v>
      </c>
      <c r="E469" s="2" t="s">
        <v>453</v>
      </c>
    </row>
    <row r="470" spans="1:5" x14ac:dyDescent="0.3">
      <c r="A470" s="2">
        <v>405556</v>
      </c>
      <c r="B470" s="2" t="s">
        <v>220</v>
      </c>
      <c r="C470" s="2" t="s">
        <v>368</v>
      </c>
      <c r="D470" s="2">
        <v>2</v>
      </c>
      <c r="E470" s="2" t="s">
        <v>617</v>
      </c>
    </row>
    <row r="471" spans="1:5" x14ac:dyDescent="0.3">
      <c r="A471" s="2">
        <v>405553</v>
      </c>
      <c r="B471" s="2" t="s">
        <v>121</v>
      </c>
      <c r="C471" s="2" t="s">
        <v>361</v>
      </c>
      <c r="D471" s="2">
        <v>6</v>
      </c>
      <c r="E471" s="2" t="s">
        <v>453</v>
      </c>
    </row>
    <row r="472" spans="1:5" x14ac:dyDescent="0.3">
      <c r="A472" s="2">
        <v>201007</v>
      </c>
      <c r="B472" s="2" t="s">
        <v>716</v>
      </c>
      <c r="C472" s="2" t="s">
        <v>388</v>
      </c>
      <c r="D472" s="2">
        <v>2</v>
      </c>
      <c r="E472" s="2" t="s">
        <v>438</v>
      </c>
    </row>
    <row r="473" spans="1:5" x14ac:dyDescent="0.3">
      <c r="A473" s="2">
        <v>405492</v>
      </c>
      <c r="B473" s="2" t="s">
        <v>402</v>
      </c>
      <c r="C473" s="2" t="s">
        <v>361</v>
      </c>
      <c r="D473" s="2">
        <v>6</v>
      </c>
      <c r="E473" s="2" t="s">
        <v>453</v>
      </c>
    </row>
    <row r="474" spans="1:5" x14ac:dyDescent="0.3">
      <c r="A474" s="2">
        <v>405543</v>
      </c>
      <c r="B474" s="2" t="s">
        <v>207</v>
      </c>
      <c r="C474" s="2" t="s">
        <v>363</v>
      </c>
      <c r="D474" s="2">
        <v>2</v>
      </c>
      <c r="E474" s="2" t="s">
        <v>466</v>
      </c>
    </row>
    <row r="475" spans="1:5" x14ac:dyDescent="0.3">
      <c r="A475" s="2">
        <v>405569</v>
      </c>
      <c r="B475" s="2" t="s">
        <v>717</v>
      </c>
      <c r="C475" s="2" t="s">
        <v>367</v>
      </c>
      <c r="D475" s="2">
        <v>6</v>
      </c>
      <c r="E475" s="2" t="s">
        <v>492</v>
      </c>
    </row>
    <row r="476" spans="1:5" x14ac:dyDescent="0.3">
      <c r="A476" s="2">
        <v>107281</v>
      </c>
      <c r="B476" s="2" t="s">
        <v>718</v>
      </c>
      <c r="C476" s="2" t="s">
        <v>362</v>
      </c>
      <c r="D476" s="2">
        <v>2</v>
      </c>
      <c r="E476" s="2" t="s">
        <v>644</v>
      </c>
    </row>
    <row r="477" spans="1:5" x14ac:dyDescent="0.3">
      <c r="A477" s="2">
        <v>405574</v>
      </c>
      <c r="B477" s="2" t="s">
        <v>719</v>
      </c>
      <c r="C477" s="2" t="s">
        <v>371</v>
      </c>
      <c r="D477" s="2">
        <v>2</v>
      </c>
      <c r="E477" s="2" t="s">
        <v>466</v>
      </c>
    </row>
    <row r="478" spans="1:5" x14ac:dyDescent="0.3">
      <c r="A478" s="2">
        <v>405570</v>
      </c>
      <c r="B478" s="2" t="s">
        <v>215</v>
      </c>
      <c r="C478" s="2" t="s">
        <v>389</v>
      </c>
      <c r="D478" s="2">
        <v>3</v>
      </c>
      <c r="E478" s="2" t="s">
        <v>617</v>
      </c>
    </row>
    <row r="479" spans="1:5" x14ac:dyDescent="0.3">
      <c r="A479" s="2">
        <v>107105</v>
      </c>
      <c r="B479" s="2" t="s">
        <v>50</v>
      </c>
      <c r="C479" s="2" t="s">
        <v>368</v>
      </c>
      <c r="D479" s="2">
        <v>3</v>
      </c>
      <c r="E479" s="2" t="s">
        <v>435</v>
      </c>
    </row>
    <row r="480" spans="1:5" x14ac:dyDescent="0.3">
      <c r="A480" s="2">
        <v>170180</v>
      </c>
      <c r="B480" s="2" t="s">
        <v>720</v>
      </c>
      <c r="C480" s="2" t="s">
        <v>368</v>
      </c>
      <c r="D480" s="2">
        <v>3</v>
      </c>
      <c r="E480" s="2" t="s">
        <v>435</v>
      </c>
    </row>
    <row r="481" spans="1:5" x14ac:dyDescent="0.3">
      <c r="A481" s="2">
        <v>405577</v>
      </c>
      <c r="B481" s="2" t="s">
        <v>175</v>
      </c>
      <c r="C481" s="2" t="s">
        <v>366</v>
      </c>
      <c r="D481" s="2">
        <v>2</v>
      </c>
      <c r="E481" s="2" t="s">
        <v>484</v>
      </c>
    </row>
    <row r="482" spans="1:5" x14ac:dyDescent="0.3">
      <c r="A482" s="2">
        <v>405583</v>
      </c>
      <c r="B482" s="2" t="s">
        <v>69</v>
      </c>
      <c r="C482" s="2" t="s">
        <v>378</v>
      </c>
      <c r="D482" s="2">
        <v>15</v>
      </c>
      <c r="E482" s="2" t="s">
        <v>467</v>
      </c>
    </row>
    <row r="483" spans="1:5" x14ac:dyDescent="0.3">
      <c r="A483" s="2">
        <v>405587</v>
      </c>
      <c r="B483" s="2" t="s">
        <v>66</v>
      </c>
      <c r="C483" s="2" t="s">
        <v>378</v>
      </c>
      <c r="D483" s="2">
        <v>7</v>
      </c>
      <c r="E483" s="2" t="s">
        <v>721</v>
      </c>
    </row>
    <row r="484" spans="1:5" x14ac:dyDescent="0.3">
      <c r="A484" s="2">
        <v>405501</v>
      </c>
      <c r="B484" s="2" t="s">
        <v>253</v>
      </c>
      <c r="C484" s="2" t="s">
        <v>362</v>
      </c>
      <c r="D484" s="2">
        <v>2</v>
      </c>
      <c r="E484" s="2" t="s">
        <v>622</v>
      </c>
    </row>
    <row r="485" spans="1:5" x14ac:dyDescent="0.3">
      <c r="A485" s="2">
        <v>405607</v>
      </c>
      <c r="B485" s="2" t="s">
        <v>213</v>
      </c>
      <c r="C485" s="2" t="s">
        <v>368</v>
      </c>
      <c r="D485" s="2">
        <v>2</v>
      </c>
      <c r="E485" s="2" t="s">
        <v>444</v>
      </c>
    </row>
    <row r="486" spans="1:5" x14ac:dyDescent="0.3">
      <c r="A486" s="2">
        <v>405033</v>
      </c>
      <c r="B486" s="2" t="s">
        <v>722</v>
      </c>
      <c r="C486" s="2" t="s">
        <v>361</v>
      </c>
      <c r="D486" s="2">
        <v>6</v>
      </c>
      <c r="E486" s="2" t="e">
        <v>#N/A</v>
      </c>
    </row>
    <row r="487" spans="1:5" x14ac:dyDescent="0.3">
      <c r="A487" s="2">
        <v>405223</v>
      </c>
      <c r="B487" s="2" t="s">
        <v>723</v>
      </c>
      <c r="C487" s="2" t="s">
        <v>361</v>
      </c>
      <c r="D487" s="2">
        <v>6</v>
      </c>
      <c r="E487" s="2" t="s">
        <v>724</v>
      </c>
    </row>
    <row r="488" spans="1:5" x14ac:dyDescent="0.3">
      <c r="A488" s="2">
        <v>405638</v>
      </c>
      <c r="B488" s="2" t="s">
        <v>725</v>
      </c>
      <c r="C488" s="2" t="s">
        <v>388</v>
      </c>
      <c r="D488" s="2">
        <v>3</v>
      </c>
      <c r="E488" s="2" t="s">
        <v>471</v>
      </c>
    </row>
    <row r="489" spans="1:5" x14ac:dyDescent="0.3">
      <c r="A489" s="2">
        <v>405634</v>
      </c>
      <c r="B489" s="2" t="s">
        <v>726</v>
      </c>
      <c r="C489" s="2" t="s">
        <v>375</v>
      </c>
      <c r="D489" s="2">
        <v>3</v>
      </c>
      <c r="E489" s="2" t="s">
        <v>439</v>
      </c>
    </row>
    <row r="490" spans="1:5" x14ac:dyDescent="0.3">
      <c r="A490" s="2">
        <v>405559</v>
      </c>
      <c r="B490" s="2" t="s">
        <v>39</v>
      </c>
      <c r="C490" s="2" t="s">
        <v>376</v>
      </c>
      <c r="D490" s="2">
        <v>3</v>
      </c>
      <c r="E490" s="2" t="s">
        <v>727</v>
      </c>
    </row>
    <row r="491" spans="1:5" x14ac:dyDescent="0.3">
      <c r="A491" s="2">
        <v>405615</v>
      </c>
      <c r="B491" s="2" t="s">
        <v>120</v>
      </c>
      <c r="C491" s="2" t="s">
        <v>361</v>
      </c>
      <c r="D491" s="2">
        <v>6</v>
      </c>
      <c r="E491" s="2" t="s">
        <v>453</v>
      </c>
    </row>
    <row r="492" spans="1:5" x14ac:dyDescent="0.3">
      <c r="A492" s="2">
        <v>405633</v>
      </c>
      <c r="B492" s="2" t="s">
        <v>728</v>
      </c>
      <c r="C492" s="2" t="s">
        <v>378</v>
      </c>
      <c r="D492" s="2">
        <v>0</v>
      </c>
      <c r="E492" s="2" t="s">
        <v>729</v>
      </c>
    </row>
    <row r="493" spans="1:5" x14ac:dyDescent="0.3">
      <c r="A493" s="2">
        <v>405560</v>
      </c>
      <c r="B493" s="2" t="s">
        <v>37</v>
      </c>
      <c r="C493" s="2" t="s">
        <v>375</v>
      </c>
      <c r="D493" s="2">
        <v>3</v>
      </c>
      <c r="E493" s="2" t="s">
        <v>552</v>
      </c>
    </row>
    <row r="494" spans="1:5" x14ac:dyDescent="0.3">
      <c r="A494" s="2">
        <v>393253</v>
      </c>
      <c r="B494" s="2" t="s">
        <v>730</v>
      </c>
      <c r="C494" s="2" t="s">
        <v>366</v>
      </c>
      <c r="D494" s="2">
        <v>2</v>
      </c>
      <c r="E494" s="2" t="s">
        <v>484</v>
      </c>
    </row>
    <row r="495" spans="1:5" x14ac:dyDescent="0.3">
      <c r="A495" s="2">
        <v>405614</v>
      </c>
      <c r="B495" s="2" t="s">
        <v>731</v>
      </c>
      <c r="C495" s="2" t="s">
        <v>361</v>
      </c>
      <c r="D495" s="2">
        <v>6</v>
      </c>
      <c r="E495" s="2" t="s">
        <v>453</v>
      </c>
    </row>
    <row r="496" spans="1:5" x14ac:dyDescent="0.3">
      <c r="A496" s="2">
        <v>403252</v>
      </c>
      <c r="B496" s="2" t="s">
        <v>732</v>
      </c>
      <c r="C496" s="2" t="s">
        <v>362</v>
      </c>
      <c r="D496" s="2">
        <v>2</v>
      </c>
      <c r="E496" s="2" t="e">
        <v>#N/A</v>
      </c>
    </row>
    <row r="497" spans="1:5" x14ac:dyDescent="0.3">
      <c r="A497" s="2">
        <v>405531</v>
      </c>
      <c r="B497" s="2" t="s">
        <v>733</v>
      </c>
      <c r="C497" s="2" t="s">
        <v>365</v>
      </c>
      <c r="D497" s="2">
        <v>7</v>
      </c>
      <c r="E497" s="2" t="s">
        <v>470</v>
      </c>
    </row>
    <row r="498" spans="1:5" x14ac:dyDescent="0.3">
      <c r="A498" s="2">
        <v>405508</v>
      </c>
      <c r="B498" s="2" t="s">
        <v>734</v>
      </c>
      <c r="C498" s="2" t="s">
        <v>365</v>
      </c>
      <c r="D498" s="2">
        <v>7</v>
      </c>
      <c r="E498" s="2" t="s">
        <v>520</v>
      </c>
    </row>
    <row r="499" spans="1:5" x14ac:dyDescent="0.3">
      <c r="A499" s="2">
        <v>405541</v>
      </c>
      <c r="B499" s="2" t="s">
        <v>735</v>
      </c>
      <c r="C499" s="2" t="s">
        <v>365</v>
      </c>
      <c r="D499" s="2">
        <v>7</v>
      </c>
      <c r="E499" s="2" t="s">
        <v>470</v>
      </c>
    </row>
    <row r="500" spans="1:5" x14ac:dyDescent="0.3">
      <c r="A500" s="2">
        <v>405554</v>
      </c>
      <c r="B500" s="2" t="s">
        <v>128</v>
      </c>
      <c r="C500" s="2" t="s">
        <v>361</v>
      </c>
      <c r="D500" s="2">
        <v>6</v>
      </c>
      <c r="E500" s="2" t="s">
        <v>453</v>
      </c>
    </row>
    <row r="501" spans="1:5" x14ac:dyDescent="0.3">
      <c r="A501" s="2">
        <v>405552</v>
      </c>
      <c r="B501" s="2" t="s">
        <v>123</v>
      </c>
      <c r="C501" s="2" t="s">
        <v>361</v>
      </c>
      <c r="D501" s="2">
        <v>6</v>
      </c>
      <c r="E501" s="2" t="s">
        <v>453</v>
      </c>
    </row>
    <row r="502" spans="1:5" x14ac:dyDescent="0.3">
      <c r="A502" s="2">
        <v>405644</v>
      </c>
      <c r="B502" s="2" t="s">
        <v>134</v>
      </c>
      <c r="C502" s="2" t="s">
        <v>361</v>
      </c>
      <c r="D502" s="2">
        <v>6</v>
      </c>
      <c r="E502" s="2" t="s">
        <v>453</v>
      </c>
    </row>
    <row r="503" spans="1:5" x14ac:dyDescent="0.3">
      <c r="A503" s="2">
        <v>405643</v>
      </c>
      <c r="B503" s="2" t="s">
        <v>136</v>
      </c>
      <c r="C503" s="2" t="s">
        <v>361</v>
      </c>
      <c r="D503" s="2">
        <v>6</v>
      </c>
      <c r="E503" s="2" t="s">
        <v>453</v>
      </c>
    </row>
    <row r="504" spans="1:5" x14ac:dyDescent="0.3">
      <c r="A504" s="2">
        <v>405582</v>
      </c>
      <c r="B504" s="2" t="s">
        <v>68</v>
      </c>
      <c r="C504" s="2" t="s">
        <v>378</v>
      </c>
      <c r="D504" s="2">
        <v>15</v>
      </c>
      <c r="E504" s="2" t="s">
        <v>467</v>
      </c>
    </row>
    <row r="505" spans="1:5" x14ac:dyDescent="0.3">
      <c r="A505" s="2">
        <v>107246</v>
      </c>
      <c r="B505" s="2" t="s">
        <v>226</v>
      </c>
      <c r="C505" s="2" t="s">
        <v>368</v>
      </c>
      <c r="D505" s="2">
        <v>2</v>
      </c>
      <c r="E505" s="2" t="s">
        <v>442</v>
      </c>
    </row>
    <row r="506" spans="1:5" x14ac:dyDescent="0.3">
      <c r="A506" s="2">
        <v>405418</v>
      </c>
      <c r="B506" s="2" t="s">
        <v>4</v>
      </c>
      <c r="C506" s="2" t="s">
        <v>364</v>
      </c>
      <c r="D506" s="2">
        <v>2</v>
      </c>
      <c r="E506" s="2" t="s">
        <v>442</v>
      </c>
    </row>
    <row r="507" spans="1:5" x14ac:dyDescent="0.3">
      <c r="A507" s="2">
        <v>405510</v>
      </c>
      <c r="B507" s="2" t="s">
        <v>736</v>
      </c>
      <c r="C507" s="2" t="s">
        <v>365</v>
      </c>
      <c r="D507" s="2">
        <v>7</v>
      </c>
      <c r="E507" s="2" t="s">
        <v>532</v>
      </c>
    </row>
    <row r="508" spans="1:5" x14ac:dyDescent="0.3">
      <c r="A508" s="2">
        <v>405590</v>
      </c>
      <c r="B508" s="2" t="s">
        <v>737</v>
      </c>
      <c r="C508" s="2" t="s">
        <v>378</v>
      </c>
      <c r="D508" s="2">
        <v>0</v>
      </c>
      <c r="E508" s="2" t="s">
        <v>607</v>
      </c>
    </row>
    <row r="509" spans="1:5" x14ac:dyDescent="0.3">
      <c r="A509" s="2">
        <v>405682</v>
      </c>
      <c r="B509" s="2" t="s">
        <v>3</v>
      </c>
      <c r="C509" s="2" t="s">
        <v>363</v>
      </c>
      <c r="D509" s="2">
        <v>2</v>
      </c>
      <c r="E509" s="2" t="s">
        <v>444</v>
      </c>
    </row>
    <row r="510" spans="1:5" x14ac:dyDescent="0.3">
      <c r="A510" s="2">
        <v>405652</v>
      </c>
      <c r="B510" s="2" t="s">
        <v>75</v>
      </c>
      <c r="C510" s="2" t="s">
        <v>363</v>
      </c>
      <c r="D510" s="2">
        <v>2</v>
      </c>
      <c r="E510" s="2" t="s">
        <v>439</v>
      </c>
    </row>
    <row r="511" spans="1:5" x14ac:dyDescent="0.3">
      <c r="A511" s="2">
        <v>405650</v>
      </c>
      <c r="B511" s="2" t="s">
        <v>206</v>
      </c>
      <c r="C511" s="2" t="s">
        <v>363</v>
      </c>
      <c r="D511" s="2">
        <v>2</v>
      </c>
      <c r="E511" s="2" t="s">
        <v>466</v>
      </c>
    </row>
    <row r="512" spans="1:5" x14ac:dyDescent="0.3">
      <c r="A512" s="2">
        <v>405651</v>
      </c>
      <c r="B512" s="2" t="s">
        <v>228</v>
      </c>
      <c r="C512" s="2" t="s">
        <v>363</v>
      </c>
      <c r="D512" s="2">
        <v>2</v>
      </c>
      <c r="E512" s="2" t="s">
        <v>466</v>
      </c>
    </row>
    <row r="513" spans="1:5" x14ac:dyDescent="0.3">
      <c r="A513" s="2">
        <v>405687</v>
      </c>
      <c r="B513" s="2" t="s">
        <v>81</v>
      </c>
      <c r="C513" s="2" t="s">
        <v>361</v>
      </c>
      <c r="D513" s="2">
        <v>6</v>
      </c>
      <c r="E513" s="2" t="s">
        <v>453</v>
      </c>
    </row>
    <row r="514" spans="1:5" x14ac:dyDescent="0.3">
      <c r="A514" s="2">
        <v>405688</v>
      </c>
      <c r="B514" s="2" t="s">
        <v>84</v>
      </c>
      <c r="C514" s="2" t="s">
        <v>361</v>
      </c>
      <c r="D514" s="2">
        <v>6</v>
      </c>
      <c r="E514" s="2" t="s">
        <v>453</v>
      </c>
    </row>
    <row r="515" spans="1:5" x14ac:dyDescent="0.3">
      <c r="A515" s="2">
        <v>405686</v>
      </c>
      <c r="B515" s="2" t="s">
        <v>89</v>
      </c>
      <c r="C515" s="2" t="s">
        <v>361</v>
      </c>
      <c r="D515" s="2">
        <v>6</v>
      </c>
      <c r="E515" s="2" t="s">
        <v>453</v>
      </c>
    </row>
    <row r="516" spans="1:5" x14ac:dyDescent="0.3">
      <c r="A516" s="2">
        <v>405695</v>
      </c>
      <c r="B516" s="2" t="s">
        <v>738</v>
      </c>
      <c r="C516" s="2" t="s">
        <v>365</v>
      </c>
      <c r="D516" s="2">
        <v>7</v>
      </c>
      <c r="E516" s="2" t="s">
        <v>470</v>
      </c>
    </row>
    <row r="517" spans="1:5" x14ac:dyDescent="0.3">
      <c r="A517" s="2">
        <v>405684</v>
      </c>
      <c r="B517" s="2" t="s">
        <v>739</v>
      </c>
      <c r="C517" s="2" t="s">
        <v>365</v>
      </c>
      <c r="D517" s="2">
        <v>7</v>
      </c>
      <c r="E517" s="2" t="s">
        <v>740</v>
      </c>
    </row>
    <row r="518" spans="1:5" x14ac:dyDescent="0.3">
      <c r="A518" s="2">
        <v>405697</v>
      </c>
      <c r="B518" s="2" t="s">
        <v>741</v>
      </c>
      <c r="C518" s="2" t="s">
        <v>365</v>
      </c>
      <c r="D518" s="2">
        <v>3</v>
      </c>
      <c r="E518" s="2" t="s">
        <v>435</v>
      </c>
    </row>
    <row r="519" spans="1:5" x14ac:dyDescent="0.3">
      <c r="A519" s="2">
        <v>405696</v>
      </c>
      <c r="B519" s="2" t="s">
        <v>18</v>
      </c>
      <c r="C519" s="2" t="s">
        <v>369</v>
      </c>
      <c r="D519" s="2">
        <v>15</v>
      </c>
      <c r="E519" s="2" t="s">
        <v>467</v>
      </c>
    </row>
    <row r="520" spans="1:5" x14ac:dyDescent="0.3">
      <c r="A520" s="2">
        <v>405683</v>
      </c>
      <c r="B520" s="2" t="s">
        <v>240</v>
      </c>
      <c r="C520" s="2" t="s">
        <v>365</v>
      </c>
      <c r="D520" s="2">
        <v>7</v>
      </c>
      <c r="E520" s="2" t="s">
        <v>470</v>
      </c>
    </row>
    <row r="521" spans="1:5" x14ac:dyDescent="0.3">
      <c r="A521" s="2">
        <v>405698</v>
      </c>
      <c r="B521" s="2" t="s">
        <v>85</v>
      </c>
      <c r="C521" s="2" t="s">
        <v>361</v>
      </c>
      <c r="D521" s="2">
        <v>6</v>
      </c>
      <c r="E521" s="2" t="s">
        <v>453</v>
      </c>
    </row>
    <row r="522" spans="1:5" x14ac:dyDescent="0.3">
      <c r="A522" s="2">
        <v>405658</v>
      </c>
      <c r="B522" s="2" t="s">
        <v>357</v>
      </c>
      <c r="C522" s="2" t="s">
        <v>366</v>
      </c>
      <c r="D522" s="2">
        <v>2</v>
      </c>
      <c r="E522" s="2" t="s">
        <v>484</v>
      </c>
    </row>
    <row r="523" spans="1:5" x14ac:dyDescent="0.3">
      <c r="A523" s="2">
        <v>405645</v>
      </c>
      <c r="B523" s="2" t="s">
        <v>742</v>
      </c>
      <c r="C523" s="2" t="s">
        <v>366</v>
      </c>
      <c r="D523" s="2">
        <v>3</v>
      </c>
      <c r="E523" s="2" t="s">
        <v>451</v>
      </c>
    </row>
    <row r="524" spans="1:5" x14ac:dyDescent="0.3">
      <c r="A524" s="2">
        <v>362113</v>
      </c>
      <c r="B524" s="2" t="s">
        <v>743</v>
      </c>
      <c r="C524" s="2" t="s">
        <v>366</v>
      </c>
      <c r="D524" s="2">
        <v>2</v>
      </c>
      <c r="E524" s="2" t="s">
        <v>484</v>
      </c>
    </row>
    <row r="525" spans="1:5" x14ac:dyDescent="0.3">
      <c r="A525" s="2">
        <v>405647</v>
      </c>
      <c r="B525" s="2" t="s">
        <v>744</v>
      </c>
      <c r="C525" s="2" t="s">
        <v>371</v>
      </c>
      <c r="D525" s="2">
        <v>3</v>
      </c>
      <c r="E525" s="2" t="s">
        <v>471</v>
      </c>
    </row>
    <row r="526" spans="1:5" x14ac:dyDescent="0.3">
      <c r="A526" s="2">
        <v>405723</v>
      </c>
      <c r="B526" s="2" t="s">
        <v>204</v>
      </c>
      <c r="C526" s="2" t="s">
        <v>386</v>
      </c>
      <c r="D526" s="2">
        <v>3</v>
      </c>
      <c r="E526" s="2" t="s">
        <v>518</v>
      </c>
    </row>
    <row r="527" spans="1:5" x14ac:dyDescent="0.3">
      <c r="A527" s="2">
        <v>405701</v>
      </c>
      <c r="B527" s="2" t="s">
        <v>164</v>
      </c>
      <c r="C527" s="2" t="s">
        <v>366</v>
      </c>
      <c r="D527" s="2">
        <v>2</v>
      </c>
      <c r="E527" s="2" t="s">
        <v>484</v>
      </c>
    </row>
    <row r="528" spans="1:5" x14ac:dyDescent="0.3">
      <c r="A528" s="2">
        <v>403108</v>
      </c>
      <c r="B528" s="2" t="s">
        <v>277</v>
      </c>
      <c r="C528" s="2" t="s">
        <v>378</v>
      </c>
      <c r="D528" s="2">
        <v>6</v>
      </c>
      <c r="E528" s="2" t="s">
        <v>498</v>
      </c>
    </row>
    <row r="529" spans="1:5" x14ac:dyDescent="0.3">
      <c r="A529" s="2">
        <v>403100</v>
      </c>
      <c r="B529" s="2" t="s">
        <v>279</v>
      </c>
      <c r="C529" s="2" t="s">
        <v>378</v>
      </c>
      <c r="D529" s="2">
        <v>6</v>
      </c>
      <c r="E529" s="2" t="s">
        <v>498</v>
      </c>
    </row>
    <row r="530" spans="1:5" x14ac:dyDescent="0.3">
      <c r="A530" s="2">
        <v>405702</v>
      </c>
      <c r="B530" s="2" t="s">
        <v>174</v>
      </c>
      <c r="C530" s="2" t="s">
        <v>366</v>
      </c>
      <c r="D530" s="2">
        <v>2</v>
      </c>
      <c r="E530" s="2" t="s">
        <v>484</v>
      </c>
    </row>
    <row r="531" spans="1:5" x14ac:dyDescent="0.3">
      <c r="A531" s="2">
        <v>405712</v>
      </c>
      <c r="B531" s="2" t="s">
        <v>77</v>
      </c>
      <c r="C531" s="2" t="s">
        <v>361</v>
      </c>
      <c r="D531" s="2">
        <v>6</v>
      </c>
      <c r="E531" s="2" t="s">
        <v>453</v>
      </c>
    </row>
    <row r="532" spans="1:5" x14ac:dyDescent="0.3">
      <c r="A532" s="2">
        <v>405740</v>
      </c>
      <c r="B532" s="2" t="s">
        <v>61</v>
      </c>
      <c r="C532" s="2" t="s">
        <v>378</v>
      </c>
      <c r="D532" s="2">
        <v>6</v>
      </c>
      <c r="E532" s="2" t="s">
        <v>745</v>
      </c>
    </row>
    <row r="533" spans="1:5" x14ac:dyDescent="0.3">
      <c r="A533" s="2">
        <v>405741</v>
      </c>
      <c r="B533" s="2" t="s">
        <v>278</v>
      </c>
      <c r="C533" s="2" t="s">
        <v>378</v>
      </c>
      <c r="D533" s="2">
        <v>6</v>
      </c>
      <c r="E533" s="2" t="s">
        <v>745</v>
      </c>
    </row>
    <row r="534" spans="1:5" x14ac:dyDescent="0.3">
      <c r="A534" s="2">
        <v>405691</v>
      </c>
      <c r="B534" s="2" t="s">
        <v>746</v>
      </c>
      <c r="C534" s="2" t="s">
        <v>366</v>
      </c>
      <c r="D534" s="2">
        <v>2</v>
      </c>
      <c r="E534" s="2" t="s">
        <v>484</v>
      </c>
    </row>
    <row r="535" spans="1:5" x14ac:dyDescent="0.3">
      <c r="A535" s="2">
        <v>405747</v>
      </c>
      <c r="B535" s="2" t="s">
        <v>31</v>
      </c>
      <c r="C535" s="2" t="s">
        <v>371</v>
      </c>
      <c r="D535" s="2">
        <v>2</v>
      </c>
      <c r="E535" s="2" t="s">
        <v>466</v>
      </c>
    </row>
    <row r="536" spans="1:5" x14ac:dyDescent="0.3">
      <c r="A536" s="2">
        <v>405729</v>
      </c>
      <c r="B536" s="2" t="s">
        <v>747</v>
      </c>
      <c r="C536" s="2" t="s">
        <v>365</v>
      </c>
      <c r="D536" s="2">
        <v>7</v>
      </c>
      <c r="E536" s="2" t="s">
        <v>470</v>
      </c>
    </row>
    <row r="537" spans="1:5" x14ac:dyDescent="0.3">
      <c r="A537" s="2">
        <v>405751</v>
      </c>
      <c r="B537" s="2" t="s">
        <v>748</v>
      </c>
      <c r="C537" s="2" t="s">
        <v>361</v>
      </c>
      <c r="D537" s="2">
        <v>6</v>
      </c>
      <c r="E537" s="2" t="s">
        <v>453</v>
      </c>
    </row>
    <row r="538" spans="1:5" x14ac:dyDescent="0.3">
      <c r="A538" s="2">
        <v>101108</v>
      </c>
      <c r="B538" s="2" t="s">
        <v>152</v>
      </c>
      <c r="C538" s="2" t="s">
        <v>365</v>
      </c>
      <c r="D538" s="2">
        <v>3</v>
      </c>
      <c r="E538" s="2" t="s">
        <v>446</v>
      </c>
    </row>
    <row r="539" spans="1:5" x14ac:dyDescent="0.3">
      <c r="A539" s="2">
        <v>405755</v>
      </c>
      <c r="B539" s="2" t="s">
        <v>749</v>
      </c>
      <c r="C539" s="2" t="s">
        <v>365</v>
      </c>
      <c r="D539" s="2">
        <v>7</v>
      </c>
      <c r="E539" s="2" t="s">
        <v>470</v>
      </c>
    </row>
    <row r="540" spans="1:5" x14ac:dyDescent="0.3">
      <c r="A540" s="2">
        <v>405775</v>
      </c>
      <c r="B540" s="2" t="s">
        <v>750</v>
      </c>
      <c r="C540" s="2" t="s">
        <v>371</v>
      </c>
      <c r="D540" s="2">
        <v>3</v>
      </c>
      <c r="E540" s="2" t="s">
        <v>751</v>
      </c>
    </row>
    <row r="541" spans="1:5" x14ac:dyDescent="0.3">
      <c r="A541" s="2">
        <v>405673</v>
      </c>
      <c r="B541" s="2" t="s">
        <v>47</v>
      </c>
      <c r="C541" s="2" t="s">
        <v>377</v>
      </c>
      <c r="D541" s="2">
        <v>4</v>
      </c>
      <c r="E541" s="2" t="s">
        <v>435</v>
      </c>
    </row>
    <row r="542" spans="1:5" x14ac:dyDescent="0.3">
      <c r="A542" s="2">
        <v>170183</v>
      </c>
      <c r="B542" s="2" t="s">
        <v>40</v>
      </c>
      <c r="C542" s="2" t="s">
        <v>377</v>
      </c>
      <c r="D542" s="2">
        <v>4</v>
      </c>
      <c r="E542" s="2" t="s">
        <v>435</v>
      </c>
    </row>
    <row r="543" spans="1:5" x14ac:dyDescent="0.3">
      <c r="A543" s="2">
        <v>405787</v>
      </c>
      <c r="B543" s="2" t="s">
        <v>83</v>
      </c>
      <c r="C543" s="2" t="s">
        <v>361</v>
      </c>
      <c r="D543" s="2">
        <v>6</v>
      </c>
      <c r="E543" s="2" t="s">
        <v>453</v>
      </c>
    </row>
    <row r="544" spans="1:5" x14ac:dyDescent="0.3">
      <c r="A544" s="2">
        <v>405749</v>
      </c>
      <c r="B544" s="2" t="s">
        <v>21</v>
      </c>
      <c r="C544" s="2" t="s">
        <v>365</v>
      </c>
      <c r="D544" s="2">
        <v>3</v>
      </c>
      <c r="E544" s="2" t="s">
        <v>438</v>
      </c>
    </row>
    <row r="545" spans="1:5" x14ac:dyDescent="0.3">
      <c r="A545" s="2">
        <v>405304</v>
      </c>
      <c r="B545" s="2" t="s">
        <v>264</v>
      </c>
      <c r="C545" s="2" t="s">
        <v>392</v>
      </c>
      <c r="D545" s="2">
        <v>4</v>
      </c>
      <c r="E545" s="2" t="s">
        <v>626</v>
      </c>
    </row>
    <row r="546" spans="1:5" x14ac:dyDescent="0.3">
      <c r="A546" s="2">
        <v>405399</v>
      </c>
      <c r="B546" s="2" t="s">
        <v>752</v>
      </c>
      <c r="C546" s="2" t="s">
        <v>368</v>
      </c>
      <c r="D546" s="2">
        <v>2</v>
      </c>
      <c r="E546" s="2" t="s">
        <v>532</v>
      </c>
    </row>
    <row r="547" spans="1:5" x14ac:dyDescent="0.3">
      <c r="A547" s="2">
        <v>405402</v>
      </c>
      <c r="B547" s="2" t="s">
        <v>753</v>
      </c>
      <c r="C547" s="2" t="s">
        <v>361</v>
      </c>
      <c r="D547" s="2">
        <v>6</v>
      </c>
      <c r="E547" s="2" t="s">
        <v>453</v>
      </c>
    </row>
    <row r="548" spans="1:5" x14ac:dyDescent="0.3">
      <c r="A548" s="2">
        <v>405398</v>
      </c>
      <c r="B548" s="2" t="s">
        <v>754</v>
      </c>
      <c r="C548" s="2" t="s">
        <v>373</v>
      </c>
      <c r="D548" s="2">
        <v>3</v>
      </c>
      <c r="E548" s="2" t="s">
        <v>482</v>
      </c>
    </row>
    <row r="549" spans="1:5" x14ac:dyDescent="0.3">
      <c r="A549" s="2">
        <v>405422</v>
      </c>
      <c r="B549" s="2" t="s">
        <v>343</v>
      </c>
      <c r="C549" s="2" t="s">
        <v>378</v>
      </c>
      <c r="D549" s="2">
        <v>2</v>
      </c>
      <c r="E549" s="2" t="s">
        <v>462</v>
      </c>
    </row>
    <row r="550" spans="1:5" x14ac:dyDescent="0.3">
      <c r="A550" s="2">
        <v>107225</v>
      </c>
      <c r="B550" s="2" t="s">
        <v>755</v>
      </c>
      <c r="C550" s="2" t="s">
        <v>363</v>
      </c>
      <c r="D550" s="2">
        <v>3</v>
      </c>
      <c r="E550" s="2" t="s">
        <v>756</v>
      </c>
    </row>
    <row r="551" spans="1:5" x14ac:dyDescent="0.3">
      <c r="A551" s="2">
        <v>107406</v>
      </c>
      <c r="B551" s="2" t="s">
        <v>757</v>
      </c>
      <c r="C551" s="2" t="s">
        <v>365</v>
      </c>
      <c r="D551" s="2">
        <v>6</v>
      </c>
      <c r="E551" s="2" t="s">
        <v>520</v>
      </c>
    </row>
    <row r="552" spans="1:5" x14ac:dyDescent="0.3">
      <c r="A552" s="2">
        <v>402131</v>
      </c>
      <c r="B552" s="2" t="s">
        <v>758</v>
      </c>
      <c r="C552" s="2" t="s">
        <v>382</v>
      </c>
      <c r="D552" s="2">
        <v>3</v>
      </c>
      <c r="E552" s="2" t="s">
        <v>740</v>
      </c>
    </row>
    <row r="553" spans="1:5" x14ac:dyDescent="0.3">
      <c r="A553" s="2">
        <v>405421</v>
      </c>
      <c r="B553" s="2" t="s">
        <v>759</v>
      </c>
      <c r="C553" s="2" t="s">
        <v>392</v>
      </c>
      <c r="D553" s="2">
        <v>3</v>
      </c>
      <c r="E553" s="2" t="s">
        <v>662</v>
      </c>
    </row>
    <row r="554" spans="1:5" x14ac:dyDescent="0.3">
      <c r="A554" s="2">
        <v>107402</v>
      </c>
      <c r="B554" s="2" t="s">
        <v>760</v>
      </c>
      <c r="C554" s="2" t="s">
        <v>362</v>
      </c>
      <c r="D554" s="2">
        <v>3</v>
      </c>
      <c r="E554" s="2" t="s">
        <v>607</v>
      </c>
    </row>
    <row r="555" spans="1:5" x14ac:dyDescent="0.3">
      <c r="A555" s="2">
        <v>100200</v>
      </c>
      <c r="B555" s="2" t="s">
        <v>342</v>
      </c>
      <c r="C555" s="2" t="s">
        <v>384</v>
      </c>
      <c r="D555" s="2">
        <v>3</v>
      </c>
      <c r="E555" s="2" t="s">
        <v>449</v>
      </c>
    </row>
    <row r="556" spans="1:5" x14ac:dyDescent="0.3">
      <c r="A556" s="2">
        <v>107407</v>
      </c>
      <c r="B556" s="2" t="s">
        <v>761</v>
      </c>
      <c r="C556" s="2" t="s">
        <v>361</v>
      </c>
      <c r="D556" s="2">
        <v>6</v>
      </c>
      <c r="E556" s="2" t="s">
        <v>453</v>
      </c>
    </row>
    <row r="557" spans="1:5" x14ac:dyDescent="0.3">
      <c r="A557" s="2">
        <v>107408</v>
      </c>
      <c r="B557" s="2" t="s">
        <v>315</v>
      </c>
      <c r="C557" s="2" t="s">
        <v>361</v>
      </c>
      <c r="D557" s="2">
        <v>6</v>
      </c>
      <c r="E557" s="2" t="s">
        <v>453</v>
      </c>
    </row>
    <row r="558" spans="1:5" x14ac:dyDescent="0.3">
      <c r="A558" s="2">
        <v>107409</v>
      </c>
      <c r="B558" s="2" t="s">
        <v>762</v>
      </c>
      <c r="C558" s="2" t="s">
        <v>361</v>
      </c>
      <c r="D558" s="2">
        <v>6</v>
      </c>
      <c r="E558" s="2" t="s">
        <v>453</v>
      </c>
    </row>
    <row r="559" spans="1:5" x14ac:dyDescent="0.3">
      <c r="A559" s="2">
        <v>107410</v>
      </c>
      <c r="B559" s="2" t="s">
        <v>763</v>
      </c>
      <c r="C559" s="2" t="s">
        <v>361</v>
      </c>
      <c r="D559" s="2">
        <v>6</v>
      </c>
      <c r="E559" s="2" t="s">
        <v>453</v>
      </c>
    </row>
    <row r="560" spans="1:5" x14ac:dyDescent="0.3">
      <c r="A560" s="2">
        <v>107411</v>
      </c>
      <c r="B560" s="2" t="s">
        <v>764</v>
      </c>
      <c r="C560" s="2" t="s">
        <v>361</v>
      </c>
      <c r="D560" s="2">
        <v>6</v>
      </c>
      <c r="E560" s="2" t="s">
        <v>453</v>
      </c>
    </row>
    <row r="561" spans="1:5" x14ac:dyDescent="0.3">
      <c r="A561" s="2">
        <v>107412</v>
      </c>
      <c r="B561" s="2" t="s">
        <v>765</v>
      </c>
      <c r="C561" s="2" t="s">
        <v>361</v>
      </c>
      <c r="D561" s="2">
        <v>6</v>
      </c>
      <c r="E561" s="2" t="s">
        <v>453</v>
      </c>
    </row>
    <row r="562" spans="1:5" x14ac:dyDescent="0.3">
      <c r="A562" s="2">
        <v>107413</v>
      </c>
      <c r="B562" s="2" t="s">
        <v>766</v>
      </c>
      <c r="C562" s="2" t="s">
        <v>361</v>
      </c>
      <c r="D562" s="2">
        <v>6</v>
      </c>
      <c r="E562" s="2" t="s">
        <v>453</v>
      </c>
    </row>
    <row r="563" spans="1:5" x14ac:dyDescent="0.3">
      <c r="A563" s="2">
        <v>107414</v>
      </c>
      <c r="B563" s="2" t="s">
        <v>767</v>
      </c>
      <c r="C563" s="2" t="s">
        <v>361</v>
      </c>
      <c r="D563" s="2">
        <v>6</v>
      </c>
      <c r="E563" s="2" t="s">
        <v>453</v>
      </c>
    </row>
    <row r="564" spans="1:5" x14ac:dyDescent="0.3">
      <c r="A564" s="2">
        <v>405479</v>
      </c>
      <c r="B564" s="2" t="s">
        <v>305</v>
      </c>
      <c r="C564" s="2" t="s">
        <v>361</v>
      </c>
      <c r="D564" s="2">
        <v>6</v>
      </c>
      <c r="E564" s="2" t="s">
        <v>453</v>
      </c>
    </row>
    <row r="565" spans="1:5" x14ac:dyDescent="0.3">
      <c r="A565" s="2">
        <v>107343</v>
      </c>
      <c r="B565" s="2" t="s">
        <v>768</v>
      </c>
      <c r="C565" s="2" t="s">
        <v>375</v>
      </c>
      <c r="D565" s="2">
        <v>3</v>
      </c>
      <c r="E565" s="2" t="s">
        <v>769</v>
      </c>
    </row>
    <row r="566" spans="1:5" x14ac:dyDescent="0.3">
      <c r="A566" s="2">
        <v>107400</v>
      </c>
      <c r="B566" s="2" t="s">
        <v>770</v>
      </c>
      <c r="C566" s="2" t="s">
        <v>379</v>
      </c>
      <c r="D566" s="2">
        <v>3</v>
      </c>
      <c r="E566" s="2" t="s">
        <v>771</v>
      </c>
    </row>
    <row r="567" spans="1:5" x14ac:dyDescent="0.3">
      <c r="A567" s="2">
        <v>107418</v>
      </c>
      <c r="B567" s="2" t="s">
        <v>772</v>
      </c>
      <c r="C567" s="2" t="s">
        <v>361</v>
      </c>
      <c r="D567" s="2">
        <v>6</v>
      </c>
      <c r="E567" s="2" t="s">
        <v>453</v>
      </c>
    </row>
    <row r="568" spans="1:5" x14ac:dyDescent="0.3">
      <c r="A568" s="2">
        <v>107419</v>
      </c>
      <c r="B568" s="2" t="s">
        <v>773</v>
      </c>
      <c r="C568" s="2" t="s">
        <v>361</v>
      </c>
      <c r="D568" s="2">
        <v>6</v>
      </c>
      <c r="E568" s="2" t="s">
        <v>453</v>
      </c>
    </row>
    <row r="569" spans="1:5" x14ac:dyDescent="0.3">
      <c r="A569" s="2">
        <v>405491</v>
      </c>
      <c r="B569" s="2" t="s">
        <v>316</v>
      </c>
      <c r="C569" s="2" t="s">
        <v>368</v>
      </c>
      <c r="D569" s="2">
        <v>2</v>
      </c>
      <c r="E569" s="2" t="s">
        <v>442</v>
      </c>
    </row>
    <row r="570" spans="1:5" x14ac:dyDescent="0.3">
      <c r="A570" s="2">
        <v>405499</v>
      </c>
      <c r="B570" s="2" t="s">
        <v>774</v>
      </c>
      <c r="C570" s="2" t="s">
        <v>388</v>
      </c>
      <c r="D570" s="2">
        <v>4</v>
      </c>
      <c r="E570" s="2" t="s">
        <v>445</v>
      </c>
    </row>
    <row r="571" spans="1:5" x14ac:dyDescent="0.3">
      <c r="A571" s="2">
        <v>403208</v>
      </c>
      <c r="B571" s="2" t="s">
        <v>775</v>
      </c>
      <c r="C571" s="2" t="s">
        <v>362</v>
      </c>
      <c r="D571" s="2">
        <v>3</v>
      </c>
      <c r="E571" s="2" t="s">
        <v>473</v>
      </c>
    </row>
    <row r="572" spans="1:5" x14ac:dyDescent="0.3">
      <c r="A572" s="2">
        <v>405379</v>
      </c>
      <c r="B572" s="2" t="s">
        <v>776</v>
      </c>
      <c r="C572" s="2" t="s">
        <v>368</v>
      </c>
      <c r="D572" s="2">
        <v>2</v>
      </c>
      <c r="E572" s="2" t="s">
        <v>438</v>
      </c>
    </row>
    <row r="573" spans="1:5" x14ac:dyDescent="0.3">
      <c r="A573" s="2">
        <v>107295</v>
      </c>
      <c r="B573" s="2" t="s">
        <v>777</v>
      </c>
      <c r="C573" s="2" t="s">
        <v>368</v>
      </c>
      <c r="D573" s="2">
        <v>2</v>
      </c>
      <c r="E573" s="2" t="s">
        <v>442</v>
      </c>
    </row>
    <row r="574" spans="1:5" x14ac:dyDescent="0.3">
      <c r="A574" s="2">
        <v>107296</v>
      </c>
      <c r="B574" s="2" t="s">
        <v>778</v>
      </c>
      <c r="C574" s="2" t="s">
        <v>365</v>
      </c>
      <c r="D574" s="2">
        <v>6</v>
      </c>
      <c r="E574" s="2" t="s">
        <v>470</v>
      </c>
    </row>
    <row r="575" spans="1:5" x14ac:dyDescent="0.3">
      <c r="A575" s="2">
        <v>403249</v>
      </c>
      <c r="B575" s="2" t="s">
        <v>779</v>
      </c>
      <c r="C575" s="2" t="s">
        <v>362</v>
      </c>
      <c r="D575" s="2">
        <v>2</v>
      </c>
      <c r="E575" s="2" t="s">
        <v>570</v>
      </c>
    </row>
    <row r="576" spans="1:5" x14ac:dyDescent="0.3">
      <c r="A576" s="2">
        <v>170178</v>
      </c>
      <c r="B576" s="2" t="s">
        <v>780</v>
      </c>
      <c r="C576" s="2" t="s">
        <v>384</v>
      </c>
      <c r="D576" s="2">
        <v>4</v>
      </c>
      <c r="E576" s="2" t="s">
        <v>435</v>
      </c>
    </row>
    <row r="577" spans="1:5" x14ac:dyDescent="0.3">
      <c r="A577" s="2">
        <v>107417</v>
      </c>
      <c r="B577" s="2" t="s">
        <v>266</v>
      </c>
      <c r="C577" s="2" t="s">
        <v>376</v>
      </c>
      <c r="D577" s="2">
        <v>3</v>
      </c>
      <c r="E577" s="2" t="s">
        <v>617</v>
      </c>
    </row>
    <row r="578" spans="1:5" x14ac:dyDescent="0.3">
      <c r="A578" s="2">
        <v>405500</v>
      </c>
      <c r="B578" s="2" t="s">
        <v>781</v>
      </c>
      <c r="C578" s="2" t="s">
        <v>370</v>
      </c>
      <c r="D578" s="2">
        <v>3</v>
      </c>
      <c r="E578" s="2" t="s">
        <v>466</v>
      </c>
    </row>
    <row r="579" spans="1:5" x14ac:dyDescent="0.3">
      <c r="A579" s="2">
        <v>107416</v>
      </c>
      <c r="B579" s="2" t="s">
        <v>782</v>
      </c>
      <c r="C579" s="2" t="s">
        <v>384</v>
      </c>
      <c r="D579" s="2">
        <v>3</v>
      </c>
      <c r="E579" s="2" t="s">
        <v>449</v>
      </c>
    </row>
    <row r="580" spans="1:5" x14ac:dyDescent="0.3">
      <c r="A580" s="2">
        <v>100206</v>
      </c>
      <c r="B580" s="2" t="s">
        <v>783</v>
      </c>
      <c r="C580" s="2" t="s">
        <v>384</v>
      </c>
      <c r="D580" s="2">
        <v>3</v>
      </c>
      <c r="E580" s="2" t="s">
        <v>449</v>
      </c>
    </row>
    <row r="581" spans="1:5" x14ac:dyDescent="0.3">
      <c r="A581" s="2">
        <v>405524</v>
      </c>
      <c r="B581" s="2" t="s">
        <v>267</v>
      </c>
      <c r="C581" s="2" t="s">
        <v>368</v>
      </c>
      <c r="D581" s="2">
        <v>4</v>
      </c>
      <c r="E581" s="2" t="s">
        <v>435</v>
      </c>
    </row>
    <row r="582" spans="1:5" x14ac:dyDescent="0.3">
      <c r="A582" s="2">
        <v>107313</v>
      </c>
      <c r="B582" s="2" t="s">
        <v>784</v>
      </c>
      <c r="C582" s="2" t="s">
        <v>370</v>
      </c>
      <c r="D582" s="2">
        <v>3</v>
      </c>
      <c r="E582" s="2" t="s">
        <v>466</v>
      </c>
    </row>
    <row r="583" spans="1:5" x14ac:dyDescent="0.3">
      <c r="A583" s="2">
        <v>404749</v>
      </c>
      <c r="B583" s="2" t="s">
        <v>785</v>
      </c>
      <c r="C583" s="2" t="s">
        <v>361</v>
      </c>
      <c r="D583" s="2">
        <v>6</v>
      </c>
      <c r="E583" s="2" t="s">
        <v>453</v>
      </c>
    </row>
    <row r="584" spans="1:5" x14ac:dyDescent="0.3">
      <c r="A584" s="2">
        <v>107291</v>
      </c>
      <c r="B584" s="2" t="s">
        <v>786</v>
      </c>
      <c r="C584" s="2" t="s">
        <v>361</v>
      </c>
      <c r="D584" s="2">
        <v>6</v>
      </c>
      <c r="E584" s="2" t="s">
        <v>453</v>
      </c>
    </row>
    <row r="585" spans="1:5" x14ac:dyDescent="0.3">
      <c r="A585" s="2">
        <v>402135</v>
      </c>
      <c r="B585" s="2" t="s">
        <v>787</v>
      </c>
      <c r="C585" s="2" t="s">
        <v>392</v>
      </c>
      <c r="D585" s="2">
        <v>3</v>
      </c>
      <c r="E585" s="2" t="s">
        <v>662</v>
      </c>
    </row>
    <row r="586" spans="1:5" x14ac:dyDescent="0.3">
      <c r="A586" s="2">
        <v>107221</v>
      </c>
      <c r="B586" s="2" t="s">
        <v>788</v>
      </c>
      <c r="C586" s="2" t="s">
        <v>365</v>
      </c>
      <c r="D586" s="2">
        <v>6</v>
      </c>
      <c r="E586" s="2" t="s">
        <v>520</v>
      </c>
    </row>
    <row r="587" spans="1:5" x14ac:dyDescent="0.3">
      <c r="A587" s="2">
        <v>405335</v>
      </c>
      <c r="B587" s="2" t="s">
        <v>355</v>
      </c>
      <c r="C587" s="2" t="s">
        <v>381</v>
      </c>
      <c r="D587" s="2">
        <v>3</v>
      </c>
      <c r="E587" s="2" t="s">
        <v>601</v>
      </c>
    </row>
    <row r="588" spans="1:5" x14ac:dyDescent="0.3">
      <c r="A588" s="2">
        <v>405496</v>
      </c>
      <c r="B588" s="2" t="s">
        <v>789</v>
      </c>
      <c r="C588" s="2" t="s">
        <v>361</v>
      </c>
      <c r="D588" s="2">
        <v>6</v>
      </c>
      <c r="E588" s="2" t="s">
        <v>453</v>
      </c>
    </row>
    <row r="589" spans="1:5" x14ac:dyDescent="0.3">
      <c r="A589" s="2">
        <v>405493</v>
      </c>
      <c r="B589" s="2" t="s">
        <v>310</v>
      </c>
      <c r="C589" s="2" t="s">
        <v>361</v>
      </c>
      <c r="D589" s="2">
        <v>6</v>
      </c>
      <c r="E589" s="2" t="s">
        <v>453</v>
      </c>
    </row>
    <row r="590" spans="1:5" x14ac:dyDescent="0.3">
      <c r="A590" s="2">
        <v>405494</v>
      </c>
      <c r="B590" s="2" t="s">
        <v>311</v>
      </c>
      <c r="C590" s="2" t="s">
        <v>361</v>
      </c>
      <c r="D590" s="2">
        <v>6</v>
      </c>
      <c r="E590" s="2" t="s">
        <v>453</v>
      </c>
    </row>
    <row r="591" spans="1:5" x14ac:dyDescent="0.3">
      <c r="A591" s="2">
        <v>405497</v>
      </c>
      <c r="B591" s="2" t="s">
        <v>312</v>
      </c>
      <c r="C591" s="2" t="s">
        <v>361</v>
      </c>
      <c r="D591" s="2">
        <v>6</v>
      </c>
      <c r="E591" s="2" t="s">
        <v>453</v>
      </c>
    </row>
    <row r="592" spans="1:5" x14ac:dyDescent="0.3">
      <c r="A592" s="2">
        <v>405495</v>
      </c>
      <c r="B592" s="2" t="s">
        <v>313</v>
      </c>
      <c r="C592" s="2" t="s">
        <v>361</v>
      </c>
      <c r="D592" s="2">
        <v>6</v>
      </c>
      <c r="E592" s="2" t="s">
        <v>453</v>
      </c>
    </row>
    <row r="593" spans="1:5" x14ac:dyDescent="0.3">
      <c r="A593" s="2">
        <v>405498</v>
      </c>
      <c r="B593" s="2" t="s">
        <v>314</v>
      </c>
      <c r="C593" s="2" t="s">
        <v>361</v>
      </c>
      <c r="D593" s="2">
        <v>6</v>
      </c>
      <c r="E593" s="2" t="s">
        <v>453</v>
      </c>
    </row>
    <row r="594" spans="1:5" x14ac:dyDescent="0.3">
      <c r="A594" s="2">
        <v>405528</v>
      </c>
      <c r="B594" s="2" t="s">
        <v>790</v>
      </c>
      <c r="C594" s="2" t="s">
        <v>389</v>
      </c>
      <c r="D594" s="2">
        <v>3</v>
      </c>
      <c r="E594" s="2" t="s">
        <v>449</v>
      </c>
    </row>
    <row r="595" spans="1:5" x14ac:dyDescent="0.3">
      <c r="A595" s="2">
        <v>403383</v>
      </c>
      <c r="B595" s="2" t="s">
        <v>791</v>
      </c>
      <c r="C595" s="2" t="s">
        <v>378</v>
      </c>
      <c r="D595" s="2">
        <v>3</v>
      </c>
      <c r="E595" s="2" t="s">
        <v>635</v>
      </c>
    </row>
    <row r="596" spans="1:5" x14ac:dyDescent="0.3">
      <c r="A596" s="2">
        <v>107314</v>
      </c>
      <c r="B596" s="2" t="s">
        <v>792</v>
      </c>
      <c r="C596" s="2" t="s">
        <v>370</v>
      </c>
      <c r="D596" s="2">
        <v>3</v>
      </c>
      <c r="E596" s="2" t="s">
        <v>466</v>
      </c>
    </row>
    <row r="597" spans="1:5" x14ac:dyDescent="0.3">
      <c r="A597" s="2">
        <v>107152</v>
      </c>
      <c r="B597" s="2" t="s">
        <v>793</v>
      </c>
      <c r="C597" s="2" t="s">
        <v>363</v>
      </c>
      <c r="D597" s="2">
        <v>2</v>
      </c>
      <c r="E597" s="2" t="s">
        <v>794</v>
      </c>
    </row>
    <row r="598" spans="1:5" x14ac:dyDescent="0.3">
      <c r="A598" s="2">
        <v>405563</v>
      </c>
      <c r="B598" s="2" t="s">
        <v>795</v>
      </c>
      <c r="C598" s="2" t="s">
        <v>384</v>
      </c>
      <c r="D598" s="2">
        <v>3</v>
      </c>
      <c r="E598" s="2" t="s">
        <v>796</v>
      </c>
    </row>
    <row r="599" spans="1:5" x14ac:dyDescent="0.3">
      <c r="A599" s="2">
        <v>405562</v>
      </c>
      <c r="B599" s="2" t="s">
        <v>797</v>
      </c>
      <c r="C599" s="2" t="s">
        <v>384</v>
      </c>
      <c r="D599" s="2">
        <v>4</v>
      </c>
      <c r="E599" s="2" t="s">
        <v>435</v>
      </c>
    </row>
    <row r="600" spans="1:5" x14ac:dyDescent="0.3">
      <c r="A600" s="2">
        <v>405572</v>
      </c>
      <c r="B600" s="2" t="s">
        <v>798</v>
      </c>
      <c r="C600" s="2" t="s">
        <v>361</v>
      </c>
      <c r="D600" s="2">
        <v>6</v>
      </c>
      <c r="E600" s="2" t="s">
        <v>453</v>
      </c>
    </row>
    <row r="601" spans="1:5" x14ac:dyDescent="0.3">
      <c r="A601" s="2">
        <v>405571</v>
      </c>
      <c r="B601" s="2" t="s">
        <v>799</v>
      </c>
      <c r="C601" s="2" t="s">
        <v>361</v>
      </c>
      <c r="D601" s="2">
        <v>6</v>
      </c>
      <c r="E601" s="2" t="s">
        <v>453</v>
      </c>
    </row>
    <row r="602" spans="1:5" x14ac:dyDescent="0.3">
      <c r="A602" s="2">
        <v>405573</v>
      </c>
      <c r="B602" s="2" t="s">
        <v>800</v>
      </c>
      <c r="C602" s="2" t="s">
        <v>384</v>
      </c>
      <c r="D602" s="2">
        <v>4</v>
      </c>
      <c r="E602" s="2" t="s">
        <v>435</v>
      </c>
    </row>
    <row r="603" spans="1:5" x14ac:dyDescent="0.3">
      <c r="A603" s="2">
        <v>405558</v>
      </c>
      <c r="B603" s="2" t="s">
        <v>352</v>
      </c>
      <c r="C603" s="2" t="s">
        <v>368</v>
      </c>
      <c r="D603" s="2">
        <v>3</v>
      </c>
      <c r="E603" s="2" t="s">
        <v>617</v>
      </c>
    </row>
    <row r="604" spans="1:5" x14ac:dyDescent="0.3">
      <c r="A604" s="2">
        <v>405612</v>
      </c>
      <c r="B604" s="2" t="s">
        <v>354</v>
      </c>
      <c r="C604" s="2" t="s">
        <v>368</v>
      </c>
      <c r="D604" s="2">
        <v>4</v>
      </c>
      <c r="E604" s="2" t="s">
        <v>435</v>
      </c>
    </row>
    <row r="605" spans="1:5" x14ac:dyDescent="0.3">
      <c r="A605" s="2">
        <v>405227</v>
      </c>
      <c r="B605" s="2" t="s">
        <v>801</v>
      </c>
      <c r="C605" s="2" t="s">
        <v>362</v>
      </c>
      <c r="D605" s="2">
        <v>2</v>
      </c>
      <c r="E605" s="2" t="s">
        <v>644</v>
      </c>
    </row>
    <row r="606" spans="1:5" x14ac:dyDescent="0.3">
      <c r="A606" s="2">
        <v>405564</v>
      </c>
      <c r="B606" s="2" t="s">
        <v>802</v>
      </c>
      <c r="C606" s="2" t="s">
        <v>389</v>
      </c>
      <c r="D606" s="2">
        <v>3</v>
      </c>
      <c r="E606" s="2" t="s">
        <v>796</v>
      </c>
    </row>
    <row r="607" spans="1:5" x14ac:dyDescent="0.3">
      <c r="A607" s="2">
        <v>405635</v>
      </c>
      <c r="B607" s="2" t="s">
        <v>803</v>
      </c>
      <c r="C607" s="2" t="s">
        <v>362</v>
      </c>
      <c r="D607" s="2">
        <v>3</v>
      </c>
      <c r="E607" s="2" t="s">
        <v>635</v>
      </c>
    </row>
    <row r="608" spans="1:5" x14ac:dyDescent="0.3">
      <c r="A608" s="2">
        <v>405593</v>
      </c>
      <c r="B608" s="2" t="s">
        <v>324</v>
      </c>
      <c r="C608" s="2" t="s">
        <v>386</v>
      </c>
      <c r="D608" s="2">
        <v>3</v>
      </c>
      <c r="E608" s="2" t="s">
        <v>804</v>
      </c>
    </row>
    <row r="609" spans="1:5" x14ac:dyDescent="0.3">
      <c r="A609" s="2">
        <v>405685</v>
      </c>
      <c r="B609" s="2" t="s">
        <v>805</v>
      </c>
      <c r="C609" s="2" t="s">
        <v>417</v>
      </c>
      <c r="D609" s="2">
        <v>2</v>
      </c>
      <c r="E609" s="2" t="s">
        <v>561</v>
      </c>
    </row>
    <row r="610" spans="1:5" x14ac:dyDescent="0.3">
      <c r="A610" s="2">
        <v>362073</v>
      </c>
      <c r="B610" s="2" t="s">
        <v>806</v>
      </c>
      <c r="C610" s="2" t="s">
        <v>366</v>
      </c>
      <c r="D610" s="2">
        <v>2</v>
      </c>
      <c r="E610" s="2" t="s">
        <v>484</v>
      </c>
    </row>
    <row r="611" spans="1:5" x14ac:dyDescent="0.3">
      <c r="A611" s="2">
        <v>405594</v>
      </c>
      <c r="B611" s="2" t="s">
        <v>274</v>
      </c>
      <c r="C611" s="2" t="s">
        <v>362</v>
      </c>
      <c r="D611" s="2">
        <v>2</v>
      </c>
      <c r="E611" s="2" t="s">
        <v>570</v>
      </c>
    </row>
    <row r="612" spans="1:5" x14ac:dyDescent="0.3">
      <c r="A612" s="2">
        <v>403375</v>
      </c>
      <c r="B612" s="2" t="s">
        <v>807</v>
      </c>
      <c r="C612" s="2" t="s">
        <v>378</v>
      </c>
      <c r="D612" s="2">
        <v>15</v>
      </c>
      <c r="E612" s="2" t="s">
        <v>566</v>
      </c>
    </row>
    <row r="613" spans="1:5" x14ac:dyDescent="0.3">
      <c r="A613" s="2">
        <v>103105</v>
      </c>
      <c r="B613" s="2" t="s">
        <v>808</v>
      </c>
      <c r="C613" s="2" t="s">
        <v>391</v>
      </c>
      <c r="D613" s="2">
        <v>2</v>
      </c>
      <c r="E613" s="2" t="s">
        <v>439</v>
      </c>
    </row>
    <row r="614" spans="1:5" x14ac:dyDescent="0.3">
      <c r="A614" s="2">
        <v>405671</v>
      </c>
      <c r="B614" s="2" t="s">
        <v>809</v>
      </c>
      <c r="C614" s="2" t="s">
        <v>361</v>
      </c>
      <c r="D614" s="2">
        <v>6</v>
      </c>
      <c r="E614" s="2" t="s">
        <v>453</v>
      </c>
    </row>
    <row r="615" spans="1:5" x14ac:dyDescent="0.3">
      <c r="A615" s="2">
        <v>405721</v>
      </c>
      <c r="B615" s="2" t="s">
        <v>306</v>
      </c>
      <c r="C615" s="2" t="s">
        <v>361</v>
      </c>
      <c r="D615" s="2">
        <v>6</v>
      </c>
      <c r="E615" s="2" t="s">
        <v>453</v>
      </c>
    </row>
    <row r="616" spans="1:5" x14ac:dyDescent="0.3">
      <c r="A616" s="2">
        <v>405717</v>
      </c>
      <c r="B616" s="2" t="s">
        <v>299</v>
      </c>
      <c r="C616" s="2" t="s">
        <v>361</v>
      </c>
      <c r="D616" s="2">
        <v>6</v>
      </c>
      <c r="E616" s="2" t="s">
        <v>453</v>
      </c>
    </row>
    <row r="617" spans="1:5" x14ac:dyDescent="0.3">
      <c r="A617" s="2">
        <v>405709</v>
      </c>
      <c r="B617" s="2" t="s">
        <v>295</v>
      </c>
      <c r="C617" s="2" t="s">
        <v>361</v>
      </c>
      <c r="D617" s="2">
        <v>6</v>
      </c>
      <c r="E617" s="2" t="s">
        <v>453</v>
      </c>
    </row>
    <row r="618" spans="1:5" x14ac:dyDescent="0.3">
      <c r="A618" s="2">
        <v>405720</v>
      </c>
      <c r="B618" s="2" t="s">
        <v>282</v>
      </c>
      <c r="C618" s="2" t="s">
        <v>361</v>
      </c>
      <c r="D618" s="2">
        <v>6</v>
      </c>
      <c r="E618" s="2" t="s">
        <v>453</v>
      </c>
    </row>
    <row r="619" spans="1:5" x14ac:dyDescent="0.3">
      <c r="A619" s="2">
        <v>405714</v>
      </c>
      <c r="B619" s="2" t="s">
        <v>300</v>
      </c>
      <c r="C619" s="2" t="s">
        <v>361</v>
      </c>
      <c r="D619" s="2">
        <v>6</v>
      </c>
      <c r="E619" s="2" t="s">
        <v>453</v>
      </c>
    </row>
    <row r="620" spans="1:5" x14ac:dyDescent="0.3">
      <c r="A620" s="2">
        <v>405713</v>
      </c>
      <c r="B620" s="2" t="s">
        <v>293</v>
      </c>
      <c r="C620" s="2" t="s">
        <v>361</v>
      </c>
      <c r="D620" s="2">
        <v>6</v>
      </c>
      <c r="E620" s="2" t="s">
        <v>453</v>
      </c>
    </row>
    <row r="621" spans="1:5" x14ac:dyDescent="0.3">
      <c r="A621" s="2">
        <v>405718</v>
      </c>
      <c r="B621" s="2" t="s">
        <v>289</v>
      </c>
      <c r="C621" s="2" t="s">
        <v>361</v>
      </c>
      <c r="D621" s="2">
        <v>6</v>
      </c>
      <c r="E621" s="2" t="s">
        <v>453</v>
      </c>
    </row>
    <row r="622" spans="1:5" x14ac:dyDescent="0.3">
      <c r="A622" s="2">
        <v>405730</v>
      </c>
      <c r="B622" s="2" t="s">
        <v>347</v>
      </c>
      <c r="C622" s="2" t="s">
        <v>365</v>
      </c>
      <c r="D622" s="2">
        <v>6</v>
      </c>
      <c r="E622" s="2" t="s">
        <v>470</v>
      </c>
    </row>
    <row r="623" spans="1:5" x14ac:dyDescent="0.3">
      <c r="A623" s="2">
        <v>107317</v>
      </c>
      <c r="B623" s="2" t="s">
        <v>269</v>
      </c>
      <c r="C623" s="2" t="s">
        <v>382</v>
      </c>
      <c r="D623" s="2">
        <v>3</v>
      </c>
      <c r="E623" s="2" t="s">
        <v>494</v>
      </c>
    </row>
    <row r="624" spans="1:5" x14ac:dyDescent="0.3">
      <c r="A624" s="2">
        <v>405728</v>
      </c>
      <c r="B624" s="2" t="s">
        <v>263</v>
      </c>
      <c r="C624" s="2" t="s">
        <v>365</v>
      </c>
      <c r="D624" s="2">
        <v>6</v>
      </c>
      <c r="E624" s="2" t="s">
        <v>470</v>
      </c>
    </row>
    <row r="625" spans="1:5" x14ac:dyDescent="0.3">
      <c r="A625" s="2">
        <v>405722</v>
      </c>
      <c r="B625" s="2" t="s">
        <v>307</v>
      </c>
      <c r="C625" s="2" t="s">
        <v>361</v>
      </c>
      <c r="D625" s="2">
        <v>6</v>
      </c>
      <c r="E625" s="2" t="s">
        <v>453</v>
      </c>
    </row>
    <row r="626" spans="1:5" x14ac:dyDescent="0.3">
      <c r="A626" s="2">
        <v>405719</v>
      </c>
      <c r="B626" s="2" t="s">
        <v>283</v>
      </c>
      <c r="C626" s="2" t="s">
        <v>361</v>
      </c>
      <c r="D626" s="2">
        <v>6</v>
      </c>
      <c r="E626" s="2" t="s">
        <v>453</v>
      </c>
    </row>
    <row r="627" spans="1:5" x14ac:dyDescent="0.3">
      <c r="A627" s="2">
        <v>405733</v>
      </c>
      <c r="B627" s="2" t="s">
        <v>294</v>
      </c>
      <c r="C627" s="2" t="s">
        <v>361</v>
      </c>
      <c r="D627" s="2">
        <v>6</v>
      </c>
      <c r="E627" s="2" t="s">
        <v>453</v>
      </c>
    </row>
    <row r="628" spans="1:5" x14ac:dyDescent="0.3">
      <c r="A628" s="2">
        <v>405734</v>
      </c>
      <c r="B628" s="2" t="s">
        <v>297</v>
      </c>
      <c r="C628" s="2" t="s">
        <v>361</v>
      </c>
      <c r="D628" s="2">
        <v>6</v>
      </c>
      <c r="E628" s="2" t="s">
        <v>453</v>
      </c>
    </row>
    <row r="629" spans="1:5" x14ac:dyDescent="0.3">
      <c r="A629" s="2">
        <v>405736</v>
      </c>
      <c r="B629" s="2" t="s">
        <v>290</v>
      </c>
      <c r="C629" s="2" t="s">
        <v>361</v>
      </c>
      <c r="D629" s="2">
        <v>6</v>
      </c>
      <c r="E629" s="2" t="s">
        <v>453</v>
      </c>
    </row>
    <row r="630" spans="1:5" x14ac:dyDescent="0.3">
      <c r="A630" s="2">
        <v>405737</v>
      </c>
      <c r="B630" s="2" t="s">
        <v>296</v>
      </c>
      <c r="C630" s="2" t="s">
        <v>361</v>
      </c>
      <c r="D630" s="2">
        <v>6</v>
      </c>
      <c r="E630" s="2" t="s">
        <v>453</v>
      </c>
    </row>
    <row r="631" spans="1:5" x14ac:dyDescent="0.3">
      <c r="A631" s="2">
        <v>405735</v>
      </c>
      <c r="B631" s="2" t="s">
        <v>301</v>
      </c>
      <c r="C631" s="2" t="s">
        <v>361</v>
      </c>
      <c r="D631" s="2">
        <v>6</v>
      </c>
      <c r="E631" s="2" t="s">
        <v>453</v>
      </c>
    </row>
    <row r="632" spans="1:5" x14ac:dyDescent="0.3">
      <c r="A632" s="2">
        <v>405738</v>
      </c>
      <c r="B632" s="2" t="s">
        <v>309</v>
      </c>
      <c r="C632" s="2" t="s">
        <v>361</v>
      </c>
      <c r="D632" s="2">
        <v>6</v>
      </c>
      <c r="E632" s="2" t="s">
        <v>453</v>
      </c>
    </row>
    <row r="633" spans="1:5" x14ac:dyDescent="0.3">
      <c r="A633" s="2">
        <v>405711</v>
      </c>
      <c r="B633" s="2" t="s">
        <v>292</v>
      </c>
      <c r="C633" s="2" t="s">
        <v>361</v>
      </c>
      <c r="D633" s="2">
        <v>6</v>
      </c>
      <c r="E633" s="2" t="s">
        <v>453</v>
      </c>
    </row>
    <row r="634" spans="1:5" x14ac:dyDescent="0.3">
      <c r="A634" s="2">
        <v>405739</v>
      </c>
      <c r="B634" s="2" t="s">
        <v>276</v>
      </c>
      <c r="C634" s="2" t="s">
        <v>378</v>
      </c>
      <c r="D634" s="2">
        <v>4</v>
      </c>
      <c r="E634" s="2" t="s">
        <v>745</v>
      </c>
    </row>
    <row r="635" spans="1:5" x14ac:dyDescent="0.3">
      <c r="A635" s="2">
        <v>405731</v>
      </c>
      <c r="B635" s="2" t="s">
        <v>810</v>
      </c>
      <c r="C635" s="2" t="s">
        <v>365</v>
      </c>
      <c r="D635" s="2">
        <v>6</v>
      </c>
      <c r="E635" s="2" t="s">
        <v>520</v>
      </c>
    </row>
    <row r="636" spans="1:5" x14ac:dyDescent="0.3">
      <c r="A636" s="2">
        <v>405732</v>
      </c>
      <c r="B636" s="2" t="s">
        <v>344</v>
      </c>
      <c r="C636" s="2" t="s">
        <v>365</v>
      </c>
      <c r="D636" s="2">
        <v>6</v>
      </c>
      <c r="E636" s="2" t="s">
        <v>520</v>
      </c>
    </row>
    <row r="637" spans="1:5" x14ac:dyDescent="0.3">
      <c r="A637" s="2">
        <v>405710</v>
      </c>
      <c r="B637" s="2" t="s">
        <v>291</v>
      </c>
      <c r="C637" s="2" t="s">
        <v>361</v>
      </c>
      <c r="D637" s="2">
        <v>6</v>
      </c>
      <c r="E637" s="2" t="s">
        <v>453</v>
      </c>
    </row>
    <row r="638" spans="1:5" x14ac:dyDescent="0.3">
      <c r="A638" s="2">
        <v>430440</v>
      </c>
      <c r="B638" s="2" t="s">
        <v>811</v>
      </c>
      <c r="C638" s="2" t="s">
        <v>366</v>
      </c>
      <c r="D638" s="2">
        <v>3</v>
      </c>
      <c r="E638" s="2" t="s">
        <v>563</v>
      </c>
    </row>
    <row r="639" spans="1:5" x14ac:dyDescent="0.3">
      <c r="A639" s="2">
        <v>107226</v>
      </c>
      <c r="B639" s="2" t="s">
        <v>812</v>
      </c>
      <c r="C639" s="2" t="s">
        <v>417</v>
      </c>
      <c r="D639" s="2">
        <v>2</v>
      </c>
      <c r="E639" s="2" t="s">
        <v>539</v>
      </c>
    </row>
    <row r="640" spans="1:5" x14ac:dyDescent="0.3">
      <c r="A640" s="2">
        <v>405745</v>
      </c>
      <c r="B640" s="2" t="s">
        <v>326</v>
      </c>
      <c r="C640" s="2" t="s">
        <v>388</v>
      </c>
      <c r="D640" s="2">
        <v>3</v>
      </c>
      <c r="E640" s="2" t="s">
        <v>692</v>
      </c>
    </row>
    <row r="641" spans="1:5" x14ac:dyDescent="0.3">
      <c r="A641" s="2">
        <v>403258</v>
      </c>
      <c r="B641" s="2" t="s">
        <v>262</v>
      </c>
      <c r="C641" s="2" t="s">
        <v>378</v>
      </c>
      <c r="D641" s="2">
        <v>3</v>
      </c>
      <c r="E641" s="2" t="s">
        <v>607</v>
      </c>
    </row>
    <row r="642" spans="1:5" x14ac:dyDescent="0.3">
      <c r="A642" s="2">
        <v>405704</v>
      </c>
      <c r="B642" s="2" t="s">
        <v>286</v>
      </c>
      <c r="C642" s="2" t="s">
        <v>361</v>
      </c>
      <c r="D642" s="2">
        <v>6</v>
      </c>
      <c r="E642" s="2" t="s">
        <v>453</v>
      </c>
    </row>
    <row r="643" spans="1:5" x14ac:dyDescent="0.3">
      <c r="A643" s="2">
        <v>405773</v>
      </c>
      <c r="B643" s="2" t="s">
        <v>284</v>
      </c>
      <c r="C643" s="2" t="s">
        <v>361</v>
      </c>
      <c r="D643" s="2">
        <v>6</v>
      </c>
      <c r="E643" s="2" t="s">
        <v>453</v>
      </c>
    </row>
    <row r="644" spans="1:5" x14ac:dyDescent="0.3">
      <c r="A644" s="2">
        <v>405774</v>
      </c>
      <c r="B644" s="2" t="s">
        <v>813</v>
      </c>
      <c r="C644" s="2" t="s">
        <v>365</v>
      </c>
      <c r="D644" s="2">
        <v>6</v>
      </c>
      <c r="E644" s="2" t="s">
        <v>520</v>
      </c>
    </row>
    <row r="645" spans="1:5" x14ac:dyDescent="0.3">
      <c r="A645" s="2">
        <v>405785</v>
      </c>
      <c r="B645" s="2" t="s">
        <v>79</v>
      </c>
      <c r="C645" s="2" t="s">
        <v>361</v>
      </c>
      <c r="D645" s="2">
        <v>6</v>
      </c>
      <c r="E645" s="2" t="s">
        <v>453</v>
      </c>
    </row>
    <row r="646" spans="1:5" x14ac:dyDescent="0.3">
      <c r="A646" s="2">
        <v>405752</v>
      </c>
      <c r="B646" s="2" t="s">
        <v>80</v>
      </c>
      <c r="C646" s="2" t="s">
        <v>361</v>
      </c>
      <c r="D646" s="2">
        <v>6</v>
      </c>
      <c r="E646" s="2" t="s">
        <v>453</v>
      </c>
    </row>
    <row r="647" spans="1:5" x14ac:dyDescent="0.3">
      <c r="A647" s="2">
        <v>405753</v>
      </c>
      <c r="B647" s="2" t="s">
        <v>88</v>
      </c>
      <c r="C647" s="2" t="s">
        <v>361</v>
      </c>
      <c r="D647" s="2">
        <v>6</v>
      </c>
      <c r="E647" s="2" t="s">
        <v>453</v>
      </c>
    </row>
    <row r="648" spans="1:5" x14ac:dyDescent="0.3">
      <c r="A648" s="2">
        <v>405754</v>
      </c>
      <c r="B648" s="2" t="s">
        <v>95</v>
      </c>
      <c r="C648" s="2" t="s">
        <v>361</v>
      </c>
      <c r="D648" s="2">
        <v>6</v>
      </c>
      <c r="E648" s="2" t="s">
        <v>453</v>
      </c>
    </row>
    <row r="649" spans="1:5" x14ac:dyDescent="0.3">
      <c r="A649" s="2">
        <v>405784</v>
      </c>
      <c r="B649" s="2" t="s">
        <v>143</v>
      </c>
      <c r="C649" s="2" t="s">
        <v>361</v>
      </c>
      <c r="D649" s="2">
        <v>6</v>
      </c>
      <c r="E649" s="2" t="s">
        <v>453</v>
      </c>
    </row>
    <row r="650" spans="1:5" x14ac:dyDescent="0.3">
      <c r="A650" s="2">
        <v>405783</v>
      </c>
      <c r="B650" s="2" t="s">
        <v>145</v>
      </c>
      <c r="C650" s="2" t="s">
        <v>361</v>
      </c>
      <c r="D650" s="2">
        <v>6</v>
      </c>
      <c r="E650" s="2" t="s">
        <v>453</v>
      </c>
    </row>
    <row r="651" spans="1:5" x14ac:dyDescent="0.3">
      <c r="A651" s="2">
        <v>405770</v>
      </c>
      <c r="B651" s="2" t="s">
        <v>273</v>
      </c>
      <c r="C651" s="2" t="s">
        <v>362</v>
      </c>
      <c r="D651" s="2">
        <v>3</v>
      </c>
      <c r="E651" s="2" t="s">
        <v>622</v>
      </c>
    </row>
    <row r="652" spans="1:5" x14ac:dyDescent="0.3">
      <c r="A652" s="2">
        <v>405716</v>
      </c>
      <c r="B652" s="2" t="s">
        <v>298</v>
      </c>
      <c r="C652" s="2" t="s">
        <v>361</v>
      </c>
      <c r="D652" s="2">
        <v>6</v>
      </c>
      <c r="E652" s="2" t="s">
        <v>453</v>
      </c>
    </row>
    <row r="653" spans="1:5" x14ac:dyDescent="0.3">
      <c r="A653" s="2">
        <v>405771</v>
      </c>
      <c r="B653" s="2" t="s">
        <v>302</v>
      </c>
      <c r="C653" s="2" t="s">
        <v>361</v>
      </c>
      <c r="D653" s="2">
        <v>6</v>
      </c>
      <c r="E653" s="2" t="s">
        <v>453</v>
      </c>
    </row>
    <row r="654" spans="1:5" x14ac:dyDescent="0.3">
      <c r="A654" s="2">
        <v>405772</v>
      </c>
      <c r="B654" s="2" t="s">
        <v>303</v>
      </c>
      <c r="C654" s="2" t="s">
        <v>361</v>
      </c>
      <c r="D654" s="2">
        <v>6</v>
      </c>
      <c r="E654" s="2" t="s">
        <v>453</v>
      </c>
    </row>
    <row r="655" spans="1:5" x14ac:dyDescent="0.3">
      <c r="A655" s="2">
        <v>405705</v>
      </c>
      <c r="B655" s="2" t="s">
        <v>405</v>
      </c>
      <c r="C655" s="2" t="s">
        <v>416</v>
      </c>
      <c r="D655" s="2">
        <v>3</v>
      </c>
      <c r="E655" s="2" t="s">
        <v>449</v>
      </c>
    </row>
    <row r="656" spans="1:5" x14ac:dyDescent="0.3">
      <c r="A656" s="2">
        <v>405789</v>
      </c>
      <c r="B656" s="2" t="s">
        <v>814</v>
      </c>
      <c r="C656" s="2" t="s">
        <v>378</v>
      </c>
      <c r="D656" s="2">
        <v>15</v>
      </c>
    </row>
    <row r="657" spans="1:4" x14ac:dyDescent="0.3">
      <c r="A657" s="2">
        <v>405793</v>
      </c>
      <c r="B657" s="2" t="s">
        <v>815</v>
      </c>
      <c r="C657" s="2" t="s">
        <v>378</v>
      </c>
      <c r="D657" s="2">
        <v>15</v>
      </c>
    </row>
    <row r="658" spans="1:4" x14ac:dyDescent="0.3">
      <c r="A658" s="2">
        <v>405797</v>
      </c>
      <c r="B658" s="2" t="s">
        <v>816</v>
      </c>
      <c r="C658" s="2" t="s">
        <v>382</v>
      </c>
      <c r="D658" s="2">
        <v>5</v>
      </c>
    </row>
    <row r="659" spans="1:4" x14ac:dyDescent="0.3">
      <c r="A659" s="2">
        <v>405700</v>
      </c>
      <c r="B659" s="2" t="s">
        <v>818</v>
      </c>
      <c r="C659" s="2" t="s">
        <v>388</v>
      </c>
      <c r="D659" s="2">
        <v>7</v>
      </c>
    </row>
    <row r="660" spans="1:4" x14ac:dyDescent="0.3">
      <c r="A660" s="2">
        <v>405790</v>
      </c>
      <c r="B660" s="2" t="s">
        <v>820</v>
      </c>
      <c r="C660" s="2" t="s">
        <v>378</v>
      </c>
      <c r="D660" s="2">
        <v>15</v>
      </c>
    </row>
    <row r="661" spans="1:4" x14ac:dyDescent="0.3">
      <c r="A661" s="2">
        <v>405791</v>
      </c>
      <c r="B661" s="2" t="s">
        <v>824</v>
      </c>
      <c r="C661" s="2" t="s">
        <v>378</v>
      </c>
      <c r="D661" s="2">
        <v>15</v>
      </c>
    </row>
    <row r="662" spans="1:4" x14ac:dyDescent="0.3">
      <c r="A662" s="2">
        <v>405786</v>
      </c>
      <c r="B662" s="2" t="s">
        <v>825</v>
      </c>
      <c r="C662" s="2" t="s">
        <v>362</v>
      </c>
    </row>
    <row r="663" spans="1:4" x14ac:dyDescent="0.3">
      <c r="A663" s="2">
        <v>405794</v>
      </c>
      <c r="B663" s="2" t="s">
        <v>826</v>
      </c>
      <c r="C663" s="2" t="s">
        <v>378</v>
      </c>
    </row>
    <row r="664" spans="1:4" x14ac:dyDescent="0.3">
      <c r="A664" s="2">
        <v>405792</v>
      </c>
      <c r="B664" s="2" t="s">
        <v>823</v>
      </c>
      <c r="C664" s="2" t="s">
        <v>378</v>
      </c>
    </row>
    <row r="665" spans="1:4" x14ac:dyDescent="0.3">
      <c r="A665" s="2">
        <v>405795</v>
      </c>
      <c r="B665" s="2" t="s">
        <v>821</v>
      </c>
      <c r="C665" s="2" t="s">
        <v>366</v>
      </c>
    </row>
    <row r="666" spans="1:4" x14ac:dyDescent="0.3">
      <c r="A666" s="2">
        <v>405798</v>
      </c>
      <c r="B666" s="2" t="s">
        <v>827</v>
      </c>
      <c r="C666" s="2" t="s">
        <v>361</v>
      </c>
    </row>
    <row r="667" spans="1:4" x14ac:dyDescent="0.3">
      <c r="A667" s="2">
        <v>405750</v>
      </c>
      <c r="B667" s="2" t="s">
        <v>822</v>
      </c>
      <c r="C667" s="2" t="s">
        <v>365</v>
      </c>
    </row>
    <row r="668" spans="1:4" x14ac:dyDescent="0.3">
      <c r="A668" s="2">
        <v>405812</v>
      </c>
      <c r="B668" s="2" t="s">
        <v>840</v>
      </c>
      <c r="C668" s="2" t="s">
        <v>378</v>
      </c>
    </row>
    <row r="669" spans="1:4" x14ac:dyDescent="0.3">
      <c r="A669">
        <v>405807</v>
      </c>
      <c r="B669" t="s">
        <v>841</v>
      </c>
      <c r="C669" s="2" t="s">
        <v>388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Hoja2</vt:lpstr>
      <vt:lpstr>Hoja1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Tramarria Levano</dc:creator>
  <cp:lastModifiedBy>Raul Tramarria Levano</cp:lastModifiedBy>
  <dcterms:created xsi:type="dcterms:W3CDTF">2026-05-31T23:04:20Z</dcterms:created>
  <dcterms:modified xsi:type="dcterms:W3CDTF">2026-07-04T22:45:06Z</dcterms:modified>
</cp:coreProperties>
</file>